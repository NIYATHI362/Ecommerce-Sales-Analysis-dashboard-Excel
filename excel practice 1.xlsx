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Niyathi\Downloads\"/>
    </mc:Choice>
  </mc:AlternateContent>
  <xr:revisionPtr revIDLastSave="0" documentId="13_ncr:1_{85A46662-E77D-4DB1-9BC1-310B492A6780}" xr6:coauthVersionLast="47" xr6:coauthVersionMax="47" xr10:uidLastSave="{00000000-0000-0000-0000-000000000000}"/>
  <bookViews>
    <workbookView xWindow="-108" yWindow="-108" windowWidth="23256" windowHeight="12456" activeTab="2" xr2:uid="{C044B408-40B7-4BB4-814C-74DECC84D5AE}"/>
  </bookViews>
  <sheets>
    <sheet name="Sheet4" sheetId="4" r:id="rId1"/>
    <sheet name="pivot table" sheetId="2" r:id="rId2"/>
    <sheet name="dashboard" sheetId="3" r:id="rId3"/>
    <sheet name="Sheet1" sheetId="1" r:id="rId4"/>
  </sheets>
  <definedNames>
    <definedName name="_xlchart.v5.0" hidden="1">'pivot table'!$H$43:$I$43</definedName>
    <definedName name="_xlchart.v5.1" hidden="1">'pivot table'!$H$44:$I$101</definedName>
    <definedName name="_xlchart.v5.10" hidden="1">'pivot table'!$J$43</definedName>
    <definedName name="_xlchart.v5.11" hidden="1">'pivot table'!$J$44:$J$101</definedName>
    <definedName name="_xlchart.v5.2" hidden="1">'pivot table'!$J$43</definedName>
    <definedName name="_xlchart.v5.3" hidden="1">'pivot table'!$J$44:$J$101</definedName>
    <definedName name="_xlchart.v5.4" hidden="1">'pivot table'!$H$104:$I$104</definedName>
    <definedName name="_xlchart.v5.5" hidden="1">'pivot table'!$H$105:$I$162</definedName>
    <definedName name="_xlchart.v5.6" hidden="1">'pivot table'!$J$104</definedName>
    <definedName name="_xlchart.v5.7" hidden="1">'pivot table'!$J$105:$J$162</definedName>
    <definedName name="_xlchart.v5.8" hidden="1">'pivot table'!$H$43:$I$43</definedName>
    <definedName name="_xlchart.v5.9" hidden="1">'pivot table'!$H$44:$I$101</definedName>
    <definedName name="_xlcn.WorksheetConnection_pivottableA11E121" hidden="1">'pivot table'!$A$11:$E$12</definedName>
    <definedName name="Slicer_Gender_Value">#N/A</definedName>
    <definedName name="Slicer_Order_Mode">#N/A</definedName>
  </definedNames>
  <calcPr calcId="191029"/>
  <pivotCaches>
    <pivotCache cacheId="21" r:id="rId5"/>
    <pivotCache cacheId="8" r:id="rId6"/>
    <pivotCache cacheId="14" r:id="rId7"/>
    <pivotCache cacheId="42"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pivot table!$A$11:$E$1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3" i="4" l="1"/>
  <c r="K19" i="4"/>
  <c r="L19" i="4"/>
  <c r="M19" i="4"/>
  <c r="J19" i="4"/>
  <c r="J20" i="4"/>
  <c r="K20" i="4"/>
  <c r="L20" i="4"/>
  <c r="M20" i="4"/>
  <c r="J21" i="4"/>
  <c r="K21" i="4"/>
  <c r="L21" i="4"/>
  <c r="M21" i="4"/>
  <c r="J22" i="4"/>
  <c r="K22" i="4"/>
  <c r="L22" i="4"/>
  <c r="M22" i="4"/>
  <c r="J23" i="4"/>
  <c r="K23" i="4"/>
  <c r="L23" i="4"/>
  <c r="M23" i="4"/>
  <c r="J24" i="4"/>
  <c r="K24" i="4"/>
  <c r="L24" i="4"/>
  <c r="M24" i="4"/>
  <c r="I21" i="4"/>
  <c r="I22" i="4"/>
  <c r="I24" i="4"/>
  <c r="I20" i="4"/>
  <c r="K4" i="2"/>
  <c r="J4" i="2"/>
  <c r="I4" i="2"/>
  <c r="H4" i="2"/>
  <c r="G4" i="2"/>
  <c r="O2401" i="1" a="1"/>
  <c r="O2401" i="1" s="1"/>
  <c r="N2401" i="1"/>
  <c r="M2401" i="1"/>
  <c r="O2400" i="1" a="1"/>
  <c r="O2400" i="1" s="1"/>
  <c r="N2400" i="1"/>
  <c r="M2400" i="1"/>
  <c r="O2399" i="1" a="1"/>
  <c r="O2399" i="1" s="1"/>
  <c r="N2399" i="1"/>
  <c r="M2399" i="1"/>
  <c r="O2398" i="1" a="1"/>
  <c r="O2398" i="1" s="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a="1"/>
  <c r="O2392" i="1" s="1"/>
  <c r="N2392" i="1"/>
  <c r="M2392" i="1"/>
  <c r="O2391" i="1" a="1"/>
  <c r="O2391" i="1" s="1"/>
  <c r="N2391" i="1"/>
  <c r="M2391" i="1"/>
  <c r="O2390" i="1" a="1"/>
  <c r="O2390" i="1" s="1"/>
  <c r="N2390" i="1"/>
  <c r="M2390" i="1"/>
  <c r="O2389" i="1" a="1"/>
  <c r="O2389" i="1" s="1"/>
  <c r="N2389" i="1"/>
  <c r="M2389" i="1"/>
  <c r="O2388" i="1" a="1"/>
  <c r="O2388" i="1" s="1"/>
  <c r="N2388" i="1"/>
  <c r="M2388" i="1"/>
  <c r="O2387" i="1" a="1"/>
  <c r="O2387" i="1" s="1"/>
  <c r="N2387" i="1"/>
  <c r="M2387" i="1"/>
  <c r="O2386" i="1" a="1"/>
  <c r="O2386" i="1" s="1"/>
  <c r="N2386" i="1"/>
  <c r="M2386" i="1"/>
  <c r="O2385" i="1" a="1"/>
  <c r="O2385" i="1" s="1"/>
  <c r="N2385" i="1"/>
  <c r="M2385" i="1"/>
  <c r="O2384" i="1" a="1"/>
  <c r="O2384" i="1" s="1"/>
  <c r="N2384" i="1"/>
  <c r="M2384" i="1"/>
  <c r="O2383" i="1" a="1"/>
  <c r="O2383" i="1" s="1"/>
  <c r="N2383" i="1"/>
  <c r="M2383" i="1"/>
  <c r="O2382" i="1" a="1"/>
  <c r="O2382" i="1" s="1"/>
  <c r="N2382" i="1"/>
  <c r="M2382" i="1"/>
  <c r="O2381" i="1" a="1"/>
  <c r="O2381" i="1" s="1"/>
  <c r="N2381" i="1"/>
  <c r="M2381" i="1"/>
  <c r="O2380" i="1" a="1"/>
  <c r="O2380" i="1" s="1"/>
  <c r="N2380" i="1"/>
  <c r="M2380" i="1"/>
  <c r="O2379" i="1"/>
  <c r="O2379" i="1" a="1"/>
  <c r="N2379" i="1"/>
  <c r="M2379" i="1"/>
  <c r="O2378" i="1" a="1"/>
  <c r="O2378" i="1" s="1"/>
  <c r="N2378" i="1"/>
  <c r="M2378" i="1"/>
  <c r="O2377" i="1" a="1"/>
  <c r="O2377" i="1" s="1"/>
  <c r="N2377" i="1"/>
  <c r="M2377" i="1"/>
  <c r="O2376" i="1" a="1"/>
  <c r="O2376" i="1" s="1"/>
  <c r="N2376" i="1"/>
  <c r="M2376" i="1"/>
  <c r="O2375" i="1" a="1"/>
  <c r="O2375" i="1" s="1"/>
  <c r="N2375" i="1"/>
  <c r="M2375" i="1"/>
  <c r="O2374" i="1" a="1"/>
  <c r="O2374" i="1" s="1"/>
  <c r="N2374" i="1"/>
  <c r="M2374" i="1"/>
  <c r="O2373" i="1" a="1"/>
  <c r="O2373" i="1" s="1"/>
  <c r="N2373" i="1"/>
  <c r="M2373" i="1"/>
  <c r="O2372" i="1" a="1"/>
  <c r="O2372" i="1" s="1"/>
  <c r="N2372" i="1"/>
  <c r="M2372" i="1"/>
  <c r="O2371" i="1" a="1"/>
  <c r="O2371" i="1" s="1"/>
  <c r="N2371" i="1"/>
  <c r="M2371" i="1"/>
  <c r="O2370" i="1"/>
  <c r="O2370" i="1" a="1"/>
  <c r="N2370" i="1"/>
  <c r="M2370" i="1"/>
  <c r="O2369" i="1" a="1"/>
  <c r="O2369" i="1" s="1"/>
  <c r="N2369" i="1"/>
  <c r="M2369" i="1"/>
  <c r="O2368" i="1" a="1"/>
  <c r="O2368" i="1" s="1"/>
  <c r="N2368" i="1"/>
  <c r="M2368" i="1"/>
  <c r="O2367" i="1" a="1"/>
  <c r="O2367" i="1" s="1"/>
  <c r="N2367" i="1"/>
  <c r="M2367" i="1"/>
  <c r="O2366" i="1" a="1"/>
  <c r="O2366" i="1" s="1"/>
  <c r="N2366" i="1"/>
  <c r="M2366" i="1"/>
  <c r="O2365" i="1" a="1"/>
  <c r="O2365" i="1" s="1"/>
  <c r="N2365" i="1"/>
  <c r="M2365" i="1"/>
  <c r="O2364" i="1" a="1"/>
  <c r="O2364" i="1" s="1"/>
  <c r="N2364" i="1"/>
  <c r="M2364" i="1"/>
  <c r="O2363" i="1" a="1"/>
  <c r="O2363" i="1" s="1"/>
  <c r="N2363" i="1"/>
  <c r="M2363" i="1"/>
  <c r="O2362" i="1" a="1"/>
  <c r="O2362" i="1" s="1"/>
  <c r="N2362" i="1"/>
  <c r="M2362" i="1"/>
  <c r="O2361" i="1"/>
  <c r="O2361" i="1" a="1"/>
  <c r="N2361" i="1"/>
  <c r="M2361" i="1"/>
  <c r="O2360" i="1" a="1"/>
  <c r="O2360" i="1" s="1"/>
  <c r="N2360" i="1"/>
  <c r="M2360" i="1"/>
  <c r="O2359" i="1" a="1"/>
  <c r="O2359" i="1" s="1"/>
  <c r="N2359" i="1"/>
  <c r="M2359" i="1"/>
  <c r="O2358" i="1" a="1"/>
  <c r="O2358" i="1" s="1"/>
  <c r="N2358" i="1"/>
  <c r="M2358" i="1"/>
  <c r="O2357" i="1" a="1"/>
  <c r="O2357" i="1" s="1"/>
  <c r="N2357" i="1"/>
  <c r="M2357" i="1"/>
  <c r="O2356" i="1" a="1"/>
  <c r="O2356" i="1" s="1"/>
  <c r="N2356" i="1"/>
  <c r="M2356" i="1"/>
  <c r="O2355" i="1" a="1"/>
  <c r="O2355" i="1" s="1"/>
  <c r="N2355" i="1"/>
  <c r="M2355" i="1"/>
  <c r="O2354" i="1" a="1"/>
  <c r="O2354" i="1" s="1"/>
  <c r="N2354" i="1"/>
  <c r="M2354" i="1"/>
  <c r="O2353" i="1" a="1"/>
  <c r="O2353" i="1" s="1"/>
  <c r="N2353" i="1"/>
  <c r="M2353" i="1"/>
  <c r="O2352" i="1" a="1"/>
  <c r="O2352" i="1" s="1"/>
  <c r="N2352" i="1"/>
  <c r="M2352" i="1"/>
  <c r="O2351" i="1" a="1"/>
  <c r="O2351" i="1" s="1"/>
  <c r="N2351" i="1"/>
  <c r="M2351" i="1"/>
  <c r="O2350" i="1" a="1"/>
  <c r="O2350" i="1" s="1"/>
  <c r="N2350" i="1"/>
  <c r="M2350" i="1"/>
  <c r="O2349" i="1" a="1"/>
  <c r="O2349" i="1" s="1"/>
  <c r="N2349" i="1"/>
  <c r="M2349" i="1"/>
  <c r="O2348" i="1" a="1"/>
  <c r="O2348" i="1" s="1"/>
  <c r="N2348" i="1"/>
  <c r="M2348" i="1"/>
  <c r="O2347" i="1" a="1"/>
  <c r="O2347" i="1" s="1"/>
  <c r="N2347" i="1"/>
  <c r="M2347" i="1"/>
  <c r="O2346" i="1" a="1"/>
  <c r="O2346" i="1" s="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c r="O2340" i="1" a="1"/>
  <c r="N2340" i="1"/>
  <c r="M2340" i="1"/>
  <c r="O2339" i="1" a="1"/>
  <c r="O2339" i="1" s="1"/>
  <c r="N2339" i="1"/>
  <c r="M2339" i="1"/>
  <c r="O2338" i="1" a="1"/>
  <c r="O2338" i="1" s="1"/>
  <c r="N2338" i="1"/>
  <c r="M2338" i="1"/>
  <c r="O2337" i="1" a="1"/>
  <c r="O2337" i="1" s="1"/>
  <c r="N2337" i="1"/>
  <c r="M2337" i="1"/>
  <c r="O2336" i="1" a="1"/>
  <c r="O2336" i="1" s="1"/>
  <c r="N2336" i="1"/>
  <c r="M2336" i="1"/>
  <c r="O2335" i="1" a="1"/>
  <c r="O2335" i="1" s="1"/>
  <c r="N2335" i="1"/>
  <c r="M2335" i="1"/>
  <c r="O2334" i="1" a="1"/>
  <c r="O2334" i="1" s="1"/>
  <c r="N2334" i="1"/>
  <c r="M2334" i="1"/>
  <c r="O2333" i="1" a="1"/>
  <c r="O2333" i="1" s="1"/>
  <c r="N2333" i="1"/>
  <c r="M2333" i="1"/>
  <c r="O2332" i="1" a="1"/>
  <c r="O2332" i="1" s="1"/>
  <c r="N2332" i="1"/>
  <c r="M2332" i="1"/>
  <c r="O2331" i="1" a="1"/>
  <c r="O2331" i="1" s="1"/>
  <c r="N2331" i="1"/>
  <c r="M2331" i="1"/>
  <c r="O2330" i="1" a="1"/>
  <c r="O2330" i="1" s="1"/>
  <c r="N2330" i="1"/>
  <c r="M2330" i="1"/>
  <c r="O2329" i="1" a="1"/>
  <c r="O2329" i="1" s="1"/>
  <c r="N2329" i="1"/>
  <c r="M2329" i="1"/>
  <c r="O2328" i="1" a="1"/>
  <c r="O2328" i="1" s="1"/>
  <c r="N2328" i="1"/>
  <c r="M2328" i="1"/>
  <c r="O2327" i="1" a="1"/>
  <c r="O2327" i="1" s="1"/>
  <c r="N2327" i="1"/>
  <c r="M2327" i="1"/>
  <c r="O2326" i="1" a="1"/>
  <c r="O2326" i="1" s="1"/>
  <c r="N2326" i="1"/>
  <c r="M2326" i="1"/>
  <c r="O2325" i="1"/>
  <c r="O2325" i="1" a="1"/>
  <c r="N2325" i="1"/>
  <c r="M2325" i="1"/>
  <c r="O2324" i="1" a="1"/>
  <c r="O2324" i="1" s="1"/>
  <c r="N2324" i="1"/>
  <c r="M2324" i="1"/>
  <c r="O2323" i="1" a="1"/>
  <c r="O2323" i="1" s="1"/>
  <c r="N2323" i="1"/>
  <c r="M2323" i="1"/>
  <c r="O2322" i="1" a="1"/>
  <c r="O2322" i="1" s="1"/>
  <c r="N2322" i="1"/>
  <c r="M2322" i="1"/>
  <c r="O2321" i="1" a="1"/>
  <c r="O2321" i="1" s="1"/>
  <c r="N2321" i="1"/>
  <c r="M2321" i="1"/>
  <c r="O2320" i="1" a="1"/>
  <c r="O2320" i="1" s="1"/>
  <c r="N2320" i="1"/>
  <c r="M2320" i="1"/>
  <c r="O2319" i="1" a="1"/>
  <c r="O2319" i="1" s="1"/>
  <c r="N2319" i="1"/>
  <c r="M2319" i="1"/>
  <c r="O2318" i="1" a="1"/>
  <c r="O2318" i="1" s="1"/>
  <c r="N2318" i="1"/>
  <c r="M2318" i="1"/>
  <c r="O2317" i="1" a="1"/>
  <c r="O2317" i="1" s="1"/>
  <c r="N2317" i="1"/>
  <c r="M2317" i="1"/>
  <c r="O2316" i="1"/>
  <c r="O2316" i="1" a="1"/>
  <c r="N2316" i="1"/>
  <c r="M2316" i="1"/>
  <c r="O2315" i="1" a="1"/>
  <c r="O2315" i="1" s="1"/>
  <c r="N2315" i="1"/>
  <c r="M2315" i="1"/>
  <c r="O2314" i="1" a="1"/>
  <c r="O2314" i="1" s="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a="1"/>
  <c r="O2308" i="1" s="1"/>
  <c r="N2308" i="1"/>
  <c r="M2308" i="1"/>
  <c r="O2307" i="1"/>
  <c r="O2307" i="1" a="1"/>
  <c r="N2307" i="1"/>
  <c r="M2307" i="1"/>
  <c r="O2306" i="1" a="1"/>
  <c r="O2306" i="1" s="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a="1"/>
  <c r="O2300" i="1" s="1"/>
  <c r="N2300" i="1"/>
  <c r="M2300" i="1"/>
  <c r="O2299" i="1" a="1"/>
  <c r="O2299" i="1" s="1"/>
  <c r="N2299" i="1"/>
  <c r="M2299" i="1"/>
  <c r="O2298" i="1"/>
  <c r="O2298" i="1" a="1"/>
  <c r="N2298" i="1"/>
  <c r="M2298" i="1"/>
  <c r="O2297" i="1" a="1"/>
  <c r="O2297" i="1" s="1"/>
  <c r="N2297" i="1"/>
  <c r="M2297" i="1"/>
  <c r="O2296" i="1" a="1"/>
  <c r="O2296" i="1" s="1"/>
  <c r="N2296" i="1"/>
  <c r="M2296" i="1"/>
  <c r="O2295" i="1" a="1"/>
  <c r="O2295" i="1" s="1"/>
  <c r="N2295" i="1"/>
  <c r="M2295" i="1"/>
  <c r="O2294" i="1" a="1"/>
  <c r="O2294" i="1" s="1"/>
  <c r="N2294" i="1"/>
  <c r="M2294" i="1"/>
  <c r="O2293" i="1" a="1"/>
  <c r="O2293" i="1" s="1"/>
  <c r="N2293" i="1"/>
  <c r="M2293" i="1"/>
  <c r="O2292" i="1" a="1"/>
  <c r="O2292" i="1" s="1"/>
  <c r="N2292" i="1"/>
  <c r="M2292" i="1"/>
  <c r="O2291" i="1" a="1"/>
  <c r="O2291" i="1" s="1"/>
  <c r="N2291" i="1"/>
  <c r="M2291" i="1"/>
  <c r="O2290" i="1" a="1"/>
  <c r="O2290" i="1" s="1"/>
  <c r="N2290" i="1"/>
  <c r="M2290" i="1"/>
  <c r="O2289" i="1"/>
  <c r="O2289" i="1" a="1"/>
  <c r="N2289" i="1"/>
  <c r="M2289" i="1"/>
  <c r="O2288" i="1" a="1"/>
  <c r="O2288" i="1" s="1"/>
  <c r="N2288" i="1"/>
  <c r="M2288" i="1"/>
  <c r="O2287" i="1" a="1"/>
  <c r="O2287" i="1" s="1"/>
  <c r="N2287" i="1"/>
  <c r="M2287" i="1"/>
  <c r="O2286" i="1" a="1"/>
  <c r="O2286" i="1" s="1"/>
  <c r="N2286" i="1"/>
  <c r="M2286" i="1"/>
  <c r="O2285" i="1" a="1"/>
  <c r="O2285" i="1" s="1"/>
  <c r="N2285" i="1"/>
  <c r="M2285" i="1"/>
  <c r="O2284" i="1" a="1"/>
  <c r="O2284" i="1" s="1"/>
  <c r="N2284" i="1"/>
  <c r="M2284" i="1"/>
  <c r="O2283" i="1"/>
  <c r="O2283" i="1" a="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c r="O2276" i="1" a="1"/>
  <c r="N2276" i="1"/>
  <c r="M2276" i="1"/>
  <c r="O2275" i="1" a="1"/>
  <c r="O2275" i="1" s="1"/>
  <c r="N2275" i="1"/>
  <c r="M2275" i="1"/>
  <c r="O2274" i="1" a="1"/>
  <c r="O2274" i="1" s="1"/>
  <c r="N2274" i="1"/>
  <c r="M2274" i="1"/>
  <c r="O2273" i="1"/>
  <c r="O2273" i="1" a="1"/>
  <c r="N2273" i="1"/>
  <c r="M2273" i="1"/>
  <c r="O2272" i="1" a="1"/>
  <c r="O2272" i="1" s="1"/>
  <c r="N2272" i="1"/>
  <c r="M2272" i="1"/>
  <c r="O2271" i="1"/>
  <c r="O2271" i="1" a="1"/>
  <c r="N2271" i="1"/>
  <c r="M2271" i="1"/>
  <c r="O2270" i="1" a="1"/>
  <c r="O2270" i="1" s="1"/>
  <c r="N2270" i="1"/>
  <c r="M2270" i="1"/>
  <c r="O2269" i="1" a="1"/>
  <c r="O2269" i="1" s="1"/>
  <c r="N2269" i="1"/>
  <c r="M2269" i="1"/>
  <c r="O2268" i="1" a="1"/>
  <c r="O2268" i="1" s="1"/>
  <c r="N2268" i="1"/>
  <c r="M2268" i="1"/>
  <c r="O2267" i="1" a="1"/>
  <c r="O2267" i="1" s="1"/>
  <c r="N2267" i="1"/>
  <c r="M2267" i="1"/>
  <c r="O2266" i="1" a="1"/>
  <c r="O2266" i="1" s="1"/>
  <c r="N2266" i="1"/>
  <c r="M2266" i="1"/>
  <c r="O2265" i="1" a="1"/>
  <c r="O2265" i="1" s="1"/>
  <c r="N2265" i="1"/>
  <c r="M2265" i="1"/>
  <c r="O2264" i="1" a="1"/>
  <c r="O2264" i="1" s="1"/>
  <c r="N2264" i="1"/>
  <c r="M2264" i="1"/>
  <c r="O2263" i="1" a="1"/>
  <c r="O2263" i="1" s="1"/>
  <c r="N2263" i="1"/>
  <c r="M2263" i="1"/>
  <c r="O2262" i="1"/>
  <c r="O2262" i="1" a="1"/>
  <c r="N2262" i="1"/>
  <c r="M2262" i="1"/>
  <c r="O2261" i="1" a="1"/>
  <c r="O2261" i="1" s="1"/>
  <c r="N2261" i="1"/>
  <c r="M2261" i="1"/>
  <c r="O2260" i="1" a="1"/>
  <c r="O2260" i="1" s="1"/>
  <c r="N2260" i="1"/>
  <c r="M2260" i="1"/>
  <c r="O2259" i="1"/>
  <c r="O2259" i="1" a="1"/>
  <c r="N2259" i="1"/>
  <c r="M2259" i="1"/>
  <c r="O2258" i="1"/>
  <c r="O2258" i="1" a="1"/>
  <c r="N2258" i="1"/>
  <c r="M2258" i="1"/>
  <c r="O2257" i="1" a="1"/>
  <c r="O2257" i="1" s="1"/>
  <c r="N2257" i="1"/>
  <c r="M2257" i="1"/>
  <c r="O2256" i="1" a="1"/>
  <c r="O2256" i="1" s="1"/>
  <c r="N2256" i="1"/>
  <c r="M2256" i="1"/>
  <c r="O2255" i="1" a="1"/>
  <c r="O2255" i="1" s="1"/>
  <c r="N2255" i="1"/>
  <c r="M2255" i="1"/>
  <c r="O2254" i="1" a="1"/>
  <c r="O2254" i="1" s="1"/>
  <c r="N2254" i="1"/>
  <c r="M2254" i="1"/>
  <c r="O2253" i="1" a="1"/>
  <c r="O2253" i="1" s="1"/>
  <c r="N2253" i="1"/>
  <c r="M2253" i="1"/>
  <c r="O2252" i="1" a="1"/>
  <c r="O2252" i="1" s="1"/>
  <c r="N2252" i="1"/>
  <c r="M2252" i="1"/>
  <c r="O2251" i="1" a="1"/>
  <c r="O2251" i="1" s="1"/>
  <c r="N2251" i="1"/>
  <c r="M2251" i="1"/>
  <c r="O2250" i="1" a="1"/>
  <c r="O2250" i="1" s="1"/>
  <c r="N2250" i="1"/>
  <c r="M2250" i="1"/>
  <c r="O2249" i="1"/>
  <c r="O2249" i="1" a="1"/>
  <c r="N2249" i="1"/>
  <c r="M2249" i="1"/>
  <c r="O2248" i="1" a="1"/>
  <c r="O2248" i="1" s="1"/>
  <c r="N2248" i="1"/>
  <c r="M2248" i="1"/>
  <c r="O2247" i="1"/>
  <c r="O2247" i="1" a="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c r="O2241" i="1" a="1"/>
  <c r="N2241" i="1"/>
  <c r="M2241" i="1"/>
  <c r="O2240" i="1" a="1"/>
  <c r="O2240" i="1" s="1"/>
  <c r="N2240" i="1"/>
  <c r="M2240" i="1"/>
  <c r="O2239" i="1" a="1"/>
  <c r="O2239" i="1" s="1"/>
  <c r="N2239" i="1"/>
  <c r="M2239" i="1"/>
  <c r="O2238" i="1" a="1"/>
  <c r="O2238" i="1" s="1"/>
  <c r="N2238" i="1"/>
  <c r="M2238" i="1"/>
  <c r="O2237" i="1"/>
  <c r="O2237" i="1" a="1"/>
  <c r="N2237" i="1"/>
  <c r="M2237" i="1"/>
  <c r="O2236" i="1" a="1"/>
  <c r="O2236" i="1" s="1"/>
  <c r="N2236" i="1"/>
  <c r="M2236" i="1"/>
  <c r="O2235" i="1"/>
  <c r="O2235" i="1" a="1"/>
  <c r="N2235" i="1"/>
  <c r="M2235" i="1"/>
  <c r="O2234" i="1" a="1"/>
  <c r="O2234" i="1" s="1"/>
  <c r="N2234" i="1"/>
  <c r="M2234" i="1"/>
  <c r="O2233" i="1" a="1"/>
  <c r="O2233" i="1" s="1"/>
  <c r="N2233" i="1"/>
  <c r="M2233" i="1"/>
  <c r="O2232" i="1" a="1"/>
  <c r="O2232" i="1" s="1"/>
  <c r="N2232" i="1"/>
  <c r="M2232" i="1"/>
  <c r="O2231" i="1"/>
  <c r="O2231" i="1" a="1"/>
  <c r="N2231" i="1"/>
  <c r="M2231" i="1"/>
  <c r="O2230" i="1" a="1"/>
  <c r="O2230" i="1" s="1"/>
  <c r="N2230" i="1"/>
  <c r="M2230" i="1"/>
  <c r="O2229" i="1" a="1"/>
  <c r="O2229" i="1" s="1"/>
  <c r="N2229" i="1"/>
  <c r="M2229" i="1"/>
  <c r="O2228" i="1" a="1"/>
  <c r="O2228" i="1" s="1"/>
  <c r="N2228" i="1"/>
  <c r="M2228" i="1"/>
  <c r="O2227" i="1" a="1"/>
  <c r="O2227" i="1" s="1"/>
  <c r="N2227" i="1"/>
  <c r="M2227" i="1"/>
  <c r="O2226" i="1"/>
  <c r="O2226" i="1" a="1"/>
  <c r="N2226" i="1"/>
  <c r="M2226" i="1"/>
  <c r="O2225" i="1" a="1"/>
  <c r="O2225" i="1" s="1"/>
  <c r="N2225" i="1"/>
  <c r="M2225" i="1"/>
  <c r="O2224" i="1" a="1"/>
  <c r="O2224" i="1" s="1"/>
  <c r="N2224" i="1"/>
  <c r="M2224" i="1"/>
  <c r="O2223" i="1"/>
  <c r="O2223" i="1" a="1"/>
  <c r="N2223" i="1"/>
  <c r="M2223" i="1"/>
  <c r="O2222" i="1"/>
  <c r="O2222" i="1" a="1"/>
  <c r="N2222" i="1"/>
  <c r="M2222" i="1"/>
  <c r="O2221" i="1" a="1"/>
  <c r="O2221" i="1" s="1"/>
  <c r="N2221" i="1"/>
  <c r="M2221" i="1"/>
  <c r="O2220" i="1" a="1"/>
  <c r="O2220" i="1" s="1"/>
  <c r="N2220" i="1"/>
  <c r="M2220" i="1"/>
  <c r="O2219" i="1" a="1"/>
  <c r="O2219" i="1" s="1"/>
  <c r="N2219" i="1"/>
  <c r="M2219" i="1"/>
  <c r="O2218" i="1" a="1"/>
  <c r="O2218" i="1" s="1"/>
  <c r="N2218" i="1"/>
  <c r="M2218" i="1"/>
  <c r="O2217" i="1" a="1"/>
  <c r="O2217" i="1" s="1"/>
  <c r="N2217" i="1"/>
  <c r="M2217" i="1"/>
  <c r="O2216" i="1" a="1"/>
  <c r="O2216" i="1" s="1"/>
  <c r="N2216" i="1"/>
  <c r="M2216" i="1"/>
  <c r="O2215" i="1" a="1"/>
  <c r="O2215" i="1" s="1"/>
  <c r="N2215" i="1"/>
  <c r="M2215" i="1"/>
  <c r="O2214" i="1"/>
  <c r="O2214" i="1" a="1"/>
  <c r="N2214" i="1"/>
  <c r="M2214" i="1"/>
  <c r="O2213" i="1"/>
  <c r="O2213" i="1" a="1"/>
  <c r="N2213" i="1"/>
  <c r="M2213" i="1"/>
  <c r="O2212" i="1" a="1"/>
  <c r="O2212" i="1" s="1"/>
  <c r="N2212" i="1"/>
  <c r="M2212" i="1"/>
  <c r="O2211" i="1" a="1"/>
  <c r="O2211" i="1" s="1"/>
  <c r="N2211" i="1"/>
  <c r="M2211" i="1"/>
  <c r="O2210" i="1"/>
  <c r="O2210" i="1" a="1"/>
  <c r="N2210" i="1"/>
  <c r="M2210" i="1"/>
  <c r="O2209" i="1" a="1"/>
  <c r="O2209" i="1" s="1"/>
  <c r="N2209" i="1"/>
  <c r="M2209" i="1"/>
  <c r="O2208" i="1" a="1"/>
  <c r="O2208" i="1" s="1"/>
  <c r="N2208" i="1"/>
  <c r="M2208" i="1"/>
  <c r="O2207" i="1" a="1"/>
  <c r="O2207" i="1" s="1"/>
  <c r="N2207" i="1"/>
  <c r="M2207" i="1"/>
  <c r="O2206" i="1" a="1"/>
  <c r="O2206" i="1" s="1"/>
  <c r="N2206" i="1"/>
  <c r="M2206" i="1"/>
  <c r="O2205" i="1"/>
  <c r="O2205" i="1" a="1"/>
  <c r="N2205" i="1"/>
  <c r="M2205" i="1"/>
  <c r="O2204" i="1"/>
  <c r="O2204" i="1" a="1"/>
  <c r="N2204" i="1"/>
  <c r="M2204" i="1"/>
  <c r="O2203" i="1" a="1"/>
  <c r="O2203" i="1" s="1"/>
  <c r="N2203" i="1"/>
  <c r="M2203" i="1"/>
  <c r="O2202" i="1" a="1"/>
  <c r="O2202" i="1" s="1"/>
  <c r="N2202" i="1"/>
  <c r="M2202" i="1"/>
  <c r="O2201" i="1"/>
  <c r="O2201" i="1" a="1"/>
  <c r="N2201" i="1"/>
  <c r="M2201" i="1"/>
  <c r="O2200" i="1" a="1"/>
  <c r="O2200" i="1" s="1"/>
  <c r="N2200" i="1"/>
  <c r="M2200" i="1"/>
  <c r="O2199" i="1"/>
  <c r="O2199" i="1" a="1"/>
  <c r="N2199" i="1"/>
  <c r="M2199" i="1"/>
  <c r="O2198" i="1" a="1"/>
  <c r="O2198" i="1" s="1"/>
  <c r="N2198" i="1"/>
  <c r="M2198" i="1"/>
  <c r="O2197" i="1" a="1"/>
  <c r="O2197" i="1" s="1"/>
  <c r="N2197" i="1"/>
  <c r="M2197" i="1"/>
  <c r="O2196" i="1" a="1"/>
  <c r="O2196" i="1" s="1"/>
  <c r="N2196" i="1"/>
  <c r="M2196" i="1"/>
  <c r="O2195" i="1"/>
  <c r="O2195" i="1" a="1"/>
  <c r="N2195" i="1"/>
  <c r="M2195" i="1"/>
  <c r="O2194" i="1" a="1"/>
  <c r="O2194" i="1" s="1"/>
  <c r="N2194" i="1"/>
  <c r="M2194" i="1"/>
  <c r="O2193" i="1" a="1"/>
  <c r="O2193" i="1" s="1"/>
  <c r="N2193" i="1"/>
  <c r="M2193" i="1"/>
  <c r="O2192" i="1" a="1"/>
  <c r="O2192" i="1" s="1"/>
  <c r="N2192" i="1"/>
  <c r="M2192" i="1"/>
  <c r="O2191" i="1" a="1"/>
  <c r="O2191" i="1" s="1"/>
  <c r="N2191" i="1"/>
  <c r="M2191" i="1"/>
  <c r="O2190" i="1"/>
  <c r="O2190" i="1" a="1"/>
  <c r="N2190" i="1"/>
  <c r="M2190" i="1"/>
  <c r="O2189" i="1" a="1"/>
  <c r="O2189" i="1" s="1"/>
  <c r="N2189" i="1"/>
  <c r="M2189" i="1"/>
  <c r="O2188" i="1" a="1"/>
  <c r="O2188" i="1" s="1"/>
  <c r="N2188" i="1"/>
  <c r="M2188" i="1"/>
  <c r="O2187" i="1"/>
  <c r="O2187" i="1" a="1"/>
  <c r="N2187" i="1"/>
  <c r="M2187" i="1"/>
  <c r="O2186" i="1"/>
  <c r="O2186" i="1" a="1"/>
  <c r="N2186" i="1"/>
  <c r="M2186" i="1"/>
  <c r="O2185" i="1" a="1"/>
  <c r="O2185" i="1" s="1"/>
  <c r="N2185" i="1"/>
  <c r="M2185" i="1"/>
  <c r="O2184" i="1" a="1"/>
  <c r="O2184" i="1" s="1"/>
  <c r="N2184" i="1"/>
  <c r="M2184" i="1"/>
  <c r="O2183" i="1" a="1"/>
  <c r="O2183" i="1" s="1"/>
  <c r="N2183" i="1"/>
  <c r="M2183" i="1"/>
  <c r="O2182" i="1" a="1"/>
  <c r="O2182" i="1" s="1"/>
  <c r="N2182" i="1"/>
  <c r="M2182" i="1"/>
  <c r="O2181" i="1" a="1"/>
  <c r="O2181" i="1" s="1"/>
  <c r="N2181" i="1"/>
  <c r="M2181" i="1"/>
  <c r="O2180" i="1" a="1"/>
  <c r="O2180" i="1" s="1"/>
  <c r="N2180" i="1"/>
  <c r="M2180" i="1"/>
  <c r="O2179" i="1" a="1"/>
  <c r="O2179" i="1" s="1"/>
  <c r="N2179" i="1"/>
  <c r="M2179" i="1"/>
  <c r="O2178" i="1" a="1"/>
  <c r="O2178" i="1" s="1"/>
  <c r="N2178" i="1"/>
  <c r="M2178" i="1"/>
  <c r="O2177" i="1"/>
  <c r="O2177" i="1" a="1"/>
  <c r="N2177" i="1"/>
  <c r="M2177" i="1"/>
  <c r="O2176" i="1" a="1"/>
  <c r="O2176" i="1" s="1"/>
  <c r="N2176" i="1"/>
  <c r="M2176" i="1"/>
  <c r="O2175" i="1"/>
  <c r="O2175" i="1" a="1"/>
  <c r="N2175" i="1"/>
  <c r="M2175" i="1"/>
  <c r="O2174" i="1"/>
  <c r="O2174" i="1" a="1"/>
  <c r="N2174" i="1"/>
  <c r="M2174" i="1"/>
  <c r="O2173" i="1" a="1"/>
  <c r="O2173" i="1" s="1"/>
  <c r="N2173" i="1"/>
  <c r="M2173" i="1"/>
  <c r="O2172" i="1" a="1"/>
  <c r="O2172" i="1" s="1"/>
  <c r="N2172" i="1"/>
  <c r="M2172" i="1"/>
  <c r="O2171" i="1" a="1"/>
  <c r="O2171" i="1" s="1"/>
  <c r="N2171" i="1"/>
  <c r="M2171" i="1"/>
  <c r="O2170" i="1" a="1"/>
  <c r="O2170" i="1" s="1"/>
  <c r="N2170" i="1"/>
  <c r="M2170" i="1"/>
  <c r="O2169" i="1"/>
  <c r="O2169" i="1" a="1"/>
  <c r="N2169" i="1"/>
  <c r="M2169" i="1"/>
  <c r="O2168" i="1" a="1"/>
  <c r="O2168" i="1" s="1"/>
  <c r="N2168" i="1"/>
  <c r="M2168" i="1"/>
  <c r="O2167" i="1" a="1"/>
  <c r="O2167" i="1" s="1"/>
  <c r="N2167" i="1"/>
  <c r="M2167" i="1"/>
  <c r="O2166" i="1" a="1"/>
  <c r="O2166" i="1" s="1"/>
  <c r="N2166" i="1"/>
  <c r="M2166" i="1"/>
  <c r="O2165" i="1"/>
  <c r="O2165" i="1" a="1"/>
  <c r="N2165" i="1"/>
  <c r="M2165" i="1"/>
  <c r="O2164" i="1" a="1"/>
  <c r="O2164" i="1" s="1"/>
  <c r="N2164" i="1"/>
  <c r="M2164" i="1"/>
  <c r="O2163" i="1"/>
  <c r="O2163" i="1" a="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a="1"/>
  <c r="O2155" i="1" s="1"/>
  <c r="N2155" i="1"/>
  <c r="M2155" i="1"/>
  <c r="O2154" i="1"/>
  <c r="O2154" i="1" a="1"/>
  <c r="N2154" i="1"/>
  <c r="M2154" i="1"/>
  <c r="O2153" i="1" a="1"/>
  <c r="O2153" i="1" s="1"/>
  <c r="N2153" i="1"/>
  <c r="M2153" i="1"/>
  <c r="O2152" i="1" a="1"/>
  <c r="O2152" i="1" s="1"/>
  <c r="N2152" i="1"/>
  <c r="M2152" i="1"/>
  <c r="O2151" i="1"/>
  <c r="O2151" i="1" a="1"/>
  <c r="N2151" i="1"/>
  <c r="M2151" i="1"/>
  <c r="O2150" i="1"/>
  <c r="O2150" i="1" a="1"/>
  <c r="N2150" i="1"/>
  <c r="M2150" i="1"/>
  <c r="O2149" i="1" a="1"/>
  <c r="O2149" i="1" s="1"/>
  <c r="N2149" i="1"/>
  <c r="M2149" i="1"/>
  <c r="O2148" i="1" a="1"/>
  <c r="O2148" i="1" s="1"/>
  <c r="N2148" i="1"/>
  <c r="M2148" i="1"/>
  <c r="O2147" i="1" a="1"/>
  <c r="O2147" i="1" s="1"/>
  <c r="N2147" i="1"/>
  <c r="M2147" i="1"/>
  <c r="O2146" i="1" a="1"/>
  <c r="O2146" i="1" s="1"/>
  <c r="N2146" i="1"/>
  <c r="M2146" i="1"/>
  <c r="O2145" i="1"/>
  <c r="O2145" i="1" a="1"/>
  <c r="N2145" i="1"/>
  <c r="M2145" i="1"/>
  <c r="O2144" i="1" a="1"/>
  <c r="O2144" i="1" s="1"/>
  <c r="N2144" i="1"/>
  <c r="M2144" i="1"/>
  <c r="O2143" i="1" a="1"/>
  <c r="O2143" i="1" s="1"/>
  <c r="N2143" i="1"/>
  <c r="M2143" i="1"/>
  <c r="O2142" i="1" a="1"/>
  <c r="O2142" i="1" s="1"/>
  <c r="N2142" i="1"/>
  <c r="M2142" i="1"/>
  <c r="O2141" i="1" a="1"/>
  <c r="O2141" i="1" s="1"/>
  <c r="N2141" i="1"/>
  <c r="M2141" i="1"/>
  <c r="O2140" i="1"/>
  <c r="O2140" i="1" a="1"/>
  <c r="N2140" i="1"/>
  <c r="M2140" i="1"/>
  <c r="O2139" i="1"/>
  <c r="O2139" i="1" a="1"/>
  <c r="N2139" i="1"/>
  <c r="M2139" i="1"/>
  <c r="O2138" i="1" a="1"/>
  <c r="O2138" i="1" s="1"/>
  <c r="N2138" i="1"/>
  <c r="M2138" i="1"/>
  <c r="O2137" i="1"/>
  <c r="O2137" i="1" a="1"/>
  <c r="N2137" i="1"/>
  <c r="M2137" i="1"/>
  <c r="O2136" i="1" a="1"/>
  <c r="O2136" i="1" s="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a="1"/>
  <c r="O2130" i="1" s="1"/>
  <c r="N2130" i="1"/>
  <c r="M2130" i="1"/>
  <c r="O2129" i="1" a="1"/>
  <c r="O2129" i="1" s="1"/>
  <c r="N2129" i="1"/>
  <c r="M2129" i="1"/>
  <c r="O2128" i="1"/>
  <c r="O2128" i="1" a="1"/>
  <c r="N2128" i="1"/>
  <c r="M2128" i="1"/>
  <c r="O2127" i="1"/>
  <c r="O2127" i="1" a="1"/>
  <c r="N2127" i="1"/>
  <c r="M2127" i="1"/>
  <c r="O2126" i="1" a="1"/>
  <c r="O2126" i="1" s="1"/>
  <c r="N2126" i="1"/>
  <c r="M2126" i="1"/>
  <c r="O2125" i="1" a="1"/>
  <c r="O2125" i="1" s="1"/>
  <c r="N2125" i="1"/>
  <c r="M2125" i="1"/>
  <c r="O2124" i="1"/>
  <c r="O2124" i="1" a="1"/>
  <c r="N2124" i="1"/>
  <c r="M2124" i="1"/>
  <c r="O2123" i="1" a="1"/>
  <c r="O2123" i="1" s="1"/>
  <c r="N2123" i="1"/>
  <c r="M2123" i="1"/>
  <c r="O2122" i="1"/>
  <c r="O2122" i="1" a="1"/>
  <c r="N2122" i="1"/>
  <c r="M2122" i="1"/>
  <c r="O2121" i="1"/>
  <c r="O2121" i="1" a="1"/>
  <c r="N2121" i="1"/>
  <c r="M2121" i="1"/>
  <c r="O2120" i="1" a="1"/>
  <c r="O2120" i="1" s="1"/>
  <c r="N2120" i="1"/>
  <c r="M2120" i="1"/>
  <c r="O2119" i="1"/>
  <c r="O2119" i="1" a="1"/>
  <c r="N2119" i="1"/>
  <c r="M2119" i="1"/>
  <c r="O2118" i="1" a="1"/>
  <c r="O2118" i="1" s="1"/>
  <c r="N2118" i="1"/>
  <c r="M2118" i="1"/>
  <c r="O2117" i="1" a="1"/>
  <c r="O2117" i="1" s="1"/>
  <c r="N2117" i="1"/>
  <c r="M2117" i="1"/>
  <c r="O2116" i="1"/>
  <c r="O2116" i="1" a="1"/>
  <c r="N2116" i="1"/>
  <c r="M2116" i="1"/>
  <c r="O2115" i="1"/>
  <c r="O2115" i="1" a="1"/>
  <c r="N2115" i="1"/>
  <c r="M2115" i="1"/>
  <c r="O2114" i="1" a="1"/>
  <c r="O2114" i="1" s="1"/>
  <c r="N2114" i="1"/>
  <c r="M2114" i="1"/>
  <c r="O2113" i="1"/>
  <c r="O2113" i="1" a="1"/>
  <c r="N2113" i="1"/>
  <c r="M2113" i="1"/>
  <c r="O2112" i="1" a="1"/>
  <c r="O2112" i="1" s="1"/>
  <c r="N2112" i="1"/>
  <c r="M2112" i="1"/>
  <c r="O2111" i="1" a="1"/>
  <c r="O2111" i="1" s="1"/>
  <c r="N2111" i="1"/>
  <c r="M2111" i="1"/>
  <c r="O2110" i="1"/>
  <c r="O2110" i="1" a="1"/>
  <c r="N2110" i="1"/>
  <c r="M2110" i="1"/>
  <c r="O2109" i="1"/>
  <c r="O2109" i="1" a="1"/>
  <c r="N2109" i="1"/>
  <c r="M2109" i="1"/>
  <c r="O2108" i="1" a="1"/>
  <c r="O2108" i="1" s="1"/>
  <c r="N2108" i="1"/>
  <c r="M2108" i="1"/>
  <c r="O2107" i="1"/>
  <c r="O2107" i="1" a="1"/>
  <c r="N2107" i="1"/>
  <c r="M2107" i="1"/>
  <c r="O2106" i="1"/>
  <c r="O2106" i="1" a="1"/>
  <c r="N2106" i="1"/>
  <c r="M2106" i="1"/>
  <c r="O2105" i="1" a="1"/>
  <c r="O2105" i="1" s="1"/>
  <c r="N2105" i="1"/>
  <c r="M2105" i="1"/>
  <c r="O2104" i="1"/>
  <c r="O2104" i="1" a="1"/>
  <c r="N2104" i="1"/>
  <c r="M2104" i="1"/>
  <c r="O2103" i="1"/>
  <c r="O2103" i="1" a="1"/>
  <c r="N2103" i="1"/>
  <c r="M2103" i="1"/>
  <c r="O2102" i="1" a="1"/>
  <c r="O2102" i="1" s="1"/>
  <c r="N2102" i="1"/>
  <c r="M2102" i="1"/>
  <c r="O2101" i="1"/>
  <c r="O2101" i="1" a="1"/>
  <c r="N2101" i="1"/>
  <c r="M2101" i="1"/>
  <c r="O2100" i="1" a="1"/>
  <c r="O2100" i="1" s="1"/>
  <c r="N2100" i="1"/>
  <c r="M2100" i="1"/>
  <c r="O2099" i="1" a="1"/>
  <c r="O2099" i="1" s="1"/>
  <c r="N2099" i="1"/>
  <c r="M2099" i="1"/>
  <c r="O2098" i="1" a="1"/>
  <c r="O2098" i="1" s="1"/>
  <c r="N2098" i="1"/>
  <c r="M2098" i="1"/>
  <c r="O2097" i="1"/>
  <c r="O2097" i="1" a="1"/>
  <c r="N2097" i="1"/>
  <c r="M2097" i="1"/>
  <c r="O2096" i="1" a="1"/>
  <c r="O2096" i="1" s="1"/>
  <c r="N2096" i="1"/>
  <c r="M2096" i="1"/>
  <c r="O2095" i="1" a="1"/>
  <c r="O2095" i="1" s="1"/>
  <c r="N2095" i="1"/>
  <c r="M2095" i="1"/>
  <c r="O2094" i="1"/>
  <c r="O2094" i="1" a="1"/>
  <c r="N2094" i="1"/>
  <c r="M2094" i="1"/>
  <c r="O2093" i="1" a="1"/>
  <c r="O2093" i="1" s="1"/>
  <c r="N2093" i="1"/>
  <c r="M2093" i="1"/>
  <c r="O2092" i="1"/>
  <c r="O2092" i="1" a="1"/>
  <c r="N2092" i="1"/>
  <c r="M2092" i="1"/>
  <c r="O2091" i="1" a="1"/>
  <c r="O2091" i="1" s="1"/>
  <c r="N2091" i="1"/>
  <c r="M2091" i="1"/>
  <c r="O2090" i="1" a="1"/>
  <c r="O2090" i="1" s="1"/>
  <c r="N2090" i="1"/>
  <c r="M2090" i="1"/>
  <c r="O2089" i="1" a="1"/>
  <c r="O2089" i="1" s="1"/>
  <c r="N2089" i="1"/>
  <c r="M2089" i="1"/>
  <c r="O2088" i="1"/>
  <c r="O2088" i="1" a="1"/>
  <c r="N2088" i="1"/>
  <c r="M2088" i="1"/>
  <c r="O2087" i="1" a="1"/>
  <c r="O2087" i="1" s="1"/>
  <c r="N2087" i="1"/>
  <c r="M2087" i="1"/>
  <c r="O2086" i="1"/>
  <c r="O2086" i="1" a="1"/>
  <c r="N2086" i="1"/>
  <c r="M2086" i="1"/>
  <c r="O2085" i="1" a="1"/>
  <c r="O2085" i="1" s="1"/>
  <c r="N2085" i="1"/>
  <c r="M2085" i="1"/>
  <c r="O2084" i="1" a="1"/>
  <c r="O2084" i="1" s="1"/>
  <c r="N2084" i="1"/>
  <c r="M2084" i="1"/>
  <c r="O2083" i="1"/>
  <c r="O2083" i="1" a="1"/>
  <c r="N2083" i="1"/>
  <c r="M2083" i="1"/>
  <c r="O2082" i="1" a="1"/>
  <c r="O2082" i="1" s="1"/>
  <c r="N2082" i="1"/>
  <c r="M2082" i="1"/>
  <c r="O2081" i="1" a="1"/>
  <c r="O2081" i="1" s="1"/>
  <c r="N2081" i="1"/>
  <c r="M2081" i="1"/>
  <c r="O2080" i="1"/>
  <c r="O2080" i="1" a="1"/>
  <c r="N2080" i="1"/>
  <c r="M2080" i="1"/>
  <c r="O2079" i="1"/>
  <c r="O2079" i="1" a="1"/>
  <c r="N2079" i="1"/>
  <c r="M2079" i="1"/>
  <c r="O2078" i="1" a="1"/>
  <c r="O2078" i="1" s="1"/>
  <c r="N2078" i="1"/>
  <c r="M2078" i="1"/>
  <c r="O2077" i="1" a="1"/>
  <c r="O2077" i="1" s="1"/>
  <c r="N2077" i="1"/>
  <c r="M2077" i="1"/>
  <c r="O2076" i="1" a="1"/>
  <c r="O2076" i="1" s="1"/>
  <c r="N2076" i="1"/>
  <c r="M2076" i="1"/>
  <c r="O2075" i="1" a="1"/>
  <c r="O2075" i="1" s="1"/>
  <c r="N2075" i="1"/>
  <c r="M2075" i="1"/>
  <c r="O2074" i="1"/>
  <c r="O2074" i="1" a="1"/>
  <c r="N2074" i="1"/>
  <c r="M2074" i="1"/>
  <c r="O2073" i="1"/>
  <c r="O2073" i="1" a="1"/>
  <c r="N2073" i="1"/>
  <c r="M2073" i="1"/>
  <c r="O2072" i="1" a="1"/>
  <c r="O2072" i="1" s="1"/>
  <c r="N2072" i="1"/>
  <c r="M2072" i="1"/>
  <c r="O2071" i="1" a="1"/>
  <c r="O2071" i="1" s="1"/>
  <c r="N2071" i="1"/>
  <c r="M2071" i="1"/>
  <c r="O2070" i="1"/>
  <c r="O2070" i="1" a="1"/>
  <c r="N2070" i="1"/>
  <c r="M2070" i="1"/>
  <c r="O2069" i="1" a="1"/>
  <c r="O2069" i="1" s="1"/>
  <c r="N2069" i="1"/>
  <c r="M2069" i="1"/>
  <c r="O2068" i="1" a="1"/>
  <c r="O2068" i="1" s="1"/>
  <c r="N2068" i="1"/>
  <c r="M2068" i="1"/>
  <c r="O2067" i="1"/>
  <c r="O2067" i="1" a="1"/>
  <c r="N2067" i="1"/>
  <c r="M2067" i="1"/>
  <c r="O2066" i="1" a="1"/>
  <c r="O2066" i="1" s="1"/>
  <c r="N2066" i="1"/>
  <c r="M2066" i="1"/>
  <c r="O2065" i="1"/>
  <c r="O2065" i="1" a="1"/>
  <c r="N2065" i="1"/>
  <c r="M2065" i="1"/>
  <c r="O2064" i="1" a="1"/>
  <c r="O2064" i="1" s="1"/>
  <c r="N2064" i="1"/>
  <c r="M2064" i="1"/>
  <c r="O2063" i="1" a="1"/>
  <c r="O2063" i="1" s="1"/>
  <c r="N2063" i="1"/>
  <c r="M2063" i="1"/>
  <c r="O2062" i="1" a="1"/>
  <c r="O2062" i="1" s="1"/>
  <c r="N2062" i="1"/>
  <c r="M2062" i="1"/>
  <c r="O2061" i="1"/>
  <c r="O2061" i="1" a="1"/>
  <c r="N2061" i="1"/>
  <c r="M2061" i="1"/>
  <c r="O2060" i="1" a="1"/>
  <c r="O2060" i="1" s="1"/>
  <c r="N2060" i="1"/>
  <c r="M2060" i="1"/>
  <c r="O2059" i="1" a="1"/>
  <c r="O2059" i="1" s="1"/>
  <c r="N2059" i="1"/>
  <c r="M2059" i="1"/>
  <c r="O2058" i="1" a="1"/>
  <c r="O2058" i="1" s="1"/>
  <c r="N2058" i="1"/>
  <c r="M2058" i="1"/>
  <c r="O2057" i="1" a="1"/>
  <c r="O2057" i="1" s="1"/>
  <c r="N2057" i="1"/>
  <c r="M2057" i="1"/>
  <c r="O2056" i="1"/>
  <c r="O2056" i="1" a="1"/>
  <c r="N2056" i="1"/>
  <c r="M2056" i="1"/>
  <c r="O2055" i="1"/>
  <c r="O2055" i="1" a="1"/>
  <c r="N2055" i="1"/>
  <c r="M2055" i="1"/>
  <c r="O2054" i="1" a="1"/>
  <c r="O2054" i="1" s="1"/>
  <c r="N2054" i="1"/>
  <c r="M2054" i="1"/>
  <c r="O2053" i="1" a="1"/>
  <c r="O2053" i="1" s="1"/>
  <c r="N2053" i="1"/>
  <c r="M2053" i="1"/>
  <c r="O2052" i="1"/>
  <c r="O2052" i="1" a="1"/>
  <c r="N2052" i="1"/>
  <c r="M2052" i="1"/>
  <c r="O2051" i="1" a="1"/>
  <c r="O2051" i="1" s="1"/>
  <c r="N2051" i="1"/>
  <c r="M2051" i="1"/>
  <c r="O2050" i="1"/>
  <c r="O2050" i="1" a="1"/>
  <c r="N2050" i="1"/>
  <c r="M2050" i="1"/>
  <c r="O2049" i="1"/>
  <c r="O2049" i="1" a="1"/>
  <c r="N2049" i="1"/>
  <c r="M2049" i="1"/>
  <c r="O2048" i="1" a="1"/>
  <c r="O2048" i="1" s="1"/>
  <c r="N2048" i="1"/>
  <c r="M2048" i="1"/>
  <c r="O2047" i="1"/>
  <c r="O2047" i="1" a="1"/>
  <c r="N2047" i="1"/>
  <c r="M2047" i="1"/>
  <c r="O2046" i="1" a="1"/>
  <c r="O2046" i="1" s="1"/>
  <c r="N2046" i="1"/>
  <c r="M2046" i="1"/>
  <c r="O2045" i="1" a="1"/>
  <c r="O2045" i="1" s="1"/>
  <c r="N2045" i="1"/>
  <c r="M2045" i="1"/>
  <c r="O2044" i="1"/>
  <c r="O2044" i="1" a="1"/>
  <c r="N2044" i="1"/>
  <c r="M2044" i="1"/>
  <c r="O2043" i="1"/>
  <c r="O2043" i="1" a="1"/>
  <c r="N2043" i="1"/>
  <c r="M2043" i="1"/>
  <c r="O2042" i="1" a="1"/>
  <c r="O2042" i="1" s="1"/>
  <c r="N2042" i="1"/>
  <c r="M2042" i="1"/>
  <c r="O2041" i="1" a="1"/>
  <c r="O2041" i="1" s="1"/>
  <c r="N2041" i="1"/>
  <c r="M2041" i="1"/>
  <c r="O2040" i="1" a="1"/>
  <c r="O2040" i="1" s="1"/>
  <c r="N2040" i="1"/>
  <c r="M2040" i="1"/>
  <c r="O2039" i="1" a="1"/>
  <c r="O2039" i="1" s="1"/>
  <c r="N2039" i="1"/>
  <c r="M2039" i="1"/>
  <c r="O2038" i="1" a="1"/>
  <c r="O2038" i="1" s="1"/>
  <c r="N2038" i="1"/>
  <c r="M2038" i="1"/>
  <c r="O2037" i="1"/>
  <c r="O2037" i="1" a="1"/>
  <c r="N2037" i="1"/>
  <c r="M2037" i="1"/>
  <c r="O2036" i="1" a="1"/>
  <c r="O2036" i="1" s="1"/>
  <c r="N2036" i="1"/>
  <c r="M2036" i="1"/>
  <c r="O2035" i="1"/>
  <c r="O2035" i="1" a="1"/>
  <c r="N2035" i="1"/>
  <c r="M2035" i="1"/>
  <c r="O2034" i="1" a="1"/>
  <c r="O2034" i="1" s="1"/>
  <c r="N2034" i="1"/>
  <c r="M2034" i="1"/>
  <c r="O2033" i="1" a="1"/>
  <c r="O2033" i="1" s="1"/>
  <c r="N2033" i="1"/>
  <c r="M2033" i="1"/>
  <c r="O2032" i="1"/>
  <c r="O2032" i="1" a="1"/>
  <c r="N2032" i="1"/>
  <c r="M2032" i="1"/>
  <c r="O2031" i="1" a="1"/>
  <c r="O2031" i="1" s="1"/>
  <c r="N2031" i="1"/>
  <c r="M2031" i="1"/>
  <c r="O2030" i="1" a="1"/>
  <c r="O2030" i="1" s="1"/>
  <c r="N2030" i="1"/>
  <c r="M2030" i="1"/>
  <c r="O2029" i="1" a="1"/>
  <c r="O2029" i="1" s="1"/>
  <c r="N2029" i="1"/>
  <c r="M2029" i="1"/>
  <c r="O2028" i="1"/>
  <c r="O2028" i="1" a="1"/>
  <c r="N2028" i="1"/>
  <c r="M2028" i="1"/>
  <c r="O2027" i="1" a="1"/>
  <c r="O2027" i="1" s="1"/>
  <c r="N2027" i="1"/>
  <c r="M2027" i="1"/>
  <c r="O2026" i="1"/>
  <c r="O2026" i="1" a="1"/>
  <c r="N2026" i="1"/>
  <c r="M2026" i="1"/>
  <c r="O2025" i="1" a="1"/>
  <c r="O2025" i="1" s="1"/>
  <c r="N2025" i="1"/>
  <c r="M2025" i="1"/>
  <c r="O2024" i="1" a="1"/>
  <c r="O2024" i="1" s="1"/>
  <c r="N2024" i="1"/>
  <c r="M2024" i="1"/>
  <c r="O2023" i="1" a="1"/>
  <c r="O2023" i="1" s="1"/>
  <c r="N2023" i="1"/>
  <c r="M2023" i="1"/>
  <c r="O2022" i="1"/>
  <c r="O2022" i="1" a="1"/>
  <c r="N2022" i="1"/>
  <c r="M2022" i="1"/>
  <c r="O2021" i="1" a="1"/>
  <c r="O2021" i="1" s="1"/>
  <c r="N2021" i="1"/>
  <c r="M2021" i="1"/>
  <c r="O2020" i="1"/>
  <c r="O2020" i="1" a="1"/>
  <c r="N2020" i="1"/>
  <c r="M2020" i="1"/>
  <c r="O2019" i="1"/>
  <c r="O2019" i="1" a="1"/>
  <c r="N2019" i="1"/>
  <c r="M2019" i="1"/>
  <c r="O2018" i="1" a="1"/>
  <c r="O2018" i="1" s="1"/>
  <c r="N2018" i="1"/>
  <c r="M2018" i="1"/>
  <c r="O2017" i="1" a="1"/>
  <c r="O2017" i="1" s="1"/>
  <c r="N2017" i="1"/>
  <c r="M2017" i="1"/>
  <c r="O2016" i="1"/>
  <c r="O2016" i="1" a="1"/>
  <c r="N2016" i="1"/>
  <c r="M2016" i="1"/>
  <c r="O2015" i="1" a="1"/>
  <c r="O2015" i="1" s="1"/>
  <c r="N2015" i="1"/>
  <c r="M2015" i="1"/>
  <c r="O2014" i="1"/>
  <c r="O2014" i="1" a="1"/>
  <c r="N2014" i="1"/>
  <c r="M2014" i="1"/>
  <c r="O2013" i="1" a="1"/>
  <c r="O2013" i="1" s="1"/>
  <c r="N2013" i="1"/>
  <c r="M2013" i="1"/>
  <c r="O2012" i="1" a="1"/>
  <c r="O2012" i="1" s="1"/>
  <c r="N2012" i="1"/>
  <c r="M2012" i="1"/>
  <c r="O2011" i="1"/>
  <c r="O2011" i="1" a="1"/>
  <c r="N2011" i="1"/>
  <c r="M2011" i="1"/>
  <c r="O2010" i="1" a="1"/>
  <c r="O2010" i="1" s="1"/>
  <c r="N2010" i="1"/>
  <c r="M2010" i="1"/>
  <c r="O2009" i="1" a="1"/>
  <c r="O2009" i="1" s="1"/>
  <c r="N2009" i="1"/>
  <c r="M2009" i="1"/>
  <c r="O2008" i="1"/>
  <c r="O2008" i="1" a="1"/>
  <c r="N2008" i="1"/>
  <c r="M2008" i="1"/>
  <c r="O2007" i="1"/>
  <c r="O2007" i="1" a="1"/>
  <c r="N2007" i="1"/>
  <c r="M2007" i="1"/>
  <c r="O2006" i="1" a="1"/>
  <c r="O2006" i="1" s="1"/>
  <c r="N2006" i="1"/>
  <c r="M2006" i="1"/>
  <c r="O2005" i="1"/>
  <c r="O2005" i="1" a="1"/>
  <c r="N2005" i="1"/>
  <c r="M2005" i="1"/>
  <c r="O2004" i="1" a="1"/>
  <c r="O2004" i="1" s="1"/>
  <c r="N2004" i="1"/>
  <c r="M2004" i="1"/>
  <c r="O2003" i="1" a="1"/>
  <c r="O2003" i="1" s="1"/>
  <c r="N2003" i="1"/>
  <c r="M2003" i="1"/>
  <c r="O2002" i="1"/>
  <c r="O2002" i="1" a="1"/>
  <c r="N2002" i="1"/>
  <c r="M2002" i="1"/>
  <c r="O2001" i="1"/>
  <c r="O2001" i="1" a="1"/>
  <c r="N2001" i="1"/>
  <c r="M2001" i="1"/>
  <c r="O2000" i="1" a="1"/>
  <c r="O2000" i="1" s="1"/>
  <c r="N2000" i="1"/>
  <c r="M2000" i="1"/>
  <c r="O1999" i="1" a="1"/>
  <c r="O1999" i="1" s="1"/>
  <c r="N1999" i="1"/>
  <c r="M1999" i="1"/>
  <c r="O1998" i="1"/>
  <c r="O1998" i="1" a="1"/>
  <c r="N1998" i="1"/>
  <c r="M1998" i="1"/>
  <c r="O1997" i="1" a="1"/>
  <c r="O1997" i="1" s="1"/>
  <c r="N1997" i="1"/>
  <c r="M1997" i="1"/>
  <c r="O1996" i="1" a="1"/>
  <c r="O1996" i="1" s="1"/>
  <c r="N1996" i="1"/>
  <c r="M1996" i="1"/>
  <c r="O1995" i="1"/>
  <c r="O1995" i="1" a="1"/>
  <c r="N1995" i="1"/>
  <c r="M1995" i="1"/>
  <c r="O1994" i="1" a="1"/>
  <c r="O1994" i="1" s="1"/>
  <c r="N1994" i="1"/>
  <c r="M1994" i="1"/>
  <c r="O1993" i="1" a="1"/>
  <c r="O1993" i="1" s="1"/>
  <c r="N1993" i="1"/>
  <c r="M1993" i="1"/>
  <c r="O1992" i="1"/>
  <c r="O1992" i="1" a="1"/>
  <c r="N1992" i="1"/>
  <c r="M1992" i="1"/>
  <c r="O1991" i="1" a="1"/>
  <c r="O1991" i="1" s="1"/>
  <c r="N1991" i="1"/>
  <c r="M1991" i="1"/>
  <c r="O1990" i="1"/>
  <c r="O1990" i="1" a="1"/>
  <c r="N1990" i="1"/>
  <c r="M1990" i="1"/>
  <c r="O1989" i="1" a="1"/>
  <c r="O1989" i="1" s="1"/>
  <c r="N1989" i="1"/>
  <c r="M1989" i="1"/>
  <c r="O1988" i="1" a="1"/>
  <c r="O1988" i="1" s="1"/>
  <c r="N1988" i="1"/>
  <c r="M1988" i="1"/>
  <c r="O1987" i="1" a="1"/>
  <c r="O1987" i="1" s="1"/>
  <c r="N1987" i="1"/>
  <c r="M1987" i="1"/>
  <c r="O1986" i="1" a="1"/>
  <c r="O1986" i="1" s="1"/>
  <c r="N1986" i="1"/>
  <c r="M1986" i="1"/>
  <c r="O1985" i="1" a="1"/>
  <c r="O1985" i="1" s="1"/>
  <c r="N1985" i="1"/>
  <c r="M1985" i="1"/>
  <c r="O1984" i="1"/>
  <c r="O1984" i="1" a="1"/>
  <c r="N1984" i="1"/>
  <c r="M1984" i="1"/>
  <c r="O1983" i="1" a="1"/>
  <c r="O1983" i="1" s="1"/>
  <c r="N1983" i="1"/>
  <c r="M1983" i="1"/>
  <c r="O1982" i="1" a="1"/>
  <c r="O1982" i="1" s="1"/>
  <c r="N1982" i="1"/>
  <c r="M1982" i="1"/>
  <c r="O1981" i="1" a="1"/>
  <c r="O1981" i="1" s="1"/>
  <c r="N1981" i="1"/>
  <c r="M1981" i="1"/>
  <c r="O1980" i="1"/>
  <c r="O1980" i="1" a="1"/>
  <c r="N1980" i="1"/>
  <c r="M1980" i="1"/>
  <c r="O1979" i="1" a="1"/>
  <c r="O1979" i="1" s="1"/>
  <c r="N1979" i="1"/>
  <c r="M1979" i="1"/>
  <c r="O1978" i="1"/>
  <c r="O1978" i="1" a="1"/>
  <c r="N1978" i="1"/>
  <c r="M1978" i="1"/>
  <c r="O1977" i="1" a="1"/>
  <c r="O1977" i="1" s="1"/>
  <c r="N1977" i="1"/>
  <c r="M1977" i="1"/>
  <c r="O1976" i="1" a="1"/>
  <c r="O1976" i="1" s="1"/>
  <c r="N1976" i="1"/>
  <c r="M1976" i="1"/>
  <c r="O1975" i="1" a="1"/>
  <c r="O1975" i="1" s="1"/>
  <c r="N1975" i="1"/>
  <c r="M1975" i="1"/>
  <c r="O1974" i="1" a="1"/>
  <c r="O1974" i="1" s="1"/>
  <c r="N1974" i="1"/>
  <c r="M1974" i="1"/>
  <c r="O1973" i="1" a="1"/>
  <c r="O1973" i="1" s="1"/>
  <c r="N1973" i="1"/>
  <c r="M1973" i="1"/>
  <c r="O1972" i="1" a="1"/>
  <c r="O1972" i="1" s="1"/>
  <c r="N1972" i="1"/>
  <c r="M1972" i="1"/>
  <c r="O1971" i="1"/>
  <c r="O1971" i="1" a="1"/>
  <c r="N1971" i="1"/>
  <c r="M1971" i="1"/>
  <c r="O1970" i="1" a="1"/>
  <c r="O1970" i="1" s="1"/>
  <c r="N1970" i="1"/>
  <c r="M1970" i="1"/>
  <c r="O1969" i="1" a="1"/>
  <c r="O1969" i="1" s="1"/>
  <c r="N1969" i="1"/>
  <c r="M1969" i="1"/>
  <c r="O1968" i="1" a="1"/>
  <c r="O1968" i="1" s="1"/>
  <c r="N1968" i="1"/>
  <c r="M1968" i="1"/>
  <c r="O1967" i="1" a="1"/>
  <c r="O1967" i="1" s="1"/>
  <c r="N1967" i="1"/>
  <c r="M1967" i="1"/>
  <c r="O1966" i="1"/>
  <c r="O1966" i="1" a="1"/>
  <c r="N1966" i="1"/>
  <c r="M1966" i="1"/>
  <c r="O1965" i="1"/>
  <c r="O1965" i="1" a="1"/>
  <c r="N1965" i="1"/>
  <c r="M1965" i="1"/>
  <c r="O1964" i="1" a="1"/>
  <c r="O1964" i="1" s="1"/>
  <c r="N1964" i="1"/>
  <c r="M1964" i="1"/>
  <c r="O1963" i="1"/>
  <c r="O1963" i="1" a="1"/>
  <c r="N1963" i="1"/>
  <c r="M1963" i="1"/>
  <c r="O1962" i="1" a="1"/>
  <c r="O1962" i="1" s="1"/>
  <c r="N1962" i="1"/>
  <c r="M1962" i="1"/>
  <c r="O1961" i="1" a="1"/>
  <c r="O1961" i="1" s="1"/>
  <c r="N1961" i="1"/>
  <c r="M1961" i="1"/>
  <c r="O1960" i="1" a="1"/>
  <c r="O1960" i="1" s="1"/>
  <c r="N1960" i="1"/>
  <c r="M1960" i="1"/>
  <c r="O1959" i="1"/>
  <c r="O1959" i="1" a="1"/>
  <c r="N1959" i="1"/>
  <c r="M1959" i="1"/>
  <c r="O1958" i="1" a="1"/>
  <c r="O1958" i="1" s="1"/>
  <c r="N1958" i="1"/>
  <c r="M1958" i="1"/>
  <c r="O1957" i="1"/>
  <c r="O1957" i="1" a="1"/>
  <c r="N1957" i="1"/>
  <c r="M1957" i="1"/>
  <c r="O1956" i="1"/>
  <c r="O1956" i="1" a="1"/>
  <c r="N1956" i="1"/>
  <c r="M1956" i="1"/>
  <c r="O1955" i="1" a="1"/>
  <c r="O1955" i="1" s="1"/>
  <c r="N1955" i="1"/>
  <c r="M1955" i="1"/>
  <c r="O1954" i="1" a="1"/>
  <c r="O1954" i="1" s="1"/>
  <c r="N1954" i="1"/>
  <c r="M1954" i="1"/>
  <c r="O1953" i="1"/>
  <c r="O1953" i="1" a="1"/>
  <c r="N1953" i="1"/>
  <c r="M1953" i="1"/>
  <c r="O1952" i="1" a="1"/>
  <c r="O1952" i="1" s="1"/>
  <c r="N1952" i="1"/>
  <c r="M1952" i="1"/>
  <c r="O1951" i="1" a="1"/>
  <c r="O1951" i="1" s="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a="1"/>
  <c r="O1945" i="1" s="1"/>
  <c r="N1945" i="1"/>
  <c r="M1945" i="1"/>
  <c r="O1944" i="1"/>
  <c r="O1944" i="1" a="1"/>
  <c r="N1944" i="1"/>
  <c r="M1944" i="1"/>
  <c r="O1943" i="1" a="1"/>
  <c r="O1943" i="1" s="1"/>
  <c r="N1943" i="1"/>
  <c r="M1943" i="1"/>
  <c r="O1942" i="1"/>
  <c r="O1942" i="1" a="1"/>
  <c r="N1942" i="1"/>
  <c r="M1942" i="1"/>
  <c r="O1941" i="1"/>
  <c r="O1941" i="1" a="1"/>
  <c r="N1941" i="1"/>
  <c r="M1941" i="1"/>
  <c r="O1940" i="1" a="1"/>
  <c r="O1940" i="1" s="1"/>
  <c r="N1940" i="1"/>
  <c r="M1940" i="1"/>
  <c r="O1939" i="1"/>
  <c r="O1939" i="1" a="1"/>
  <c r="N1939" i="1"/>
  <c r="M1939" i="1"/>
  <c r="O1938" i="1" a="1"/>
  <c r="O1938" i="1" s="1"/>
  <c r="N1938" i="1"/>
  <c r="M1938" i="1"/>
  <c r="O1937" i="1" a="1"/>
  <c r="O1937" i="1" s="1"/>
  <c r="N1937" i="1"/>
  <c r="M1937" i="1"/>
  <c r="O1936" i="1" a="1"/>
  <c r="O1936" i="1" s="1"/>
  <c r="N1936" i="1"/>
  <c r="M1936" i="1"/>
  <c r="O1935" i="1"/>
  <c r="O1935" i="1" a="1"/>
  <c r="N1935" i="1"/>
  <c r="M1935" i="1"/>
  <c r="O1934" i="1" a="1"/>
  <c r="O1934" i="1" s="1"/>
  <c r="N1934" i="1"/>
  <c r="M1934" i="1"/>
  <c r="O1933" i="1" a="1"/>
  <c r="O1933" i="1" s="1"/>
  <c r="N1933" i="1"/>
  <c r="M1933" i="1"/>
  <c r="O1932" i="1" a="1"/>
  <c r="O1932" i="1" s="1"/>
  <c r="N1932" i="1"/>
  <c r="M1932" i="1"/>
  <c r="O1931" i="1"/>
  <c r="O1931" i="1" a="1"/>
  <c r="N1931" i="1"/>
  <c r="M1931" i="1"/>
  <c r="O1930" i="1"/>
  <c r="O1930" i="1" a="1"/>
  <c r="N1930" i="1"/>
  <c r="M1930" i="1"/>
  <c r="O1929" i="1" a="1"/>
  <c r="O1929" i="1" s="1"/>
  <c r="N1929" i="1"/>
  <c r="M1929" i="1"/>
  <c r="O1928" i="1"/>
  <c r="O1928" i="1" a="1"/>
  <c r="N1928" i="1"/>
  <c r="M1928" i="1"/>
  <c r="O1927" i="1" a="1"/>
  <c r="O1927" i="1" s="1"/>
  <c r="N1927" i="1"/>
  <c r="M1927" i="1"/>
  <c r="O1926" i="1" a="1"/>
  <c r="O1926" i="1" s="1"/>
  <c r="N1926" i="1"/>
  <c r="M1926" i="1"/>
  <c r="O1925" i="1" a="1"/>
  <c r="O1925" i="1" s="1"/>
  <c r="N1925" i="1"/>
  <c r="M1925" i="1"/>
  <c r="O1924" i="1"/>
  <c r="O1924" i="1" a="1"/>
  <c r="N1924" i="1"/>
  <c r="M1924" i="1"/>
  <c r="O1923" i="1" a="1"/>
  <c r="O1923" i="1" s="1"/>
  <c r="N1923" i="1"/>
  <c r="M1923" i="1"/>
  <c r="O1922" i="1" a="1"/>
  <c r="O1922" i="1" s="1"/>
  <c r="N1922" i="1"/>
  <c r="M1922" i="1"/>
  <c r="O1921" i="1"/>
  <c r="O1921" i="1" a="1"/>
  <c r="N1921" i="1"/>
  <c r="M1921" i="1"/>
  <c r="O1920" i="1" a="1"/>
  <c r="O1920" i="1" s="1"/>
  <c r="N1920" i="1"/>
  <c r="M1920" i="1"/>
  <c r="O1919" i="1" a="1"/>
  <c r="O1919" i="1" s="1"/>
  <c r="N1919" i="1"/>
  <c r="M1919" i="1"/>
  <c r="O1918" i="1"/>
  <c r="O1918" i="1" a="1"/>
  <c r="N1918" i="1"/>
  <c r="M1918" i="1"/>
  <c r="O1917" i="1" a="1"/>
  <c r="O1917" i="1" s="1"/>
  <c r="N1917" i="1"/>
  <c r="M1917" i="1"/>
  <c r="O1916" i="1" a="1"/>
  <c r="O1916" i="1" s="1"/>
  <c r="N1916" i="1"/>
  <c r="M1916" i="1"/>
  <c r="O1915" i="1"/>
  <c r="O1915" i="1" a="1"/>
  <c r="N1915" i="1"/>
  <c r="M1915" i="1"/>
  <c r="O1914" i="1" a="1"/>
  <c r="O1914" i="1" s="1"/>
  <c r="N1914" i="1"/>
  <c r="M1914" i="1"/>
  <c r="O1913" i="1"/>
  <c r="O1913" i="1" a="1"/>
  <c r="N1913" i="1"/>
  <c r="M1913" i="1"/>
  <c r="O1912" i="1"/>
  <c r="O1912" i="1" a="1"/>
  <c r="N1912" i="1"/>
  <c r="M1912" i="1"/>
  <c r="O1911" i="1" a="1"/>
  <c r="O1911" i="1" s="1"/>
  <c r="N1911" i="1"/>
  <c r="M1911" i="1"/>
  <c r="O1910" i="1" a="1"/>
  <c r="O1910" i="1" s="1"/>
  <c r="N1910" i="1"/>
  <c r="M1910" i="1"/>
  <c r="O1909" i="1"/>
  <c r="O1909" i="1" a="1"/>
  <c r="N1909" i="1"/>
  <c r="M1909" i="1"/>
  <c r="O1908" i="1" a="1"/>
  <c r="O1908" i="1" s="1"/>
  <c r="N1908" i="1"/>
  <c r="M1908" i="1"/>
  <c r="O1907" i="1"/>
  <c r="O1907" i="1" a="1"/>
  <c r="N1907" i="1"/>
  <c r="M1907" i="1"/>
  <c r="O1906" i="1" a="1"/>
  <c r="O1906" i="1" s="1"/>
  <c r="N1906" i="1"/>
  <c r="M1906" i="1"/>
  <c r="O1905" i="1" a="1"/>
  <c r="O1905" i="1" s="1"/>
  <c r="N1905" i="1"/>
  <c r="M1905" i="1"/>
  <c r="O1904" i="1" a="1"/>
  <c r="O1904" i="1" s="1"/>
  <c r="N1904" i="1"/>
  <c r="M1904" i="1"/>
  <c r="O1903" i="1" a="1"/>
  <c r="O1903" i="1" s="1"/>
  <c r="N1903" i="1"/>
  <c r="M1903" i="1"/>
  <c r="O1902" i="1" a="1"/>
  <c r="O1902" i="1" s="1"/>
  <c r="N1902" i="1"/>
  <c r="M1902" i="1"/>
  <c r="O1901" i="1"/>
  <c r="O1901" i="1" a="1"/>
  <c r="N1901" i="1"/>
  <c r="M1901" i="1"/>
  <c r="O1900" i="1"/>
  <c r="O1900" i="1" a="1"/>
  <c r="N1900" i="1"/>
  <c r="M1900" i="1"/>
  <c r="O1899" i="1" a="1"/>
  <c r="O1899" i="1" s="1"/>
  <c r="N1899" i="1"/>
  <c r="M1899" i="1"/>
  <c r="O1898" i="1"/>
  <c r="O1898" i="1" a="1"/>
  <c r="N1898" i="1"/>
  <c r="M1898" i="1"/>
  <c r="O1897" i="1" a="1"/>
  <c r="O1897" i="1" s="1"/>
  <c r="N1897" i="1"/>
  <c r="M1897" i="1"/>
  <c r="O1896" i="1" a="1"/>
  <c r="O1896" i="1" s="1"/>
  <c r="N1896" i="1"/>
  <c r="M1896" i="1"/>
  <c r="O1895" i="1"/>
  <c r="O1895" i="1" a="1"/>
  <c r="N1895" i="1"/>
  <c r="M1895" i="1"/>
  <c r="O1894" i="1"/>
  <c r="O1894" i="1" a="1"/>
  <c r="N1894" i="1"/>
  <c r="M1894" i="1"/>
  <c r="O1893" i="1" a="1"/>
  <c r="O1893" i="1" s="1"/>
  <c r="N1893" i="1"/>
  <c r="M1893" i="1"/>
  <c r="O1892" i="1" a="1"/>
  <c r="O1892" i="1" s="1"/>
  <c r="N1892" i="1"/>
  <c r="M1892" i="1"/>
  <c r="O1891" i="1" a="1"/>
  <c r="O1891" i="1" s="1"/>
  <c r="N1891" i="1"/>
  <c r="M1891" i="1"/>
  <c r="O1890" i="1" a="1"/>
  <c r="O1890" i="1" s="1"/>
  <c r="N1890" i="1"/>
  <c r="M1890" i="1"/>
  <c r="O1889" i="1"/>
  <c r="O1889" i="1" a="1"/>
  <c r="N1889" i="1"/>
  <c r="M1889" i="1"/>
  <c r="O1888" i="1"/>
  <c r="O1888" i="1" a="1"/>
  <c r="N1888" i="1"/>
  <c r="M1888" i="1"/>
  <c r="O1887" i="1" a="1"/>
  <c r="O1887" i="1" s="1"/>
  <c r="N1887" i="1"/>
  <c r="M1887" i="1"/>
  <c r="O1886" i="1" a="1"/>
  <c r="O1886" i="1" s="1"/>
  <c r="N1886" i="1"/>
  <c r="M1886" i="1"/>
  <c r="O1885" i="1"/>
  <c r="O1885" i="1" a="1"/>
  <c r="N1885" i="1"/>
  <c r="M1885" i="1"/>
  <c r="O1884" i="1" a="1"/>
  <c r="O1884" i="1" s="1"/>
  <c r="N1884" i="1"/>
  <c r="M1884" i="1"/>
  <c r="O1883" i="1"/>
  <c r="O1883" i="1" a="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a="1"/>
  <c r="O1877" i="1" s="1"/>
  <c r="N1877" i="1"/>
  <c r="M1877" i="1"/>
  <c r="O1876" i="1"/>
  <c r="O1876" i="1" a="1"/>
  <c r="N1876" i="1"/>
  <c r="M1876" i="1"/>
  <c r="O1875" i="1" a="1"/>
  <c r="O1875" i="1" s="1"/>
  <c r="N1875" i="1"/>
  <c r="M1875" i="1"/>
  <c r="O1874" i="1" a="1"/>
  <c r="O1874" i="1" s="1"/>
  <c r="N1874" i="1"/>
  <c r="M1874" i="1"/>
  <c r="O1873" i="1"/>
  <c r="O1873" i="1" a="1"/>
  <c r="N1873" i="1"/>
  <c r="M1873" i="1"/>
  <c r="O1872" i="1" a="1"/>
  <c r="O1872" i="1" s="1"/>
  <c r="N1872" i="1"/>
  <c r="M1872" i="1"/>
  <c r="O1871" i="1"/>
  <c r="O1871" i="1" a="1"/>
  <c r="N1871" i="1"/>
  <c r="M1871" i="1"/>
  <c r="O1870" i="1" a="1"/>
  <c r="O1870" i="1" s="1"/>
  <c r="N1870" i="1"/>
  <c r="M1870" i="1"/>
  <c r="O1869" i="1" a="1"/>
  <c r="O1869" i="1" s="1"/>
  <c r="N1869" i="1"/>
  <c r="M1869" i="1"/>
  <c r="O1868" i="1" a="1"/>
  <c r="O1868" i="1" s="1"/>
  <c r="N1868" i="1"/>
  <c r="M1868" i="1"/>
  <c r="O1867" i="1"/>
  <c r="O1867" i="1" a="1"/>
  <c r="N1867" i="1"/>
  <c r="M1867" i="1"/>
  <c r="O1866" i="1" a="1"/>
  <c r="O1866" i="1" s="1"/>
  <c r="N1866" i="1"/>
  <c r="M1866" i="1"/>
  <c r="O1865" i="1"/>
  <c r="O1865" i="1" a="1"/>
  <c r="N1865" i="1"/>
  <c r="M1865" i="1"/>
  <c r="O1864" i="1"/>
  <c r="O1864" i="1" a="1"/>
  <c r="N1864" i="1"/>
  <c r="M1864" i="1"/>
  <c r="O1863" i="1" a="1"/>
  <c r="O1863" i="1" s="1"/>
  <c r="N1863" i="1"/>
  <c r="M1863" i="1"/>
  <c r="O1862" i="1"/>
  <c r="O1862" i="1" a="1"/>
  <c r="N1862" i="1"/>
  <c r="M1862" i="1"/>
  <c r="O1861" i="1" a="1"/>
  <c r="O1861" i="1" s="1"/>
  <c r="N1861" i="1"/>
  <c r="M1861" i="1"/>
  <c r="O1860" i="1" a="1"/>
  <c r="O1860" i="1" s="1"/>
  <c r="N1860" i="1"/>
  <c r="M1860" i="1"/>
  <c r="O1859" i="1"/>
  <c r="O1859" i="1" a="1"/>
  <c r="N1859" i="1"/>
  <c r="M1859" i="1"/>
  <c r="O1858" i="1"/>
  <c r="O1858" i="1" a="1"/>
  <c r="N1858" i="1"/>
  <c r="M1858" i="1"/>
  <c r="O1857" i="1" a="1"/>
  <c r="O1857" i="1" s="1"/>
  <c r="N1857" i="1"/>
  <c r="M1857" i="1"/>
  <c r="O1856" i="1" a="1"/>
  <c r="O1856" i="1" s="1"/>
  <c r="N1856" i="1"/>
  <c r="M1856" i="1"/>
  <c r="O1855" i="1" a="1"/>
  <c r="O1855" i="1" s="1"/>
  <c r="N1855" i="1"/>
  <c r="M1855" i="1"/>
  <c r="O1854" i="1" a="1"/>
  <c r="O1854" i="1" s="1"/>
  <c r="N1854" i="1"/>
  <c r="M1854" i="1"/>
  <c r="O1853" i="1" a="1"/>
  <c r="O1853" i="1" s="1"/>
  <c r="N1853" i="1"/>
  <c r="M1853" i="1"/>
  <c r="O1852" i="1"/>
  <c r="O1852" i="1" a="1"/>
  <c r="N1852" i="1"/>
  <c r="M1852" i="1"/>
  <c r="O1851" i="1" a="1"/>
  <c r="O1851" i="1" s="1"/>
  <c r="N1851" i="1"/>
  <c r="M1851" i="1"/>
  <c r="O1850" i="1"/>
  <c r="O1850" i="1" a="1"/>
  <c r="N1850" i="1"/>
  <c r="M1850" i="1"/>
  <c r="O1849" i="1"/>
  <c r="O1849" i="1" a="1"/>
  <c r="N1849" i="1"/>
  <c r="M1849" i="1"/>
  <c r="O1848" i="1" a="1"/>
  <c r="O1848" i="1" s="1"/>
  <c r="N1848" i="1"/>
  <c r="M1848" i="1"/>
  <c r="O1847" i="1"/>
  <c r="O1847" i="1" a="1"/>
  <c r="N1847" i="1"/>
  <c r="M1847" i="1"/>
  <c r="O1846" i="1" a="1"/>
  <c r="O1846" i="1" s="1"/>
  <c r="N1846" i="1"/>
  <c r="M1846" i="1"/>
  <c r="O1845" i="1" a="1"/>
  <c r="O1845" i="1" s="1"/>
  <c r="N1845" i="1"/>
  <c r="M1845" i="1"/>
  <c r="O1844" i="1"/>
  <c r="O1844" i="1" a="1"/>
  <c r="N1844" i="1"/>
  <c r="M1844" i="1"/>
  <c r="O1843" i="1" a="1"/>
  <c r="O1843" i="1" s="1"/>
  <c r="N1843" i="1"/>
  <c r="M1843" i="1"/>
  <c r="O1842" i="1" a="1"/>
  <c r="O1842" i="1" s="1"/>
  <c r="N1842" i="1"/>
  <c r="M1842" i="1"/>
  <c r="O1841" i="1" a="1"/>
  <c r="O1841" i="1" s="1"/>
  <c r="N1841" i="1"/>
  <c r="M1841" i="1"/>
  <c r="O1840" i="1" a="1"/>
  <c r="O1840" i="1" s="1"/>
  <c r="N1840" i="1"/>
  <c r="M1840" i="1"/>
  <c r="O1839" i="1" a="1"/>
  <c r="O1839" i="1" s="1"/>
  <c r="N1839" i="1"/>
  <c r="M1839" i="1"/>
  <c r="O1838" i="1" a="1"/>
  <c r="O1838" i="1" s="1"/>
  <c r="N1838" i="1"/>
  <c r="M1838" i="1"/>
  <c r="O1837" i="1"/>
  <c r="O1837" i="1" a="1"/>
  <c r="N1837" i="1"/>
  <c r="M1837" i="1"/>
  <c r="O1836" i="1" a="1"/>
  <c r="O1836" i="1" s="1"/>
  <c r="N1836" i="1"/>
  <c r="M1836" i="1"/>
  <c r="O1835" i="1"/>
  <c r="O1835" i="1" a="1"/>
  <c r="N1835" i="1"/>
  <c r="M1835" i="1"/>
  <c r="O1834" i="1"/>
  <c r="O1834" i="1" a="1"/>
  <c r="N1834" i="1"/>
  <c r="M1834" i="1"/>
  <c r="O1833" i="1" a="1"/>
  <c r="O1833" i="1" s="1"/>
  <c r="N1833" i="1"/>
  <c r="M1833" i="1"/>
  <c r="O1832" i="1" a="1"/>
  <c r="O1832" i="1" s="1"/>
  <c r="N1832" i="1"/>
  <c r="M1832" i="1"/>
  <c r="O1831" i="1" a="1"/>
  <c r="O1831" i="1" s="1"/>
  <c r="N1831" i="1"/>
  <c r="M1831" i="1"/>
  <c r="O1830" i="1" a="1"/>
  <c r="O1830" i="1" s="1"/>
  <c r="N1830" i="1"/>
  <c r="M1830" i="1"/>
  <c r="O1829" i="1"/>
  <c r="O1829" i="1" a="1"/>
  <c r="N1829" i="1"/>
  <c r="M1829" i="1"/>
  <c r="O1828" i="1"/>
  <c r="O1828" i="1" a="1"/>
  <c r="N1828" i="1"/>
  <c r="M1828" i="1"/>
  <c r="O1827" i="1" a="1"/>
  <c r="O1827" i="1" s="1"/>
  <c r="N1827" i="1"/>
  <c r="M1827" i="1"/>
  <c r="O1826" i="1"/>
  <c r="O1826" i="1" a="1"/>
  <c r="N1826" i="1"/>
  <c r="M1826" i="1"/>
  <c r="O1825" i="1" a="1"/>
  <c r="O1825" i="1" s="1"/>
  <c r="N1825" i="1"/>
  <c r="M1825" i="1"/>
  <c r="O1824" i="1" a="1"/>
  <c r="O1824" i="1" s="1"/>
  <c r="N1824" i="1"/>
  <c r="M1824" i="1"/>
  <c r="O1823" i="1"/>
  <c r="O1823" i="1" a="1"/>
  <c r="N1823" i="1"/>
  <c r="M1823" i="1"/>
  <c r="O1822" i="1"/>
  <c r="O1822" i="1" a="1"/>
  <c r="N1822" i="1"/>
  <c r="M1822" i="1"/>
  <c r="O1821" i="1" a="1"/>
  <c r="O1821" i="1" s="1"/>
  <c r="N1821" i="1"/>
  <c r="M1821" i="1"/>
  <c r="O1820" i="1"/>
  <c r="O1820" i="1" a="1"/>
  <c r="N1820" i="1"/>
  <c r="M1820" i="1"/>
  <c r="O1819" i="1" a="1"/>
  <c r="O1819" i="1" s="1"/>
  <c r="N1819" i="1"/>
  <c r="M1819" i="1"/>
  <c r="O1818" i="1" a="1"/>
  <c r="O1818" i="1" s="1"/>
  <c r="N1818" i="1"/>
  <c r="M1818" i="1"/>
  <c r="O1817" i="1"/>
  <c r="O1817" i="1" a="1"/>
  <c r="N1817" i="1"/>
  <c r="M1817" i="1"/>
  <c r="O1816" i="1"/>
  <c r="O1816" i="1" a="1"/>
  <c r="N1816" i="1"/>
  <c r="M1816" i="1"/>
  <c r="O1815" i="1" a="1"/>
  <c r="O1815" i="1" s="1"/>
  <c r="N1815" i="1"/>
  <c r="M1815" i="1"/>
  <c r="O1814" i="1" a="1"/>
  <c r="O1814" i="1" s="1"/>
  <c r="N1814" i="1"/>
  <c r="M1814" i="1"/>
  <c r="O1813" i="1"/>
  <c r="O1813" i="1" a="1"/>
  <c r="N1813" i="1"/>
  <c r="M1813" i="1"/>
  <c r="O1812" i="1" a="1"/>
  <c r="O1812" i="1" s="1"/>
  <c r="N1812" i="1"/>
  <c r="M1812" i="1"/>
  <c r="O1811" i="1"/>
  <c r="O1811" i="1" a="1"/>
  <c r="N1811" i="1"/>
  <c r="M1811" i="1"/>
  <c r="O1810" i="1"/>
  <c r="O1810" i="1" a="1"/>
  <c r="N1810" i="1"/>
  <c r="M1810" i="1"/>
  <c r="O1809" i="1" a="1"/>
  <c r="O1809" i="1" s="1"/>
  <c r="N1809" i="1"/>
  <c r="M1809" i="1"/>
  <c r="O1808" i="1" a="1"/>
  <c r="O1808" i="1" s="1"/>
  <c r="N1808" i="1"/>
  <c r="M1808" i="1"/>
  <c r="O1807" i="1"/>
  <c r="O1807" i="1" a="1"/>
  <c r="N1807" i="1"/>
  <c r="M1807" i="1"/>
  <c r="O1806" i="1" a="1"/>
  <c r="O1806" i="1" s="1"/>
  <c r="N1806" i="1"/>
  <c r="M1806" i="1"/>
  <c r="O1805" i="1"/>
  <c r="O1805" i="1" a="1"/>
  <c r="N1805" i="1"/>
  <c r="M1805" i="1"/>
  <c r="O1804" i="1" a="1"/>
  <c r="O1804" i="1" s="1"/>
  <c r="N1804" i="1"/>
  <c r="M1804" i="1"/>
  <c r="O1803" i="1" a="1"/>
  <c r="O1803" i="1" s="1"/>
  <c r="N1803" i="1"/>
  <c r="M1803" i="1"/>
  <c r="O1802" i="1" a="1"/>
  <c r="O1802" i="1" s="1"/>
  <c r="N1802" i="1"/>
  <c r="M1802" i="1"/>
  <c r="O1801" i="1" a="1"/>
  <c r="O1801" i="1" s="1"/>
  <c r="N1801" i="1"/>
  <c r="M1801" i="1"/>
  <c r="O1800" i="1" a="1"/>
  <c r="O1800" i="1" s="1"/>
  <c r="N1800" i="1"/>
  <c r="M1800" i="1"/>
  <c r="O1799" i="1"/>
  <c r="O1799" i="1" a="1"/>
  <c r="N1799" i="1"/>
  <c r="M1799" i="1"/>
  <c r="O1798" i="1" a="1"/>
  <c r="O1798" i="1" s="1"/>
  <c r="N1798" i="1"/>
  <c r="M1798" i="1"/>
  <c r="O1797" i="1" a="1"/>
  <c r="O1797" i="1" s="1"/>
  <c r="N1797" i="1"/>
  <c r="M1797" i="1"/>
  <c r="O1796" i="1" a="1"/>
  <c r="O1796" i="1" s="1"/>
  <c r="N1796" i="1"/>
  <c r="M1796" i="1"/>
  <c r="O1795" i="1" a="1"/>
  <c r="O1795" i="1" s="1"/>
  <c r="N1795" i="1"/>
  <c r="M1795" i="1"/>
  <c r="O1794" i="1" a="1"/>
  <c r="O1794" i="1" s="1"/>
  <c r="N1794" i="1"/>
  <c r="M1794" i="1"/>
  <c r="O1793" i="1"/>
  <c r="O1793" i="1" a="1"/>
  <c r="N1793" i="1"/>
  <c r="M1793" i="1"/>
  <c r="O1792" i="1" a="1"/>
  <c r="O1792" i="1" s="1"/>
  <c r="N1792" i="1"/>
  <c r="M1792" i="1"/>
  <c r="O1791" i="1" a="1"/>
  <c r="O1791" i="1" s="1"/>
  <c r="N1791" i="1"/>
  <c r="M1791" i="1"/>
  <c r="O1790" i="1"/>
  <c r="O1790" i="1" a="1"/>
  <c r="N1790" i="1"/>
  <c r="M1790" i="1"/>
  <c r="O1789" i="1" a="1"/>
  <c r="O1789" i="1" s="1"/>
  <c r="N1789" i="1"/>
  <c r="M1789" i="1"/>
  <c r="O1788" i="1" a="1"/>
  <c r="O1788" i="1" s="1"/>
  <c r="N1788" i="1"/>
  <c r="M1788" i="1"/>
  <c r="O1787" i="1"/>
  <c r="O1787" i="1" a="1"/>
  <c r="N1787" i="1"/>
  <c r="M1787" i="1"/>
  <c r="O1786" i="1"/>
  <c r="O1786" i="1" a="1"/>
  <c r="N1786" i="1"/>
  <c r="M1786" i="1"/>
  <c r="O1785" i="1" a="1"/>
  <c r="O1785" i="1" s="1"/>
  <c r="N1785" i="1"/>
  <c r="M1785" i="1"/>
  <c r="O1784" i="1" a="1"/>
  <c r="O1784" i="1" s="1"/>
  <c r="N1784" i="1"/>
  <c r="M1784" i="1"/>
  <c r="O1783" i="1" a="1"/>
  <c r="O1783" i="1" s="1"/>
  <c r="N1783" i="1"/>
  <c r="M1783" i="1"/>
  <c r="O1782" i="1" a="1"/>
  <c r="O1782" i="1" s="1"/>
  <c r="N1782" i="1"/>
  <c r="M1782" i="1"/>
  <c r="O1781" i="1"/>
  <c r="O1781" i="1" a="1"/>
  <c r="N1781" i="1"/>
  <c r="M1781" i="1"/>
  <c r="O1780" i="1"/>
  <c r="O1780" i="1" a="1"/>
  <c r="N1780" i="1"/>
  <c r="M1780" i="1"/>
  <c r="O1779" i="1" a="1"/>
  <c r="O1779" i="1" s="1"/>
  <c r="N1779" i="1"/>
  <c r="M1779" i="1"/>
  <c r="O1778" i="1" a="1"/>
  <c r="O1778" i="1" s="1"/>
  <c r="N1778" i="1"/>
  <c r="M1778" i="1"/>
  <c r="O1777" i="1"/>
  <c r="O1777" i="1" a="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a="1"/>
  <c r="O1771" i="1" s="1"/>
  <c r="N1771" i="1"/>
  <c r="M1771" i="1"/>
  <c r="O1770" i="1" a="1"/>
  <c r="O1770" i="1" s="1"/>
  <c r="N1770" i="1"/>
  <c r="M1770" i="1"/>
  <c r="O1769" i="1" a="1"/>
  <c r="O1769" i="1" s="1"/>
  <c r="N1769" i="1"/>
  <c r="M1769" i="1"/>
  <c r="O1768" i="1"/>
  <c r="O1768" i="1" a="1"/>
  <c r="N1768" i="1"/>
  <c r="M1768" i="1"/>
  <c r="O1767" i="1" a="1"/>
  <c r="O1767" i="1" s="1"/>
  <c r="N1767" i="1"/>
  <c r="M1767" i="1"/>
  <c r="O1766" i="1" a="1"/>
  <c r="O1766" i="1" s="1"/>
  <c r="N1766" i="1"/>
  <c r="M1766" i="1"/>
  <c r="O1765" i="1"/>
  <c r="O1765" i="1" a="1"/>
  <c r="N1765" i="1"/>
  <c r="M1765" i="1"/>
  <c r="O1764" i="1" a="1"/>
  <c r="O1764" i="1" s="1"/>
  <c r="N1764" i="1"/>
  <c r="M1764" i="1"/>
  <c r="O1763" i="1"/>
  <c r="O1763" i="1" a="1"/>
  <c r="N1763" i="1"/>
  <c r="M1763" i="1"/>
  <c r="O1762" i="1"/>
  <c r="O1762" i="1" a="1"/>
  <c r="N1762" i="1"/>
  <c r="M1762" i="1"/>
  <c r="O1761" i="1" a="1"/>
  <c r="O1761" i="1" s="1"/>
  <c r="N1761" i="1"/>
  <c r="M1761" i="1"/>
  <c r="O1760" i="1" a="1"/>
  <c r="O1760" i="1" s="1"/>
  <c r="N1760" i="1"/>
  <c r="M1760" i="1"/>
  <c r="O1759" i="1"/>
  <c r="O1759" i="1" a="1"/>
  <c r="N1759" i="1"/>
  <c r="M1759" i="1"/>
  <c r="O1758" i="1" a="1"/>
  <c r="O1758" i="1" s="1"/>
  <c r="N1758" i="1"/>
  <c r="M1758" i="1"/>
  <c r="O1757" i="1"/>
  <c r="O1757" i="1" a="1"/>
  <c r="N1757" i="1"/>
  <c r="M1757" i="1"/>
  <c r="O1756" i="1"/>
  <c r="O1756" i="1" a="1"/>
  <c r="N1756" i="1"/>
  <c r="M1756" i="1"/>
  <c r="O1755" i="1" a="1"/>
  <c r="O1755" i="1" s="1"/>
  <c r="N1755" i="1"/>
  <c r="M1755" i="1"/>
  <c r="O1754" i="1"/>
  <c r="O1754" i="1" a="1"/>
  <c r="N1754" i="1"/>
  <c r="M1754" i="1"/>
  <c r="O1753" i="1" a="1"/>
  <c r="O1753" i="1" s="1"/>
  <c r="N1753" i="1"/>
  <c r="M1753" i="1"/>
  <c r="O1752" i="1" a="1"/>
  <c r="O1752" i="1" s="1"/>
  <c r="N1752" i="1"/>
  <c r="M1752" i="1"/>
  <c r="O1751" i="1" a="1"/>
  <c r="O1751" i="1" s="1"/>
  <c r="N1751" i="1"/>
  <c r="M1751" i="1"/>
  <c r="O1750" i="1"/>
  <c r="O1750" i="1" a="1"/>
  <c r="N1750" i="1"/>
  <c r="M1750" i="1"/>
  <c r="O1749" i="1" a="1"/>
  <c r="O1749" i="1" s="1"/>
  <c r="N1749" i="1"/>
  <c r="M1749" i="1"/>
  <c r="O1748" i="1"/>
  <c r="O1748" i="1" a="1"/>
  <c r="N1748" i="1"/>
  <c r="M1748" i="1"/>
  <c r="O1747" i="1" a="1"/>
  <c r="O1747" i="1" s="1"/>
  <c r="N1747" i="1"/>
  <c r="M1747" i="1"/>
  <c r="O1746" i="1" a="1"/>
  <c r="O1746" i="1" s="1"/>
  <c r="N1746" i="1"/>
  <c r="M1746" i="1"/>
  <c r="O1745" i="1" a="1"/>
  <c r="O1745" i="1" s="1"/>
  <c r="N1745" i="1"/>
  <c r="M1745" i="1"/>
  <c r="O1744" i="1"/>
  <c r="O1744" i="1" a="1"/>
  <c r="N1744" i="1"/>
  <c r="M1744" i="1"/>
  <c r="O1743" i="1" a="1"/>
  <c r="O1743" i="1" s="1"/>
  <c r="N1743" i="1"/>
  <c r="M1743" i="1"/>
  <c r="O1742" i="1"/>
  <c r="O1742" i="1" a="1"/>
  <c r="N1742" i="1"/>
  <c r="M1742" i="1"/>
  <c r="O1741" i="1"/>
  <c r="O1741" i="1" a="1"/>
  <c r="N1741" i="1"/>
  <c r="M1741" i="1"/>
  <c r="O1740" i="1" a="1"/>
  <c r="O1740" i="1" s="1"/>
  <c r="N1740" i="1"/>
  <c r="M1740" i="1"/>
  <c r="O1739" i="1"/>
  <c r="O1739" i="1" a="1"/>
  <c r="N1739" i="1"/>
  <c r="M1739" i="1"/>
  <c r="O1738" i="1"/>
  <c r="O1738" i="1" a="1"/>
  <c r="N1738" i="1"/>
  <c r="M1738" i="1"/>
  <c r="O1737" i="1" a="1"/>
  <c r="O1737" i="1" s="1"/>
  <c r="N1737" i="1"/>
  <c r="M1737" i="1"/>
  <c r="O1736" i="1"/>
  <c r="O1736" i="1" a="1"/>
  <c r="N1736" i="1"/>
  <c r="M1736" i="1"/>
  <c r="O1735" i="1" a="1"/>
  <c r="O1735" i="1" s="1"/>
  <c r="N1735" i="1"/>
  <c r="M1735" i="1"/>
  <c r="O1734" i="1" a="1"/>
  <c r="O1734" i="1" s="1"/>
  <c r="N1734" i="1"/>
  <c r="M1734" i="1"/>
  <c r="O1733" i="1"/>
  <c r="O1733" i="1" a="1"/>
  <c r="N1733" i="1"/>
  <c r="M1733" i="1"/>
  <c r="O1732" i="1" a="1"/>
  <c r="O1732" i="1" s="1"/>
  <c r="N1732" i="1"/>
  <c r="M1732" i="1"/>
  <c r="O1731" i="1" a="1"/>
  <c r="O1731" i="1" s="1"/>
  <c r="N1731" i="1"/>
  <c r="M1731" i="1"/>
  <c r="O1730" i="1" a="1"/>
  <c r="O1730" i="1" s="1"/>
  <c r="N1730" i="1"/>
  <c r="M1730" i="1"/>
  <c r="O1729" i="1"/>
  <c r="O1729" i="1" a="1"/>
  <c r="N1729" i="1"/>
  <c r="M1729" i="1"/>
  <c r="O1728" i="1" a="1"/>
  <c r="O1728" i="1" s="1"/>
  <c r="N1728" i="1"/>
  <c r="M1728" i="1"/>
  <c r="O1727" i="1"/>
  <c r="O1727" i="1" a="1"/>
  <c r="N1727" i="1"/>
  <c r="M1727" i="1"/>
  <c r="O1726" i="1"/>
  <c r="O1726" i="1" a="1"/>
  <c r="N1726" i="1"/>
  <c r="M1726" i="1"/>
  <c r="O1725" i="1" a="1"/>
  <c r="O1725" i="1" s="1"/>
  <c r="N1725" i="1"/>
  <c r="M1725" i="1"/>
  <c r="O1724" i="1" a="1"/>
  <c r="O1724" i="1" s="1"/>
  <c r="N1724" i="1"/>
  <c r="M1724" i="1"/>
  <c r="O1723" i="1" a="1"/>
  <c r="O1723" i="1" s="1"/>
  <c r="N1723" i="1"/>
  <c r="M1723" i="1"/>
  <c r="O1722" i="1" a="1"/>
  <c r="O1722" i="1" s="1"/>
  <c r="N1722" i="1"/>
  <c r="M1722" i="1"/>
  <c r="O1721" i="1"/>
  <c r="O1721" i="1" a="1"/>
  <c r="N1721" i="1"/>
  <c r="M1721" i="1"/>
  <c r="O1720" i="1" a="1"/>
  <c r="O1720" i="1" s="1"/>
  <c r="N1720" i="1"/>
  <c r="M1720" i="1"/>
  <c r="O1719" i="1" a="1"/>
  <c r="O1719" i="1" s="1"/>
  <c r="N1719" i="1"/>
  <c r="M1719" i="1"/>
  <c r="O1718" i="1"/>
  <c r="O1718" i="1" a="1"/>
  <c r="N1718" i="1"/>
  <c r="M1718" i="1"/>
  <c r="O1717" i="1" a="1"/>
  <c r="O1717" i="1" s="1"/>
  <c r="N1717" i="1"/>
  <c r="M1717" i="1"/>
  <c r="O1716" i="1" a="1"/>
  <c r="O1716" i="1" s="1"/>
  <c r="N1716" i="1"/>
  <c r="M1716" i="1"/>
  <c r="O1715" i="1"/>
  <c r="O1715" i="1" a="1"/>
  <c r="N1715" i="1"/>
  <c r="M1715" i="1"/>
  <c r="O1714" i="1"/>
  <c r="O1714" i="1" a="1"/>
  <c r="N1714" i="1"/>
  <c r="M1714" i="1"/>
  <c r="O1713" i="1" a="1"/>
  <c r="O1713" i="1" s="1"/>
  <c r="N1713" i="1"/>
  <c r="M1713" i="1"/>
  <c r="O1712" i="1"/>
  <c r="O1712" i="1" a="1"/>
  <c r="N1712" i="1"/>
  <c r="M1712" i="1"/>
  <c r="O1711" i="1" a="1"/>
  <c r="O1711" i="1" s="1"/>
  <c r="N1711" i="1"/>
  <c r="M1711" i="1"/>
  <c r="O1710" i="1" a="1"/>
  <c r="O1710" i="1" s="1"/>
  <c r="N1710" i="1"/>
  <c r="M1710" i="1"/>
  <c r="O1709" i="1" a="1"/>
  <c r="O1709" i="1" s="1"/>
  <c r="N1709" i="1"/>
  <c r="M1709" i="1"/>
  <c r="O1708" i="1"/>
  <c r="O1708" i="1" a="1"/>
  <c r="N1708" i="1"/>
  <c r="M1708" i="1"/>
  <c r="O1707" i="1" a="1"/>
  <c r="O1707" i="1" s="1"/>
  <c r="N1707" i="1"/>
  <c r="M1707" i="1"/>
  <c r="O1706" i="1" a="1"/>
  <c r="O1706" i="1" s="1"/>
  <c r="N1706" i="1"/>
  <c r="M1706" i="1"/>
  <c r="O1705" i="1"/>
  <c r="O1705" i="1" a="1"/>
  <c r="N1705" i="1"/>
  <c r="M1705" i="1"/>
  <c r="O1704" i="1" a="1"/>
  <c r="O1704" i="1" s="1"/>
  <c r="N1704" i="1"/>
  <c r="M1704" i="1"/>
  <c r="O1703" i="1" a="1"/>
  <c r="O1703" i="1" s="1"/>
  <c r="N1703" i="1"/>
  <c r="M1703" i="1"/>
  <c r="O1702" i="1"/>
  <c r="O1702" i="1" a="1"/>
  <c r="N1702" i="1"/>
  <c r="M1702" i="1"/>
  <c r="O1701" i="1" a="1"/>
  <c r="O1701" i="1" s="1"/>
  <c r="N1701" i="1"/>
  <c r="M1701" i="1"/>
  <c r="O1700" i="1" a="1"/>
  <c r="O1700" i="1" s="1"/>
  <c r="N1700" i="1"/>
  <c r="M1700" i="1"/>
  <c r="O1699" i="1"/>
  <c r="O1699" i="1" a="1"/>
  <c r="N1699" i="1"/>
  <c r="M1699" i="1"/>
  <c r="O1698" i="1" a="1"/>
  <c r="O1698" i="1" s="1"/>
  <c r="N1698" i="1"/>
  <c r="M1698" i="1"/>
  <c r="O1697" i="1"/>
  <c r="O1697" i="1" a="1"/>
  <c r="N1697" i="1"/>
  <c r="M1697" i="1"/>
  <c r="O1696" i="1" a="1"/>
  <c r="O1696" i="1" s="1"/>
  <c r="N1696" i="1"/>
  <c r="M1696" i="1"/>
  <c r="O1695" i="1" a="1"/>
  <c r="O1695" i="1" s="1"/>
  <c r="N1695" i="1"/>
  <c r="M1695" i="1"/>
  <c r="O1694" i="1" a="1"/>
  <c r="O1694" i="1" s="1"/>
  <c r="N1694" i="1"/>
  <c r="M1694" i="1"/>
  <c r="O1693" i="1" a="1"/>
  <c r="O1693" i="1" s="1"/>
  <c r="N1693" i="1"/>
  <c r="M1693" i="1"/>
  <c r="O1692" i="1" a="1"/>
  <c r="O1692" i="1" s="1"/>
  <c r="N1692" i="1"/>
  <c r="M1692" i="1"/>
  <c r="O1691" i="1"/>
  <c r="O1691" i="1" a="1"/>
  <c r="N1691" i="1"/>
  <c r="M1691" i="1"/>
  <c r="O1690" i="1" a="1"/>
  <c r="O1690" i="1" s="1"/>
  <c r="N1690" i="1"/>
  <c r="M1690" i="1"/>
  <c r="O1689" i="1" a="1"/>
  <c r="O1689" i="1" s="1"/>
  <c r="N1689" i="1"/>
  <c r="M1689" i="1"/>
  <c r="O1688" i="1" a="1"/>
  <c r="O1688" i="1" s="1"/>
  <c r="N1688" i="1"/>
  <c r="M1688" i="1"/>
  <c r="O1687" i="1" a="1"/>
  <c r="O1687" i="1" s="1"/>
  <c r="N1687" i="1"/>
  <c r="M1687" i="1"/>
  <c r="O1686" i="1" a="1"/>
  <c r="O1686" i="1" s="1"/>
  <c r="N1686" i="1"/>
  <c r="M1686" i="1"/>
  <c r="O1685" i="1"/>
  <c r="O1685" i="1" a="1"/>
  <c r="N1685" i="1"/>
  <c r="M1685" i="1"/>
  <c r="O1684" i="1" a="1"/>
  <c r="O1684" i="1" s="1"/>
  <c r="N1684" i="1"/>
  <c r="M1684" i="1"/>
  <c r="O1683" i="1" a="1"/>
  <c r="O1683" i="1" s="1"/>
  <c r="N1683" i="1"/>
  <c r="M1683" i="1"/>
  <c r="O1682" i="1"/>
  <c r="O1682" i="1" a="1"/>
  <c r="N1682" i="1"/>
  <c r="M1682" i="1"/>
  <c r="O1681" i="1" a="1"/>
  <c r="O1681" i="1" s="1"/>
  <c r="N1681" i="1"/>
  <c r="M1681" i="1"/>
  <c r="O1680" i="1" a="1"/>
  <c r="O1680" i="1" s="1"/>
  <c r="N1680" i="1"/>
  <c r="M1680" i="1"/>
  <c r="O1679" i="1" a="1"/>
  <c r="O1679" i="1" s="1"/>
  <c r="N1679" i="1"/>
  <c r="M1679" i="1"/>
  <c r="O1678" i="1"/>
  <c r="O1678" i="1" a="1"/>
  <c r="N1678" i="1"/>
  <c r="M1678" i="1"/>
  <c r="O1677" i="1" a="1"/>
  <c r="O1677" i="1" s="1"/>
  <c r="N1677" i="1"/>
  <c r="M1677" i="1"/>
  <c r="O1676" i="1"/>
  <c r="O1676" i="1" a="1"/>
  <c r="N1676" i="1"/>
  <c r="M1676" i="1"/>
  <c r="O1675" i="1" a="1"/>
  <c r="O1675" i="1" s="1"/>
  <c r="N1675" i="1"/>
  <c r="M1675" i="1"/>
  <c r="O1674" i="1" a="1"/>
  <c r="O1674" i="1" s="1"/>
  <c r="N1674" i="1"/>
  <c r="M1674" i="1"/>
  <c r="O1673" i="1"/>
  <c r="O1673" i="1" a="1"/>
  <c r="N1673" i="1"/>
  <c r="M1673" i="1"/>
  <c r="O1672" i="1"/>
  <c r="O1672" i="1" a="1"/>
  <c r="N1672" i="1"/>
  <c r="M1672" i="1"/>
  <c r="O1671" i="1" a="1"/>
  <c r="O1671" i="1" s="1"/>
  <c r="N1671" i="1"/>
  <c r="M1671" i="1"/>
  <c r="O1670" i="1" a="1"/>
  <c r="O1670" i="1" s="1"/>
  <c r="N1670" i="1"/>
  <c r="M1670" i="1"/>
  <c r="O1669" i="1"/>
  <c r="O1669" i="1" a="1"/>
  <c r="N1669" i="1"/>
  <c r="M1669" i="1"/>
  <c r="O1668" i="1" a="1"/>
  <c r="O1668" i="1" s="1"/>
  <c r="N1668" i="1"/>
  <c r="M1668" i="1"/>
  <c r="O1667" i="1" a="1"/>
  <c r="O1667" i="1" s="1"/>
  <c r="N1667" i="1"/>
  <c r="M1667" i="1"/>
  <c r="O1666" i="1"/>
  <c r="O1666" i="1" a="1"/>
  <c r="N1666" i="1"/>
  <c r="M1666" i="1"/>
  <c r="O1665" i="1" a="1"/>
  <c r="O1665" i="1" s="1"/>
  <c r="N1665" i="1"/>
  <c r="M1665" i="1"/>
  <c r="O1664" i="1"/>
  <c r="O1664" i="1" a="1"/>
  <c r="N1664" i="1"/>
  <c r="M1664" i="1"/>
  <c r="O1663" i="1" a="1"/>
  <c r="O1663" i="1" s="1"/>
  <c r="N1663" i="1"/>
  <c r="M1663" i="1"/>
  <c r="O1662" i="1" a="1"/>
  <c r="O1662" i="1" s="1"/>
  <c r="N1662" i="1"/>
  <c r="M1662" i="1"/>
  <c r="O1661" i="1" a="1"/>
  <c r="O1661" i="1" s="1"/>
  <c r="N1661" i="1"/>
  <c r="M1661" i="1"/>
  <c r="O1660" i="1"/>
  <c r="O1660" i="1" a="1"/>
  <c r="N1660" i="1"/>
  <c r="M1660" i="1"/>
  <c r="O1659" i="1" a="1"/>
  <c r="O1659" i="1" s="1"/>
  <c r="N1659" i="1"/>
  <c r="M1659" i="1"/>
  <c r="O1658" i="1"/>
  <c r="O1658" i="1" a="1"/>
  <c r="N1658" i="1"/>
  <c r="M1658" i="1"/>
  <c r="O1657" i="1"/>
  <c r="O1657" i="1" a="1"/>
  <c r="N1657" i="1"/>
  <c r="M1657" i="1"/>
  <c r="O1656" i="1" a="1"/>
  <c r="O1656" i="1" s="1"/>
  <c r="N1656" i="1"/>
  <c r="M1656" i="1"/>
  <c r="O1655" i="1"/>
  <c r="O1655" i="1" a="1"/>
  <c r="N1655" i="1"/>
  <c r="M1655" i="1"/>
  <c r="O1654" i="1" a="1"/>
  <c r="O1654" i="1" s="1"/>
  <c r="N1654" i="1"/>
  <c r="M1654" i="1"/>
  <c r="O1653" i="1" a="1"/>
  <c r="O1653" i="1" s="1"/>
  <c r="N1653" i="1"/>
  <c r="M1653" i="1"/>
  <c r="O1652" i="1" a="1"/>
  <c r="O1652" i="1" s="1"/>
  <c r="N1652" i="1"/>
  <c r="M1652" i="1"/>
  <c r="O1651" i="1" a="1"/>
  <c r="O1651" i="1" s="1"/>
  <c r="N1651" i="1"/>
  <c r="M1651" i="1"/>
  <c r="O1650" i="1" a="1"/>
  <c r="O1650" i="1" s="1"/>
  <c r="N1650" i="1"/>
  <c r="M1650" i="1"/>
  <c r="O1649" i="1"/>
  <c r="O1649" i="1" a="1"/>
  <c r="N1649" i="1"/>
  <c r="M1649" i="1"/>
  <c r="O1648" i="1"/>
  <c r="O1648" i="1" a="1"/>
  <c r="N1648" i="1"/>
  <c r="M1648" i="1"/>
  <c r="O1647" i="1" a="1"/>
  <c r="O1647" i="1" s="1"/>
  <c r="N1647" i="1"/>
  <c r="M1647" i="1"/>
  <c r="O1646" i="1"/>
  <c r="O1646" i="1" a="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c r="O1640" i="1" a="1"/>
  <c r="N1640" i="1"/>
  <c r="M1640" i="1"/>
  <c r="O1639" i="1" a="1"/>
  <c r="O1639" i="1" s="1"/>
  <c r="N1639" i="1"/>
  <c r="M1639" i="1"/>
  <c r="O1638" i="1" a="1"/>
  <c r="O1638" i="1" s="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a="1"/>
  <c r="O1631" i="1" s="1"/>
  <c r="N1631" i="1"/>
  <c r="M1631" i="1"/>
  <c r="O1630" i="1"/>
  <c r="O1630" i="1" a="1"/>
  <c r="N1630" i="1"/>
  <c r="M1630" i="1"/>
  <c r="O1629" i="1" a="1"/>
  <c r="O1629" i="1" s="1"/>
  <c r="N1629" i="1"/>
  <c r="M1629" i="1"/>
  <c r="O1628" i="1"/>
  <c r="O1628" i="1" a="1"/>
  <c r="N1628" i="1"/>
  <c r="M1628" i="1"/>
  <c r="O1627" i="1" a="1"/>
  <c r="O1627" i="1" s="1"/>
  <c r="N1627" i="1"/>
  <c r="M1627" i="1"/>
  <c r="O1626" i="1" a="1"/>
  <c r="O1626" i="1" s="1"/>
  <c r="N1626" i="1"/>
  <c r="M1626" i="1"/>
  <c r="O1625" i="1"/>
  <c r="O1625" i="1" a="1"/>
  <c r="N1625" i="1"/>
  <c r="M1625" i="1"/>
  <c r="O1624" i="1" a="1"/>
  <c r="O1624" i="1" s="1"/>
  <c r="N1624" i="1"/>
  <c r="M1624" i="1"/>
  <c r="O1623" i="1" a="1"/>
  <c r="O1623" i="1" s="1"/>
  <c r="N1623" i="1"/>
  <c r="M1623" i="1"/>
  <c r="O1622" i="1"/>
  <c r="O1622" i="1" a="1"/>
  <c r="N1622" i="1"/>
  <c r="M1622" i="1"/>
  <c r="O1621" i="1" a="1"/>
  <c r="O1621" i="1" s="1"/>
  <c r="N1621" i="1"/>
  <c r="M1621" i="1"/>
  <c r="O1620" i="1" a="1"/>
  <c r="O1620" i="1" s="1"/>
  <c r="N1620" i="1"/>
  <c r="M1620" i="1"/>
  <c r="O1619" i="1" a="1"/>
  <c r="O1619" i="1" s="1"/>
  <c r="N1619" i="1"/>
  <c r="M1619" i="1"/>
  <c r="O1618" i="1" a="1"/>
  <c r="O1618" i="1" s="1"/>
  <c r="N1618" i="1"/>
  <c r="M1618" i="1"/>
  <c r="O1617" i="1" a="1"/>
  <c r="O1617" i="1" s="1"/>
  <c r="N1617" i="1"/>
  <c r="M1617" i="1"/>
  <c r="O1616" i="1" a="1"/>
  <c r="O1616" i="1" s="1"/>
  <c r="N1616" i="1"/>
  <c r="M1616" i="1"/>
  <c r="O1615" i="1"/>
  <c r="O1615" i="1" a="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a="1"/>
  <c r="O1608" i="1" s="1"/>
  <c r="N1608" i="1"/>
  <c r="M1608" i="1"/>
  <c r="O1607" i="1" a="1"/>
  <c r="O1607" i="1" s="1"/>
  <c r="N1607" i="1"/>
  <c r="M1607" i="1"/>
  <c r="O1606" i="1" a="1"/>
  <c r="O1606" i="1" s="1"/>
  <c r="N1606" i="1"/>
  <c r="M1606" i="1"/>
  <c r="O1605" i="1" a="1"/>
  <c r="O1605" i="1" s="1"/>
  <c r="N1605" i="1"/>
  <c r="M1605" i="1"/>
  <c r="O1604" i="1" a="1"/>
  <c r="O1604" i="1" s="1"/>
  <c r="N1604" i="1"/>
  <c r="M1604" i="1"/>
  <c r="O1603" i="1" a="1"/>
  <c r="O1603" i="1" s="1"/>
  <c r="N1603" i="1"/>
  <c r="M1603" i="1"/>
  <c r="O1602" i="1" a="1"/>
  <c r="O1602" i="1" s="1"/>
  <c r="N1602" i="1"/>
  <c r="M1602" i="1"/>
  <c r="O1601" i="1" a="1"/>
  <c r="O1601" i="1" s="1"/>
  <c r="N1601" i="1"/>
  <c r="M1601" i="1"/>
  <c r="O1600" i="1"/>
  <c r="O1600" i="1" a="1"/>
  <c r="N1600" i="1"/>
  <c r="M1600" i="1"/>
  <c r="O1599" i="1" a="1"/>
  <c r="O1599" i="1" s="1"/>
  <c r="N1599" i="1"/>
  <c r="M1599" i="1"/>
  <c r="O1598" i="1"/>
  <c r="O1598" i="1" a="1"/>
  <c r="N1598" i="1"/>
  <c r="M1598" i="1"/>
  <c r="O1597" i="1"/>
  <c r="O1597" i="1" a="1"/>
  <c r="N1597" i="1"/>
  <c r="M1597" i="1"/>
  <c r="O1596" i="1" a="1"/>
  <c r="O1596" i="1" s="1"/>
  <c r="N1596" i="1"/>
  <c r="M1596" i="1"/>
  <c r="O1595" i="1"/>
  <c r="O1595" i="1" a="1"/>
  <c r="N1595" i="1"/>
  <c r="M1595" i="1"/>
  <c r="O1594" i="1" a="1"/>
  <c r="O1594" i="1" s="1"/>
  <c r="N1594" i="1"/>
  <c r="M1594" i="1"/>
  <c r="O1593" i="1" a="1"/>
  <c r="O1593" i="1" s="1"/>
  <c r="N1593" i="1"/>
  <c r="M1593" i="1"/>
  <c r="O1592" i="1"/>
  <c r="O1592" i="1" a="1"/>
  <c r="N1592" i="1"/>
  <c r="M1592" i="1"/>
  <c r="O1591" i="1"/>
  <c r="O1591" i="1" a="1"/>
  <c r="N1591" i="1"/>
  <c r="M1591" i="1"/>
  <c r="O1590" i="1" a="1"/>
  <c r="O1590" i="1" s="1"/>
  <c r="N1590" i="1"/>
  <c r="M1590" i="1"/>
  <c r="O1589" i="1"/>
  <c r="O1589" i="1" a="1"/>
  <c r="N1589" i="1"/>
  <c r="M1589" i="1"/>
  <c r="O1588" i="1" a="1"/>
  <c r="O1588" i="1" s="1"/>
  <c r="N1588" i="1"/>
  <c r="M1588" i="1"/>
  <c r="O1587" i="1" a="1"/>
  <c r="O1587" i="1" s="1"/>
  <c r="N1587" i="1"/>
  <c r="M1587" i="1"/>
  <c r="O1586" i="1"/>
  <c r="O1586" i="1" a="1"/>
  <c r="N1586" i="1"/>
  <c r="M1586" i="1"/>
  <c r="O1585" i="1"/>
  <c r="O1585" i="1" a="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a="1"/>
  <c r="O1579" i="1" s="1"/>
  <c r="N1579" i="1"/>
  <c r="M1579" i="1"/>
  <c r="O1578" i="1" a="1"/>
  <c r="O1578" i="1" s="1"/>
  <c r="N1578" i="1"/>
  <c r="M1578" i="1"/>
  <c r="O1577" i="1"/>
  <c r="O1577" i="1" a="1"/>
  <c r="N1577" i="1"/>
  <c r="M1577" i="1"/>
  <c r="O1576" i="1"/>
  <c r="O1576" i="1" a="1"/>
  <c r="N1576" i="1"/>
  <c r="M1576" i="1"/>
  <c r="O1575" i="1" a="1"/>
  <c r="O1575" i="1" s="1"/>
  <c r="N1575" i="1"/>
  <c r="M1575" i="1"/>
  <c r="O1574" i="1"/>
  <c r="O1574" i="1" a="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a="1"/>
  <c r="O1568" i="1" s="1"/>
  <c r="N1568" i="1"/>
  <c r="M1568" i="1"/>
  <c r="O1567" i="1" a="1"/>
  <c r="O1567" i="1" s="1"/>
  <c r="N1567" i="1"/>
  <c r="M1567" i="1"/>
  <c r="O1566" i="1" a="1"/>
  <c r="O1566" i="1" s="1"/>
  <c r="N1566" i="1"/>
  <c r="M1566" i="1"/>
  <c r="O1565" i="1"/>
  <c r="O1565" i="1" a="1"/>
  <c r="N1565" i="1"/>
  <c r="M1565" i="1"/>
  <c r="O1564" i="1"/>
  <c r="O1564" i="1" a="1"/>
  <c r="N1564" i="1"/>
  <c r="M1564" i="1"/>
  <c r="O1563" i="1" a="1"/>
  <c r="O1563" i="1" s="1"/>
  <c r="N1563" i="1"/>
  <c r="M1563" i="1"/>
  <c r="O1562" i="1"/>
  <c r="O1562" i="1" a="1"/>
  <c r="N1562" i="1"/>
  <c r="M1562" i="1"/>
  <c r="O1561" i="1" a="1"/>
  <c r="O1561" i="1" s="1"/>
  <c r="N1561" i="1"/>
  <c r="M1561" i="1"/>
  <c r="O1560" i="1" a="1"/>
  <c r="O1560" i="1" s="1"/>
  <c r="N1560" i="1"/>
  <c r="M1560" i="1"/>
  <c r="O1559" i="1" a="1"/>
  <c r="O1559" i="1" s="1"/>
  <c r="N1559" i="1"/>
  <c r="M1559" i="1"/>
  <c r="O1558" i="1" a="1"/>
  <c r="O1558" i="1" s="1"/>
  <c r="N1558" i="1"/>
  <c r="M1558" i="1"/>
  <c r="O1557" i="1" a="1"/>
  <c r="O1557" i="1" s="1"/>
  <c r="N1557" i="1"/>
  <c r="M1557" i="1"/>
  <c r="O1556" i="1" a="1"/>
  <c r="O1556" i="1" s="1"/>
  <c r="N1556" i="1"/>
  <c r="M1556" i="1"/>
  <c r="O1555" i="1"/>
  <c r="O1555" i="1" a="1"/>
  <c r="N1555" i="1"/>
  <c r="M1555" i="1"/>
  <c r="O1554" i="1" a="1"/>
  <c r="O1554" i="1" s="1"/>
  <c r="N1554" i="1"/>
  <c r="M1554" i="1"/>
  <c r="O1553" i="1" a="1"/>
  <c r="O1553" i="1" s="1"/>
  <c r="N1553" i="1"/>
  <c r="M1553" i="1"/>
  <c r="O1552" i="1"/>
  <c r="O1552" i="1" a="1"/>
  <c r="N1552" i="1"/>
  <c r="M1552" i="1"/>
  <c r="O1551" i="1" a="1"/>
  <c r="O1551" i="1" s="1"/>
  <c r="N1551" i="1"/>
  <c r="M1551" i="1"/>
  <c r="O1550" i="1" a="1"/>
  <c r="O1550" i="1" s="1"/>
  <c r="N1550" i="1"/>
  <c r="M1550" i="1"/>
  <c r="O1549" i="1" a="1"/>
  <c r="O1549" i="1" s="1"/>
  <c r="N1549" i="1"/>
  <c r="M1549" i="1"/>
  <c r="O1548" i="1" a="1"/>
  <c r="O1548" i="1" s="1"/>
  <c r="N1548" i="1"/>
  <c r="M1548" i="1"/>
  <c r="O1547" i="1"/>
  <c r="O1547" i="1" a="1"/>
  <c r="N1547" i="1"/>
  <c r="M1547" i="1"/>
  <c r="O1546" i="1" a="1"/>
  <c r="O1546" i="1" s="1"/>
  <c r="N1546" i="1"/>
  <c r="M1546" i="1"/>
  <c r="O1545" i="1" a="1"/>
  <c r="O1545" i="1" s="1"/>
  <c r="N1545" i="1"/>
  <c r="M1545" i="1"/>
  <c r="O1544" i="1" a="1"/>
  <c r="O1544" i="1" s="1"/>
  <c r="N1544" i="1"/>
  <c r="M1544" i="1"/>
  <c r="O1543" i="1"/>
  <c r="O1543" i="1" a="1"/>
  <c r="N1543" i="1"/>
  <c r="M1543" i="1"/>
  <c r="O1542" i="1" a="1"/>
  <c r="O1542" i="1" s="1"/>
  <c r="N1542" i="1"/>
  <c r="M1542" i="1"/>
  <c r="O1541" i="1"/>
  <c r="O1541" i="1" a="1"/>
  <c r="N1541" i="1"/>
  <c r="M1541" i="1"/>
  <c r="O1540" i="1" a="1"/>
  <c r="O1540" i="1" s="1"/>
  <c r="N1540" i="1"/>
  <c r="M1540" i="1"/>
  <c r="O1539" i="1" a="1"/>
  <c r="O1539" i="1" s="1"/>
  <c r="N1539" i="1"/>
  <c r="M1539" i="1"/>
  <c r="O1538" i="1" a="1"/>
  <c r="O1538" i="1" s="1"/>
  <c r="N1538" i="1"/>
  <c r="M1538" i="1"/>
  <c r="O1537" i="1"/>
  <c r="O1537" i="1" a="1"/>
  <c r="N1537" i="1"/>
  <c r="M1537" i="1"/>
  <c r="O1536" i="1" a="1"/>
  <c r="O1536" i="1" s="1"/>
  <c r="N1536" i="1"/>
  <c r="M1536" i="1"/>
  <c r="O1535" i="1"/>
  <c r="O1535" i="1" a="1"/>
  <c r="N1535" i="1"/>
  <c r="M1535" i="1"/>
  <c r="O1534" i="1" a="1"/>
  <c r="O1534" i="1" s="1"/>
  <c r="N1534" i="1"/>
  <c r="M1534" i="1"/>
  <c r="O1533" i="1" a="1"/>
  <c r="O1533" i="1" s="1"/>
  <c r="N1533" i="1"/>
  <c r="M1533" i="1"/>
  <c r="O1532" i="1"/>
  <c r="O1532" i="1" a="1"/>
  <c r="N1532" i="1"/>
  <c r="M1532" i="1"/>
  <c r="O1531" i="1" a="1"/>
  <c r="O1531" i="1" s="1"/>
  <c r="N1531" i="1"/>
  <c r="M1531" i="1"/>
  <c r="O1530" i="1" a="1"/>
  <c r="O1530" i="1" s="1"/>
  <c r="N1530" i="1"/>
  <c r="M1530" i="1"/>
  <c r="O1529" i="1"/>
  <c r="O1529" i="1" a="1"/>
  <c r="N1529" i="1"/>
  <c r="M1529" i="1"/>
  <c r="O1528" i="1"/>
  <c r="O1528" i="1" a="1"/>
  <c r="N1528" i="1"/>
  <c r="M1528" i="1"/>
  <c r="O1527" i="1" a="1"/>
  <c r="O1527" i="1" s="1"/>
  <c r="N1527" i="1"/>
  <c r="M1527" i="1"/>
  <c r="O1526" i="1"/>
  <c r="O1526" i="1" a="1"/>
  <c r="N1526" i="1"/>
  <c r="M1526" i="1"/>
  <c r="O1525" i="1"/>
  <c r="O1525" i="1" a="1"/>
  <c r="N1525" i="1"/>
  <c r="M1525" i="1"/>
  <c r="O1524" i="1" a="1"/>
  <c r="O1524" i="1" s="1"/>
  <c r="N1524" i="1"/>
  <c r="M1524" i="1"/>
  <c r="O1523" i="1" a="1"/>
  <c r="O1523" i="1" s="1"/>
  <c r="N1523" i="1"/>
  <c r="M1523" i="1"/>
  <c r="O1522" i="1"/>
  <c r="O1522" i="1" a="1"/>
  <c r="N1522" i="1"/>
  <c r="M1522" i="1"/>
  <c r="O1521" i="1" a="1"/>
  <c r="O1521" i="1" s="1"/>
  <c r="N1521" i="1"/>
  <c r="M1521" i="1"/>
  <c r="O1520" i="1" a="1"/>
  <c r="O1520" i="1" s="1"/>
  <c r="N1520" i="1"/>
  <c r="M1520" i="1"/>
  <c r="O1519" i="1"/>
  <c r="O1519" i="1" a="1"/>
  <c r="N1519" i="1"/>
  <c r="M1519" i="1"/>
  <c r="O1518" i="1" a="1"/>
  <c r="O1518" i="1" s="1"/>
  <c r="N1518" i="1"/>
  <c r="M1518" i="1"/>
  <c r="O1517" i="1"/>
  <c r="O1517" i="1" a="1"/>
  <c r="N1517" i="1"/>
  <c r="M1517" i="1"/>
  <c r="O1516" i="1"/>
  <c r="O1516" i="1" a="1"/>
  <c r="N1516" i="1"/>
  <c r="M1516" i="1"/>
  <c r="O1515" i="1" a="1"/>
  <c r="O1515" i="1" s="1"/>
  <c r="N1515" i="1"/>
  <c r="M1515" i="1"/>
  <c r="O1514" i="1" a="1"/>
  <c r="O1514" i="1" s="1"/>
  <c r="N1514" i="1"/>
  <c r="M1514" i="1"/>
  <c r="O1513" i="1"/>
  <c r="O1513" i="1" a="1"/>
  <c r="N1513" i="1"/>
  <c r="M1513" i="1"/>
  <c r="O1512" i="1" a="1"/>
  <c r="O1512" i="1" s="1"/>
  <c r="N1512" i="1"/>
  <c r="M1512" i="1"/>
  <c r="O1511" i="1"/>
  <c r="O1511" i="1" a="1"/>
  <c r="N1511" i="1"/>
  <c r="M1511" i="1"/>
  <c r="O1510" i="1" a="1"/>
  <c r="O1510" i="1" s="1"/>
  <c r="N1510" i="1"/>
  <c r="M1510" i="1"/>
  <c r="O1509" i="1" a="1"/>
  <c r="O1509" i="1" s="1"/>
  <c r="N1509" i="1"/>
  <c r="M1509" i="1"/>
  <c r="O1508" i="1" a="1"/>
  <c r="O1508" i="1" s="1"/>
  <c r="N1508" i="1"/>
  <c r="M1508" i="1"/>
  <c r="O1507" i="1"/>
  <c r="O1507" i="1" a="1"/>
  <c r="N1507" i="1"/>
  <c r="M1507" i="1"/>
  <c r="O1506" i="1" a="1"/>
  <c r="O1506" i="1" s="1"/>
  <c r="N1506" i="1"/>
  <c r="M1506" i="1"/>
  <c r="O1505" i="1"/>
  <c r="O1505" i="1" a="1"/>
  <c r="N1505" i="1"/>
  <c r="M1505" i="1"/>
  <c r="O1504" i="1" a="1"/>
  <c r="O1504" i="1" s="1"/>
  <c r="N1504" i="1"/>
  <c r="M1504" i="1"/>
  <c r="O1503" i="1" a="1"/>
  <c r="O1503" i="1" s="1"/>
  <c r="N1503" i="1"/>
  <c r="M1503" i="1"/>
  <c r="O1502" i="1"/>
  <c r="O1502" i="1" a="1"/>
  <c r="N1502" i="1"/>
  <c r="M1502" i="1"/>
  <c r="O1501" i="1"/>
  <c r="O1501" i="1" a="1"/>
  <c r="N1501" i="1"/>
  <c r="M1501" i="1"/>
  <c r="O1500" i="1" a="1"/>
  <c r="O1500" i="1" s="1"/>
  <c r="N1500" i="1"/>
  <c r="M1500" i="1"/>
  <c r="O1499" i="1"/>
  <c r="O1499" i="1" a="1"/>
  <c r="N1499" i="1"/>
  <c r="M1499" i="1"/>
  <c r="O1498" i="1" a="1"/>
  <c r="O1498" i="1" s="1"/>
  <c r="N1498" i="1"/>
  <c r="M1498" i="1"/>
  <c r="O1497" i="1" a="1"/>
  <c r="O1497" i="1" s="1"/>
  <c r="N1497" i="1"/>
  <c r="M1497" i="1"/>
  <c r="O1496" i="1"/>
  <c r="O1496" i="1" a="1"/>
  <c r="N1496" i="1"/>
  <c r="M1496" i="1"/>
  <c r="O1495" i="1" a="1"/>
  <c r="O1495" i="1" s="1"/>
  <c r="N1495" i="1"/>
  <c r="M1495" i="1"/>
  <c r="O1494" i="1" a="1"/>
  <c r="O1494" i="1" s="1"/>
  <c r="N1494" i="1"/>
  <c r="M1494" i="1"/>
  <c r="O1493" i="1"/>
  <c r="O1493" i="1" a="1"/>
  <c r="N1493" i="1"/>
  <c r="M1493" i="1"/>
  <c r="O1492" i="1"/>
  <c r="O1492" i="1" a="1"/>
  <c r="N1492" i="1"/>
  <c r="M1492" i="1"/>
  <c r="O1491" i="1" a="1"/>
  <c r="O1491" i="1" s="1"/>
  <c r="N1491" i="1"/>
  <c r="M1491" i="1"/>
  <c r="O1490" i="1" a="1"/>
  <c r="O1490" i="1" s="1"/>
  <c r="N1490" i="1"/>
  <c r="M1490" i="1"/>
  <c r="O1489" i="1"/>
  <c r="O1489" i="1" a="1"/>
  <c r="N1489" i="1"/>
  <c r="M1489" i="1"/>
  <c r="O1488" i="1" a="1"/>
  <c r="O1488" i="1" s="1"/>
  <c r="N1488" i="1"/>
  <c r="M1488" i="1"/>
  <c r="O1487" i="1"/>
  <c r="O1487" i="1" a="1"/>
  <c r="N1487" i="1"/>
  <c r="M1487" i="1"/>
  <c r="O1486" i="1" a="1"/>
  <c r="O1486" i="1" s="1"/>
  <c r="N1486" i="1"/>
  <c r="M1486" i="1"/>
  <c r="O1485" i="1" a="1"/>
  <c r="O1485" i="1" s="1"/>
  <c r="N1485" i="1"/>
  <c r="M1485" i="1"/>
  <c r="O1484" i="1"/>
  <c r="O1484" i="1" a="1"/>
  <c r="N1484" i="1"/>
  <c r="M1484" i="1"/>
  <c r="O1483" i="1"/>
  <c r="O1483" i="1" a="1"/>
  <c r="N1483" i="1"/>
  <c r="M1483" i="1"/>
  <c r="O1482" i="1" a="1"/>
  <c r="O1482" i="1" s="1"/>
  <c r="N1482" i="1"/>
  <c r="M1482" i="1"/>
  <c r="O1481" i="1" a="1"/>
  <c r="O1481" i="1" s="1"/>
  <c r="N1481" i="1"/>
  <c r="M1481" i="1"/>
  <c r="O1480" i="1"/>
  <c r="O1480" i="1" a="1"/>
  <c r="N1480" i="1"/>
  <c r="M1480" i="1"/>
  <c r="O1479" i="1" a="1"/>
  <c r="O1479" i="1" s="1"/>
  <c r="N1479" i="1"/>
  <c r="M1479" i="1"/>
  <c r="O1478" i="1" a="1"/>
  <c r="O1478" i="1" s="1"/>
  <c r="N1478" i="1"/>
  <c r="M1478" i="1"/>
  <c r="O1477" i="1" a="1"/>
  <c r="O1477" i="1" s="1"/>
  <c r="N1477" i="1"/>
  <c r="M1477" i="1"/>
  <c r="O1476" i="1" a="1"/>
  <c r="O1476" i="1" s="1"/>
  <c r="N1476" i="1"/>
  <c r="M1476" i="1"/>
  <c r="O1475" i="1" a="1"/>
  <c r="O1475" i="1" s="1"/>
  <c r="N1475" i="1"/>
  <c r="M1475" i="1"/>
  <c r="O1474" i="1"/>
  <c r="O1474" i="1" a="1"/>
  <c r="N1474" i="1"/>
  <c r="M1474" i="1"/>
  <c r="O1473" i="1" a="1"/>
  <c r="O1473" i="1" s="1"/>
  <c r="N1473" i="1"/>
  <c r="M1473" i="1"/>
  <c r="O1472" i="1"/>
  <c r="O1472" i="1" a="1"/>
  <c r="N1472" i="1"/>
  <c r="M1472" i="1"/>
  <c r="O1471" i="1" a="1"/>
  <c r="O1471" i="1" s="1"/>
  <c r="N1471" i="1"/>
  <c r="M1471" i="1"/>
  <c r="O1470" i="1" a="1"/>
  <c r="O1470" i="1" s="1"/>
  <c r="N1470" i="1"/>
  <c r="M1470" i="1"/>
  <c r="O1469" i="1"/>
  <c r="O1469" i="1" a="1"/>
  <c r="N1469" i="1"/>
  <c r="M1469" i="1"/>
  <c r="O1468" i="1" a="1"/>
  <c r="O1468" i="1" s="1"/>
  <c r="N1468" i="1"/>
  <c r="M1468" i="1"/>
  <c r="O1467" i="1" a="1"/>
  <c r="O1467" i="1" s="1"/>
  <c r="N1467" i="1"/>
  <c r="M1467" i="1"/>
  <c r="O1466" i="1" a="1"/>
  <c r="O1466" i="1" s="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a="1"/>
  <c r="O1460" i="1" s="1"/>
  <c r="N1460" i="1"/>
  <c r="M1460" i="1"/>
  <c r="O1459" i="1"/>
  <c r="O1459" i="1" a="1"/>
  <c r="N1459" i="1"/>
  <c r="M1459" i="1"/>
  <c r="O1458" i="1" a="1"/>
  <c r="O1458" i="1" s="1"/>
  <c r="N1458" i="1"/>
  <c r="M1458" i="1"/>
  <c r="O1457" i="1"/>
  <c r="O1457" i="1" a="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c r="O1451" i="1" a="1"/>
  <c r="N1451" i="1"/>
  <c r="M1451" i="1"/>
  <c r="O1450" i="1" a="1"/>
  <c r="O1450" i="1" s="1"/>
  <c r="N1450" i="1"/>
  <c r="M1450" i="1"/>
  <c r="O1449" i="1" a="1"/>
  <c r="O1449" i="1" s="1"/>
  <c r="N1449" i="1"/>
  <c r="M1449" i="1"/>
  <c r="O1448" i="1" a="1"/>
  <c r="O1448" i="1" s="1"/>
  <c r="N1448" i="1"/>
  <c r="M1448" i="1"/>
  <c r="O1447" i="1"/>
  <c r="O1447" i="1" a="1"/>
  <c r="N1447" i="1"/>
  <c r="M1447" i="1"/>
  <c r="O1446" i="1" a="1"/>
  <c r="O1446" i="1" s="1"/>
  <c r="N1446" i="1"/>
  <c r="M1446" i="1"/>
  <c r="O1445" i="1"/>
  <c r="O1445" i="1" a="1"/>
  <c r="N1445" i="1"/>
  <c r="M1445" i="1"/>
  <c r="O1444" i="1" a="1"/>
  <c r="O1444" i="1" s="1"/>
  <c r="N1444" i="1"/>
  <c r="M1444" i="1"/>
  <c r="O1443" i="1" a="1"/>
  <c r="O1443" i="1" s="1"/>
  <c r="N1443" i="1"/>
  <c r="M1443" i="1"/>
  <c r="O1442" i="1"/>
  <c r="O1442" i="1" a="1"/>
  <c r="N1442" i="1"/>
  <c r="M1442" i="1"/>
  <c r="O1441" i="1" a="1"/>
  <c r="O1441" i="1" s="1"/>
  <c r="N1441" i="1"/>
  <c r="M1441" i="1"/>
  <c r="O1440" i="1" a="1"/>
  <c r="O1440" i="1" s="1"/>
  <c r="N1440" i="1"/>
  <c r="M1440" i="1"/>
  <c r="O1439" i="1" a="1"/>
  <c r="O1439" i="1" s="1"/>
  <c r="N1439" i="1"/>
  <c r="M1439" i="1"/>
  <c r="O1438" i="1"/>
  <c r="O1438" i="1" a="1"/>
  <c r="N1438" i="1"/>
  <c r="M1438" i="1"/>
  <c r="O1437" i="1" a="1"/>
  <c r="O1437" i="1" s="1"/>
  <c r="N1437" i="1"/>
  <c r="M1437" i="1"/>
  <c r="O1436" i="1"/>
  <c r="O1436" i="1" a="1"/>
  <c r="N1436" i="1"/>
  <c r="M1436" i="1"/>
  <c r="O1435" i="1"/>
  <c r="O1435" i="1" a="1"/>
  <c r="N1435" i="1"/>
  <c r="M1435" i="1"/>
  <c r="O1434" i="1" a="1"/>
  <c r="O1434" i="1" s="1"/>
  <c r="N1434" i="1"/>
  <c r="M1434" i="1"/>
  <c r="O1433" i="1"/>
  <c r="O1433" i="1" a="1"/>
  <c r="N1433" i="1"/>
  <c r="M1433" i="1"/>
  <c r="O1432" i="1" a="1"/>
  <c r="O1432" i="1" s="1"/>
  <c r="N1432" i="1"/>
  <c r="M1432" i="1"/>
  <c r="O1431" i="1" a="1"/>
  <c r="O1431" i="1" s="1"/>
  <c r="N1431" i="1"/>
  <c r="M1431" i="1"/>
  <c r="O1430" i="1"/>
  <c r="O1430" i="1" a="1"/>
  <c r="N1430" i="1"/>
  <c r="M1430" i="1"/>
  <c r="O1429" i="1"/>
  <c r="O1429" i="1" a="1"/>
  <c r="N1429" i="1"/>
  <c r="M1429" i="1"/>
  <c r="O1428" i="1" a="1"/>
  <c r="O1428" i="1" s="1"/>
  <c r="N1428" i="1"/>
  <c r="M1428" i="1"/>
  <c r="O1427" i="1" a="1"/>
  <c r="O1427" i="1" s="1"/>
  <c r="N1427" i="1"/>
  <c r="M1427" i="1"/>
  <c r="O1426" i="1" a="1"/>
  <c r="O1426" i="1" s="1"/>
  <c r="N1426" i="1"/>
  <c r="M1426" i="1"/>
  <c r="O1425" i="1" a="1"/>
  <c r="O1425" i="1" s="1"/>
  <c r="N1425" i="1"/>
  <c r="M1425" i="1"/>
  <c r="O1424" i="1" a="1"/>
  <c r="O1424" i="1" s="1"/>
  <c r="N1424" i="1"/>
  <c r="M1424" i="1"/>
  <c r="O1423" i="1"/>
  <c r="O1423" i="1" a="1"/>
  <c r="N1423" i="1"/>
  <c r="M1423" i="1"/>
  <c r="O1422" i="1" a="1"/>
  <c r="O1422" i="1" s="1"/>
  <c r="N1422" i="1"/>
  <c r="M1422" i="1"/>
  <c r="O1421" i="1" a="1"/>
  <c r="O1421" i="1" s="1"/>
  <c r="N1421" i="1"/>
  <c r="M1421" i="1"/>
  <c r="O1420" i="1"/>
  <c r="O1420" i="1" a="1"/>
  <c r="N1420" i="1"/>
  <c r="M1420" i="1"/>
  <c r="O1419" i="1" a="1"/>
  <c r="O1419" i="1" s="1"/>
  <c r="N1419" i="1"/>
  <c r="M1419" i="1"/>
  <c r="O1418" i="1" a="1"/>
  <c r="O1418" i="1" s="1"/>
  <c r="N1418" i="1"/>
  <c r="M1418" i="1"/>
  <c r="O1417" i="1" a="1"/>
  <c r="O1417" i="1" s="1"/>
  <c r="N1417" i="1"/>
  <c r="M1417" i="1"/>
  <c r="O1416" i="1" a="1"/>
  <c r="O1416" i="1" s="1"/>
  <c r="N1416" i="1"/>
  <c r="M1416" i="1"/>
  <c r="O1415" i="1"/>
  <c r="O1415" i="1" a="1"/>
  <c r="N1415" i="1"/>
  <c r="M1415" i="1"/>
  <c r="O1414" i="1" a="1"/>
  <c r="O1414" i="1" s="1"/>
  <c r="N1414" i="1"/>
  <c r="M1414" i="1"/>
  <c r="O1413" i="1" a="1"/>
  <c r="O1413" i="1" s="1"/>
  <c r="N1413" i="1"/>
  <c r="M1413" i="1"/>
  <c r="O1412" i="1" a="1"/>
  <c r="O1412" i="1" s="1"/>
  <c r="N1412" i="1"/>
  <c r="M1412" i="1"/>
  <c r="O1411" i="1" a="1"/>
  <c r="O1411" i="1" s="1"/>
  <c r="N1411" i="1"/>
  <c r="M1411" i="1"/>
  <c r="O1410" i="1" a="1"/>
  <c r="O1410" i="1" s="1"/>
  <c r="N1410" i="1"/>
  <c r="M1410" i="1"/>
  <c r="O1409" i="1" a="1"/>
  <c r="O1409" i="1" s="1"/>
  <c r="N1409" i="1"/>
  <c r="M1409" i="1"/>
  <c r="O1408" i="1"/>
  <c r="O1408" i="1" a="1"/>
  <c r="N1408" i="1"/>
  <c r="M1408" i="1"/>
  <c r="O1407" i="1" a="1"/>
  <c r="O1407" i="1" s="1"/>
  <c r="N1407" i="1"/>
  <c r="M1407" i="1"/>
  <c r="O1406" i="1" a="1"/>
  <c r="O1406" i="1" s="1"/>
  <c r="N1406" i="1"/>
  <c r="M1406" i="1"/>
  <c r="O1405" i="1" a="1"/>
  <c r="O1405" i="1" s="1"/>
  <c r="N1405" i="1"/>
  <c r="M1405" i="1"/>
  <c r="O1404" i="1" a="1"/>
  <c r="O1404" i="1" s="1"/>
  <c r="N1404" i="1"/>
  <c r="M1404" i="1"/>
  <c r="O1403" i="1" a="1"/>
  <c r="O1403" i="1" s="1"/>
  <c r="N1403" i="1"/>
  <c r="M1403" i="1"/>
  <c r="O1402" i="1"/>
  <c r="O1402" i="1" a="1"/>
  <c r="N1402" i="1"/>
  <c r="M1402" i="1"/>
  <c r="O1401" i="1" a="1"/>
  <c r="O1401" i="1" s="1"/>
  <c r="N1401" i="1"/>
  <c r="M1401" i="1"/>
  <c r="O1400" i="1"/>
  <c r="O1400" i="1" a="1"/>
  <c r="N1400" i="1"/>
  <c r="M1400" i="1"/>
  <c r="O1399" i="1" a="1"/>
  <c r="O1399" i="1" s="1"/>
  <c r="N1399" i="1"/>
  <c r="M1399" i="1"/>
  <c r="O1398" i="1" a="1"/>
  <c r="O1398" i="1" s="1"/>
  <c r="N1398" i="1"/>
  <c r="M1398" i="1"/>
  <c r="O1397" i="1"/>
  <c r="O1397" i="1" a="1"/>
  <c r="N1397" i="1"/>
  <c r="M1397" i="1"/>
  <c r="O1396" i="1" a="1"/>
  <c r="O1396" i="1" s="1"/>
  <c r="N1396" i="1"/>
  <c r="M1396" i="1"/>
  <c r="O1395" i="1" a="1"/>
  <c r="O1395" i="1" s="1"/>
  <c r="N1395" i="1"/>
  <c r="M1395" i="1"/>
  <c r="O1394" i="1" a="1"/>
  <c r="O1394" i="1" s="1"/>
  <c r="N1394" i="1"/>
  <c r="M1394" i="1"/>
  <c r="O1393" i="1"/>
  <c r="O1393" i="1" a="1"/>
  <c r="N1393" i="1"/>
  <c r="M1393" i="1"/>
  <c r="O1392" i="1" a="1"/>
  <c r="O1392" i="1" s="1"/>
  <c r="N1392" i="1"/>
  <c r="M1392" i="1"/>
  <c r="O1391" i="1"/>
  <c r="O1391" i="1" a="1"/>
  <c r="N1391" i="1"/>
  <c r="M1391" i="1"/>
  <c r="O1390" i="1" a="1"/>
  <c r="O1390" i="1" s="1"/>
  <c r="N1390" i="1"/>
  <c r="M1390" i="1"/>
  <c r="O1389" i="1" a="1"/>
  <c r="O1389" i="1" s="1"/>
  <c r="N1389" i="1"/>
  <c r="M1389" i="1"/>
  <c r="O1388" i="1" a="1"/>
  <c r="O1388" i="1" s="1"/>
  <c r="N1388" i="1"/>
  <c r="M1388" i="1"/>
  <c r="O1387" i="1"/>
  <c r="O1387" i="1" a="1"/>
  <c r="N1387" i="1"/>
  <c r="M1387" i="1"/>
  <c r="O1386" i="1" a="1"/>
  <c r="O1386" i="1" s="1"/>
  <c r="N1386" i="1"/>
  <c r="M1386" i="1"/>
  <c r="O1385" i="1" a="1"/>
  <c r="O1385" i="1" s="1"/>
  <c r="N1385" i="1"/>
  <c r="M1385" i="1"/>
  <c r="O1384" i="1"/>
  <c r="O1384" i="1" a="1"/>
  <c r="N1384" i="1"/>
  <c r="M1384" i="1"/>
  <c r="O1383" i="1" a="1"/>
  <c r="O1383" i="1" s="1"/>
  <c r="N1383" i="1"/>
  <c r="M1383" i="1"/>
  <c r="O1382" i="1" a="1"/>
  <c r="O1382" i="1" s="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c r="O1376" i="1" a="1"/>
  <c r="N1376" i="1"/>
  <c r="M1376" i="1"/>
  <c r="O1375" i="1" a="1"/>
  <c r="O1375" i="1" s="1"/>
  <c r="N1375" i="1"/>
  <c r="M1375" i="1"/>
  <c r="O1374" i="1" a="1"/>
  <c r="O1374" i="1" s="1"/>
  <c r="N1374" i="1"/>
  <c r="M1374" i="1"/>
  <c r="O1373" i="1" a="1"/>
  <c r="O1373" i="1" s="1"/>
  <c r="N1373" i="1"/>
  <c r="M1373" i="1"/>
  <c r="O1372" i="1" a="1"/>
  <c r="O1372" i="1" s="1"/>
  <c r="N1372" i="1"/>
  <c r="M1372" i="1"/>
  <c r="O1371" i="1" a="1"/>
  <c r="O1371" i="1" s="1"/>
  <c r="N1371" i="1"/>
  <c r="M1371" i="1"/>
  <c r="O1370" i="1" a="1"/>
  <c r="O1370" i="1" s="1"/>
  <c r="N1370" i="1"/>
  <c r="M1370" i="1"/>
  <c r="O1369" i="1" a="1"/>
  <c r="O1369" i="1" s="1"/>
  <c r="N1369" i="1"/>
  <c r="M1369" i="1"/>
  <c r="O1368" i="1" a="1"/>
  <c r="O1368" i="1" s="1"/>
  <c r="N1368" i="1"/>
  <c r="M1368" i="1"/>
  <c r="O1367" i="1" a="1"/>
  <c r="O1367" i="1" s="1"/>
  <c r="N1367" i="1"/>
  <c r="M1367" i="1"/>
  <c r="O1366" i="1"/>
  <c r="O1366" i="1" a="1"/>
  <c r="N1366" i="1"/>
  <c r="M1366" i="1"/>
  <c r="O1365" i="1" a="1"/>
  <c r="O1365" i="1" s="1"/>
  <c r="N1365" i="1"/>
  <c r="M1365" i="1"/>
  <c r="O1364" i="1"/>
  <c r="O1364" i="1" a="1"/>
  <c r="N1364" i="1"/>
  <c r="M1364" i="1"/>
  <c r="O1363" i="1" a="1"/>
  <c r="O1363" i="1" s="1"/>
  <c r="N1363" i="1"/>
  <c r="M1363" i="1"/>
  <c r="O1362" i="1" a="1"/>
  <c r="O1362" i="1" s="1"/>
  <c r="N1362" i="1"/>
  <c r="M1362" i="1"/>
  <c r="O1361" i="1"/>
  <c r="O1361" i="1" a="1"/>
  <c r="N1361" i="1"/>
  <c r="M1361" i="1"/>
  <c r="O1360" i="1" a="1"/>
  <c r="O1360" i="1" s="1"/>
  <c r="N1360" i="1"/>
  <c r="M1360" i="1"/>
  <c r="O1359" i="1" a="1"/>
  <c r="O1359" i="1" s="1"/>
  <c r="N1359" i="1"/>
  <c r="M1359" i="1"/>
  <c r="O1358" i="1"/>
  <c r="O1358" i="1" a="1"/>
  <c r="N1358" i="1"/>
  <c r="M1358" i="1"/>
  <c r="O1357" i="1" a="1"/>
  <c r="O1357" i="1" s="1"/>
  <c r="N1357" i="1"/>
  <c r="M1357" i="1"/>
  <c r="O1356" i="1" a="1"/>
  <c r="O1356" i="1" s="1"/>
  <c r="N1356" i="1"/>
  <c r="M1356" i="1"/>
  <c r="O1355" i="1" a="1"/>
  <c r="O1355" i="1" s="1"/>
  <c r="N1355" i="1"/>
  <c r="M1355" i="1"/>
  <c r="O1354" i="1" a="1"/>
  <c r="O1354" i="1" s="1"/>
  <c r="N1354" i="1"/>
  <c r="M1354" i="1"/>
  <c r="O1353" i="1" a="1"/>
  <c r="O1353" i="1" s="1"/>
  <c r="N1353" i="1"/>
  <c r="M1353" i="1"/>
  <c r="O1352" i="1" a="1"/>
  <c r="O1352" i="1" s="1"/>
  <c r="N1352" i="1"/>
  <c r="M1352" i="1"/>
  <c r="O1351" i="1"/>
  <c r="O1351" i="1" a="1"/>
  <c r="N1351" i="1"/>
  <c r="M1351" i="1"/>
  <c r="O1350" i="1" a="1"/>
  <c r="O1350" i="1" s="1"/>
  <c r="N1350" i="1"/>
  <c r="M1350" i="1"/>
  <c r="O1349" i="1"/>
  <c r="O1349" i="1" a="1"/>
  <c r="N1349" i="1"/>
  <c r="M1349" i="1"/>
  <c r="O1348" i="1"/>
  <c r="O1348" i="1" a="1"/>
  <c r="N1348" i="1"/>
  <c r="M1348" i="1"/>
  <c r="O1347" i="1" a="1"/>
  <c r="O1347" i="1" s="1"/>
  <c r="N1347" i="1"/>
  <c r="M1347" i="1"/>
  <c r="O1346" i="1" a="1"/>
  <c r="O1346" i="1" s="1"/>
  <c r="N1346" i="1"/>
  <c r="M1346" i="1"/>
  <c r="O1345" i="1" a="1"/>
  <c r="O1345" i="1" s="1"/>
  <c r="N1345" i="1"/>
  <c r="M1345" i="1"/>
  <c r="O1344" i="1" a="1"/>
  <c r="O1344" i="1" s="1"/>
  <c r="N1344" i="1"/>
  <c r="M1344" i="1"/>
  <c r="O1343" i="1"/>
  <c r="O1343" i="1" a="1"/>
  <c r="N1343" i="1"/>
  <c r="M1343" i="1"/>
  <c r="O1342" i="1" a="1"/>
  <c r="O1342" i="1" s="1"/>
  <c r="N1342" i="1"/>
  <c r="M1342" i="1"/>
  <c r="O1341" i="1" a="1"/>
  <c r="O1341" i="1" s="1"/>
  <c r="N1341" i="1"/>
  <c r="M1341" i="1"/>
  <c r="O1340" i="1" a="1"/>
  <c r="O1340" i="1" s="1"/>
  <c r="N1340" i="1"/>
  <c r="M1340" i="1"/>
  <c r="O1339" i="1"/>
  <c r="O1339" i="1" a="1"/>
  <c r="N1339" i="1"/>
  <c r="M1339" i="1"/>
  <c r="O1338" i="1" a="1"/>
  <c r="O1338" i="1" s="1"/>
  <c r="N1338" i="1"/>
  <c r="M1338" i="1"/>
  <c r="O1337" i="1"/>
  <c r="O1337" i="1" a="1"/>
  <c r="N1337" i="1"/>
  <c r="M1337" i="1"/>
  <c r="O1336" i="1" a="1"/>
  <c r="O1336" i="1" s="1"/>
  <c r="N1336" i="1"/>
  <c r="M1336" i="1"/>
  <c r="O1335" i="1" a="1"/>
  <c r="O1335" i="1" s="1"/>
  <c r="N1335" i="1"/>
  <c r="M1335" i="1"/>
  <c r="O1334" i="1"/>
  <c r="O1334" i="1" a="1"/>
  <c r="N1334" i="1"/>
  <c r="M1334" i="1"/>
  <c r="O1333" i="1" a="1"/>
  <c r="O1333" i="1" s="1"/>
  <c r="N1333" i="1"/>
  <c r="M1333" i="1"/>
  <c r="O1332" i="1" a="1"/>
  <c r="O1332" i="1" s="1"/>
  <c r="N1332" i="1"/>
  <c r="M1332" i="1"/>
  <c r="O1331" i="1" a="1"/>
  <c r="O1331" i="1" s="1"/>
  <c r="N1331" i="1"/>
  <c r="M1331" i="1"/>
  <c r="O1330" i="1"/>
  <c r="O1330" i="1" a="1"/>
  <c r="N1330" i="1"/>
  <c r="M1330" i="1"/>
  <c r="O1329" i="1" a="1"/>
  <c r="O1329" i="1" s="1"/>
  <c r="N1329" i="1"/>
  <c r="M1329" i="1"/>
  <c r="O1328" i="1" a="1"/>
  <c r="O1328" i="1" s="1"/>
  <c r="N1328" i="1"/>
  <c r="M1328" i="1"/>
  <c r="O1327" i="1"/>
  <c r="O1327" i="1" a="1"/>
  <c r="N1327" i="1"/>
  <c r="M1327" i="1"/>
  <c r="O1326" i="1" a="1"/>
  <c r="O1326" i="1" s="1"/>
  <c r="N1326" i="1"/>
  <c r="M1326" i="1"/>
  <c r="O1325" i="1" a="1"/>
  <c r="O1325" i="1" s="1"/>
  <c r="N1325" i="1"/>
  <c r="M1325" i="1"/>
  <c r="O1324" i="1"/>
  <c r="O1324" i="1" a="1"/>
  <c r="N1324" i="1"/>
  <c r="M1324" i="1"/>
  <c r="O1323" i="1" a="1"/>
  <c r="O1323" i="1" s="1"/>
  <c r="N1323" i="1"/>
  <c r="M1323" i="1"/>
  <c r="O1322" i="1" a="1"/>
  <c r="O1322" i="1" s="1"/>
  <c r="N1322" i="1"/>
  <c r="M1322" i="1"/>
  <c r="O1321" i="1"/>
  <c r="O1321" i="1" a="1"/>
  <c r="N1321" i="1"/>
  <c r="M1321" i="1"/>
  <c r="O1320" i="1" a="1"/>
  <c r="O1320" i="1" s="1"/>
  <c r="N1320" i="1"/>
  <c r="M1320" i="1"/>
  <c r="O1319" i="1" a="1"/>
  <c r="O1319" i="1" s="1"/>
  <c r="N1319" i="1"/>
  <c r="M1319" i="1"/>
  <c r="O1318" i="1"/>
  <c r="O1318" i="1" a="1"/>
  <c r="N1318" i="1"/>
  <c r="M1318" i="1"/>
  <c r="O1317" i="1"/>
  <c r="O1317" i="1" a="1"/>
  <c r="N1317" i="1"/>
  <c r="M1317" i="1"/>
  <c r="O1316" i="1" a="1"/>
  <c r="O1316" i="1" s="1"/>
  <c r="N1316" i="1"/>
  <c r="M1316" i="1"/>
  <c r="O1315" i="1"/>
  <c r="O1315" i="1" a="1"/>
  <c r="N1315" i="1"/>
  <c r="M1315" i="1"/>
  <c r="O1314" i="1"/>
  <c r="O1314" i="1" a="1"/>
  <c r="N1314" i="1"/>
  <c r="M1314" i="1"/>
  <c r="O1313" i="1" a="1"/>
  <c r="O1313" i="1" s="1"/>
  <c r="N1313" i="1"/>
  <c r="M1313" i="1"/>
  <c r="O1312" i="1"/>
  <c r="O1312" i="1" a="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c r="O1306" i="1" a="1"/>
  <c r="N1306" i="1"/>
  <c r="M1306" i="1"/>
  <c r="O1305" i="1" a="1"/>
  <c r="O1305" i="1" s="1"/>
  <c r="N1305" i="1"/>
  <c r="M1305" i="1"/>
  <c r="O1304" i="1" a="1"/>
  <c r="O1304" i="1" s="1"/>
  <c r="N1304" i="1"/>
  <c r="M1304" i="1"/>
  <c r="O1303" i="1"/>
  <c r="O1303" i="1" a="1"/>
  <c r="N1303" i="1"/>
  <c r="M1303" i="1"/>
  <c r="O1302" i="1" a="1"/>
  <c r="O1302" i="1" s="1"/>
  <c r="N1302" i="1"/>
  <c r="M1302" i="1"/>
  <c r="O1301" i="1" a="1"/>
  <c r="O1301" i="1" s="1"/>
  <c r="N1301" i="1"/>
  <c r="M1301" i="1"/>
  <c r="O1300" i="1"/>
  <c r="O1300" i="1" a="1"/>
  <c r="N1300" i="1"/>
  <c r="M1300" i="1"/>
  <c r="O1299" i="1" a="1"/>
  <c r="O1299" i="1" s="1"/>
  <c r="N1299" i="1"/>
  <c r="M1299" i="1"/>
  <c r="O1298" i="1" a="1"/>
  <c r="O1298" i="1" s="1"/>
  <c r="N1298" i="1"/>
  <c r="M1298" i="1"/>
  <c r="O1297" i="1"/>
  <c r="O1297" i="1" a="1"/>
  <c r="N1297" i="1"/>
  <c r="M1297" i="1"/>
  <c r="O1296" i="1"/>
  <c r="O1296" i="1" a="1"/>
  <c r="N1296" i="1"/>
  <c r="M1296" i="1"/>
  <c r="O1295" i="1" a="1"/>
  <c r="O1295" i="1" s="1"/>
  <c r="N1295" i="1"/>
  <c r="M1295" i="1"/>
  <c r="O1294" i="1"/>
  <c r="O1294" i="1" a="1"/>
  <c r="N1294" i="1"/>
  <c r="M1294" i="1"/>
  <c r="O1293" i="1" a="1"/>
  <c r="O1293" i="1" s="1"/>
  <c r="N1293" i="1"/>
  <c r="M1293" i="1"/>
  <c r="O1292" i="1" a="1"/>
  <c r="O1292" i="1" s="1"/>
  <c r="N1292" i="1"/>
  <c r="M1292" i="1"/>
  <c r="O1291" i="1"/>
  <c r="O1291" i="1" a="1"/>
  <c r="N1291" i="1"/>
  <c r="M1291" i="1"/>
  <c r="O1290" i="1" a="1"/>
  <c r="O1290" i="1" s="1"/>
  <c r="N1290" i="1"/>
  <c r="M1290" i="1"/>
  <c r="O1289" i="1" a="1"/>
  <c r="O1289" i="1" s="1"/>
  <c r="N1289" i="1"/>
  <c r="M1289" i="1"/>
  <c r="O1288" i="1"/>
  <c r="O1288" i="1" a="1"/>
  <c r="N1288" i="1"/>
  <c r="M1288" i="1"/>
  <c r="O1287" i="1" a="1"/>
  <c r="O1287" i="1" s="1"/>
  <c r="N1287" i="1"/>
  <c r="M1287" i="1"/>
  <c r="O1286" i="1" a="1"/>
  <c r="O1286" i="1" s="1"/>
  <c r="N1286" i="1"/>
  <c r="M1286" i="1"/>
  <c r="O1285" i="1"/>
  <c r="O1285" i="1" a="1"/>
  <c r="N1285" i="1"/>
  <c r="M1285" i="1"/>
  <c r="O1284" i="1" a="1"/>
  <c r="O1284" i="1" s="1"/>
  <c r="N1284" i="1"/>
  <c r="M1284" i="1"/>
  <c r="O1283" i="1" a="1"/>
  <c r="O1283" i="1" s="1"/>
  <c r="N1283" i="1"/>
  <c r="M1283" i="1"/>
  <c r="O1282" i="1"/>
  <c r="O1282" i="1" a="1"/>
  <c r="N1282" i="1"/>
  <c r="M1282" i="1"/>
  <c r="O1281" i="1"/>
  <c r="O1281" i="1" a="1"/>
  <c r="N1281" i="1"/>
  <c r="M1281" i="1"/>
  <c r="O1280" i="1" a="1"/>
  <c r="O1280" i="1" s="1"/>
  <c r="N1280" i="1"/>
  <c r="M1280" i="1"/>
  <c r="O1279" i="1" a="1"/>
  <c r="O1279" i="1" s="1"/>
  <c r="N1279" i="1"/>
  <c r="M1279" i="1"/>
  <c r="O1278" i="1"/>
  <c r="O1278" i="1" a="1"/>
  <c r="N1278" i="1"/>
  <c r="M1278" i="1"/>
  <c r="O1277" i="1" a="1"/>
  <c r="O1277" i="1" s="1"/>
  <c r="N1277" i="1"/>
  <c r="M1277" i="1"/>
  <c r="O1276" i="1" a="1"/>
  <c r="O1276" i="1" s="1"/>
  <c r="N1276" i="1"/>
  <c r="M1276" i="1"/>
  <c r="O1275" i="1" a="1"/>
  <c r="O1275" i="1" s="1"/>
  <c r="N1275" i="1"/>
  <c r="M1275" i="1"/>
  <c r="O1274" i="1" a="1"/>
  <c r="O1274" i="1" s="1"/>
  <c r="N1274" i="1"/>
  <c r="M1274" i="1"/>
  <c r="O1273" i="1"/>
  <c r="O1273" i="1" a="1"/>
  <c r="N1273" i="1"/>
  <c r="M1273" i="1"/>
  <c r="O1272" i="1"/>
  <c r="O1272" i="1" a="1"/>
  <c r="N1272" i="1"/>
  <c r="M1272" i="1"/>
  <c r="O1271" i="1" a="1"/>
  <c r="O1271" i="1" s="1"/>
  <c r="N1271" i="1"/>
  <c r="M1271" i="1"/>
  <c r="O1270" i="1" a="1"/>
  <c r="O1270" i="1" s="1"/>
  <c r="N1270" i="1"/>
  <c r="M1270" i="1"/>
  <c r="O1269" i="1" a="1"/>
  <c r="O1269" i="1" s="1"/>
  <c r="N1269" i="1"/>
  <c r="M1269" i="1"/>
  <c r="O1268" i="1" a="1"/>
  <c r="O1268" i="1" s="1"/>
  <c r="N1268" i="1"/>
  <c r="M1268" i="1"/>
  <c r="O1267" i="1" a="1"/>
  <c r="O1267" i="1" s="1"/>
  <c r="N1267" i="1"/>
  <c r="M1267" i="1"/>
  <c r="O1266" i="1" a="1"/>
  <c r="O1266" i="1" s="1"/>
  <c r="N1266" i="1"/>
  <c r="M1266" i="1"/>
  <c r="O1265" i="1" a="1"/>
  <c r="O1265" i="1" s="1"/>
  <c r="N1265" i="1"/>
  <c r="M1265" i="1"/>
  <c r="O1264" i="1" a="1"/>
  <c r="O1264" i="1" s="1"/>
  <c r="N1264" i="1"/>
  <c r="M1264" i="1"/>
  <c r="O1263" i="1" a="1"/>
  <c r="O1263" i="1" s="1"/>
  <c r="N1263" i="1"/>
  <c r="M1263" i="1"/>
  <c r="O1262" i="1" a="1"/>
  <c r="O1262" i="1" s="1"/>
  <c r="N1262" i="1"/>
  <c r="M1262" i="1"/>
  <c r="O1261" i="1" a="1"/>
  <c r="O1261" i="1" s="1"/>
  <c r="N1261" i="1"/>
  <c r="M1261" i="1"/>
  <c r="O1260" i="1"/>
  <c r="O1260" i="1" a="1"/>
  <c r="N1260" i="1"/>
  <c r="M1260" i="1"/>
  <c r="O1259" i="1" a="1"/>
  <c r="O1259" i="1" s="1"/>
  <c r="N1259" i="1"/>
  <c r="M1259" i="1"/>
  <c r="O1258" i="1"/>
  <c r="O1258" i="1" a="1"/>
  <c r="N1258" i="1"/>
  <c r="M1258" i="1"/>
  <c r="O1257" i="1" a="1"/>
  <c r="O1257" i="1" s="1"/>
  <c r="N1257" i="1"/>
  <c r="M1257" i="1"/>
  <c r="O1256" i="1" a="1"/>
  <c r="O1256" i="1" s="1"/>
  <c r="N1256" i="1"/>
  <c r="M1256" i="1"/>
  <c r="O1255" i="1"/>
  <c r="O1255" i="1" a="1"/>
  <c r="N1255" i="1"/>
  <c r="M1255" i="1"/>
  <c r="O1254" i="1" a="1"/>
  <c r="O1254" i="1" s="1"/>
  <c r="N1254" i="1"/>
  <c r="M1254" i="1"/>
  <c r="O1253" i="1" a="1"/>
  <c r="O1253" i="1" s="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a="1"/>
  <c r="O1246" i="1" s="1"/>
  <c r="N1246" i="1"/>
  <c r="M1246" i="1"/>
  <c r="O1245" i="1"/>
  <c r="O1245" i="1" a="1"/>
  <c r="N1245" i="1"/>
  <c r="M1245" i="1"/>
  <c r="O1244" i="1" a="1"/>
  <c r="O1244" i="1" s="1"/>
  <c r="N1244" i="1"/>
  <c r="M1244" i="1"/>
  <c r="O1243" i="1" a="1"/>
  <c r="O1243" i="1" s="1"/>
  <c r="N1243" i="1"/>
  <c r="M1243" i="1"/>
  <c r="O1242" i="1"/>
  <c r="O1242" i="1" a="1"/>
  <c r="N1242" i="1"/>
  <c r="M1242" i="1"/>
  <c r="O1241" i="1" a="1"/>
  <c r="O1241" i="1" s="1"/>
  <c r="N1241" i="1"/>
  <c r="M1241" i="1"/>
  <c r="O1240" i="1" a="1"/>
  <c r="O1240" i="1" s="1"/>
  <c r="N1240" i="1"/>
  <c r="M1240" i="1"/>
  <c r="O1239" i="1"/>
  <c r="O1239" i="1" a="1"/>
  <c r="N1239" i="1"/>
  <c r="M1239" i="1"/>
  <c r="O1238" i="1" a="1"/>
  <c r="O1238" i="1" s="1"/>
  <c r="N1238" i="1"/>
  <c r="M1238" i="1"/>
  <c r="O1237" i="1"/>
  <c r="O1237" i="1" a="1"/>
  <c r="N1237" i="1"/>
  <c r="M1237" i="1"/>
  <c r="O1236" i="1" a="1"/>
  <c r="O1236" i="1" s="1"/>
  <c r="N1236" i="1"/>
  <c r="M1236" i="1"/>
  <c r="O1235" i="1" a="1"/>
  <c r="O1235" i="1" s="1"/>
  <c r="N1235" i="1"/>
  <c r="M1235" i="1"/>
  <c r="O1234" i="1" a="1"/>
  <c r="O1234" i="1" s="1"/>
  <c r="N1234" i="1"/>
  <c r="M1234" i="1"/>
  <c r="O1233" i="1"/>
  <c r="O1233" i="1" a="1"/>
  <c r="N1233" i="1"/>
  <c r="M1233" i="1"/>
  <c r="O1232" i="1" a="1"/>
  <c r="O1232" i="1" s="1"/>
  <c r="N1232" i="1"/>
  <c r="M1232" i="1"/>
  <c r="O1231" i="1" a="1"/>
  <c r="O1231" i="1" s="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a="1"/>
  <c r="O1225" i="1" s="1"/>
  <c r="N1225" i="1"/>
  <c r="M1225" i="1"/>
  <c r="O1224" i="1"/>
  <c r="O1224" i="1" a="1"/>
  <c r="N1224" i="1"/>
  <c r="M1224" i="1"/>
  <c r="O1223" i="1" a="1"/>
  <c r="O1223" i="1" s="1"/>
  <c r="N1223" i="1"/>
  <c r="M1223" i="1"/>
  <c r="O1222" i="1"/>
  <c r="O1222" i="1" a="1"/>
  <c r="N1222" i="1"/>
  <c r="M1222" i="1"/>
  <c r="O1221" i="1" a="1"/>
  <c r="O1221" i="1" s="1"/>
  <c r="N1221" i="1"/>
  <c r="M1221" i="1"/>
  <c r="O1220" i="1" a="1"/>
  <c r="O1220" i="1" s="1"/>
  <c r="N1220" i="1"/>
  <c r="M1220" i="1"/>
  <c r="O1219" i="1"/>
  <c r="O1219" i="1" a="1"/>
  <c r="N1219" i="1"/>
  <c r="M1219" i="1"/>
  <c r="O1218" i="1" a="1"/>
  <c r="O1218" i="1" s="1"/>
  <c r="N1218" i="1"/>
  <c r="M1218" i="1"/>
  <c r="O1217" i="1" a="1"/>
  <c r="O1217" i="1" s="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a="1"/>
  <c r="O1211" i="1" s="1"/>
  <c r="N1211" i="1"/>
  <c r="M1211" i="1"/>
  <c r="O1210" i="1" a="1"/>
  <c r="O1210" i="1" s="1"/>
  <c r="N1210" i="1"/>
  <c r="M1210" i="1"/>
  <c r="O1209" i="1"/>
  <c r="O1209" i="1" a="1"/>
  <c r="N1209" i="1"/>
  <c r="M1209" i="1"/>
  <c r="O1208" i="1" a="1"/>
  <c r="O1208" i="1" s="1"/>
  <c r="N1208" i="1"/>
  <c r="M1208" i="1"/>
  <c r="O1207" i="1"/>
  <c r="O1207" i="1" a="1"/>
  <c r="N1207" i="1"/>
  <c r="M1207" i="1"/>
  <c r="O1206" i="1"/>
  <c r="O1206" i="1" a="1"/>
  <c r="N1206" i="1"/>
  <c r="M1206" i="1"/>
  <c r="O1205" i="1" a="1"/>
  <c r="O1205" i="1" s="1"/>
  <c r="N1205" i="1"/>
  <c r="M1205" i="1"/>
  <c r="O1204" i="1" a="1"/>
  <c r="O1204" i="1" s="1"/>
  <c r="N1204" i="1"/>
  <c r="M1204" i="1"/>
  <c r="O1203" i="1" a="1"/>
  <c r="O1203" i="1" s="1"/>
  <c r="N1203" i="1"/>
  <c r="M1203" i="1"/>
  <c r="O1202" i="1" a="1"/>
  <c r="O1202" i="1" s="1"/>
  <c r="N1202" i="1"/>
  <c r="M1202" i="1"/>
  <c r="O1201" i="1"/>
  <c r="O1201" i="1" a="1"/>
  <c r="N1201" i="1"/>
  <c r="M1201" i="1"/>
  <c r="O1200" i="1" a="1"/>
  <c r="O1200" i="1" s="1"/>
  <c r="N1200" i="1"/>
  <c r="M1200" i="1"/>
  <c r="O1199" i="1" a="1"/>
  <c r="O1199" i="1" s="1"/>
  <c r="N1199" i="1"/>
  <c r="M1199" i="1"/>
  <c r="O1198" i="1" a="1"/>
  <c r="O1198" i="1" s="1"/>
  <c r="N1198" i="1"/>
  <c r="M1198" i="1"/>
  <c r="O1197" i="1" a="1"/>
  <c r="O1197" i="1" s="1"/>
  <c r="N1197" i="1"/>
  <c r="M1197" i="1"/>
  <c r="O1196" i="1" a="1"/>
  <c r="O1196" i="1" s="1"/>
  <c r="N1196" i="1"/>
  <c r="M1196" i="1"/>
  <c r="O1195" i="1" a="1"/>
  <c r="O1195" i="1" s="1"/>
  <c r="N1195" i="1"/>
  <c r="M1195" i="1"/>
  <c r="O1194" i="1"/>
  <c r="O1194" i="1" a="1"/>
  <c r="N1194" i="1"/>
  <c r="M1194" i="1"/>
  <c r="O1193" i="1" a="1"/>
  <c r="O1193" i="1" s="1"/>
  <c r="N1193" i="1"/>
  <c r="M1193" i="1"/>
  <c r="O1192" i="1" a="1"/>
  <c r="O1192" i="1" s="1"/>
  <c r="N1192" i="1"/>
  <c r="M1192" i="1"/>
  <c r="O1191" i="1" a="1"/>
  <c r="O1191" i="1" s="1"/>
  <c r="N1191" i="1"/>
  <c r="M1191" i="1"/>
  <c r="O1190" i="1" a="1"/>
  <c r="O1190" i="1" s="1"/>
  <c r="N1190" i="1"/>
  <c r="M1190" i="1"/>
  <c r="O1189" i="1" a="1"/>
  <c r="O1189" i="1" s="1"/>
  <c r="N1189" i="1"/>
  <c r="M1189" i="1"/>
  <c r="O1188" i="1"/>
  <c r="O1188" i="1" a="1"/>
  <c r="N1188" i="1"/>
  <c r="M1188" i="1"/>
  <c r="O1187" i="1" a="1"/>
  <c r="O1187" i="1" s="1"/>
  <c r="N1187" i="1"/>
  <c r="M1187" i="1"/>
  <c r="O1186" i="1"/>
  <c r="O1186" i="1" a="1"/>
  <c r="N1186" i="1"/>
  <c r="M1186" i="1"/>
  <c r="O1185" i="1" a="1"/>
  <c r="O1185" i="1" s="1"/>
  <c r="N1185" i="1"/>
  <c r="M1185" i="1"/>
  <c r="O1184" i="1" a="1"/>
  <c r="O1184" i="1" s="1"/>
  <c r="N1184" i="1"/>
  <c r="M1184" i="1"/>
  <c r="O1183" i="1"/>
  <c r="O1183" i="1" a="1"/>
  <c r="N1183" i="1"/>
  <c r="M1183" i="1"/>
  <c r="O1182" i="1" a="1"/>
  <c r="O1182" i="1" s="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a="1"/>
  <c r="O1176" i="1" s="1"/>
  <c r="N1176" i="1"/>
  <c r="M1176" i="1"/>
  <c r="O1175" i="1" a="1"/>
  <c r="O1175" i="1" s="1"/>
  <c r="N1175" i="1"/>
  <c r="M1175" i="1"/>
  <c r="O1174" i="1"/>
  <c r="O1174" i="1" a="1"/>
  <c r="N1174" i="1"/>
  <c r="M1174" i="1"/>
  <c r="O1173" i="1"/>
  <c r="O1173" i="1" a="1"/>
  <c r="N1173" i="1"/>
  <c r="M1173" i="1"/>
  <c r="O1172" i="1" a="1"/>
  <c r="O1172" i="1" s="1"/>
  <c r="N1172" i="1"/>
  <c r="M1172" i="1"/>
  <c r="O1171" i="1" a="1"/>
  <c r="O1171" i="1" s="1"/>
  <c r="N1171" i="1"/>
  <c r="M1171" i="1"/>
  <c r="O1170" i="1"/>
  <c r="O1170" i="1" a="1"/>
  <c r="N1170" i="1"/>
  <c r="M1170" i="1"/>
  <c r="O1169" i="1" a="1"/>
  <c r="O1169" i="1" s="1"/>
  <c r="N1169" i="1"/>
  <c r="M1169" i="1"/>
  <c r="O1168" i="1" a="1"/>
  <c r="O1168" i="1" s="1"/>
  <c r="N1168" i="1"/>
  <c r="M1168" i="1"/>
  <c r="O1167" i="1" a="1"/>
  <c r="O1167" i="1" s="1"/>
  <c r="N1167" i="1"/>
  <c r="M1167" i="1"/>
  <c r="O1166" i="1" a="1"/>
  <c r="O1166" i="1" s="1"/>
  <c r="N1166" i="1"/>
  <c r="M1166" i="1"/>
  <c r="O1165" i="1"/>
  <c r="O1165" i="1" a="1"/>
  <c r="N1165" i="1"/>
  <c r="M1165" i="1"/>
  <c r="O1164" i="1"/>
  <c r="O1164" i="1" a="1"/>
  <c r="N1164" i="1"/>
  <c r="M1164" i="1"/>
  <c r="O1163" i="1" a="1"/>
  <c r="O1163" i="1" s="1"/>
  <c r="N1163" i="1"/>
  <c r="M1163" i="1"/>
  <c r="O1162" i="1" a="1"/>
  <c r="O1162" i="1" s="1"/>
  <c r="N1162" i="1"/>
  <c r="M1162" i="1"/>
  <c r="O1161" i="1" a="1"/>
  <c r="O1161" i="1" s="1"/>
  <c r="N1161" i="1"/>
  <c r="M1161" i="1"/>
  <c r="O1160" i="1" a="1"/>
  <c r="O1160" i="1" s="1"/>
  <c r="N1160" i="1"/>
  <c r="M1160" i="1"/>
  <c r="O1159" i="1" a="1"/>
  <c r="O1159" i="1" s="1"/>
  <c r="N1159" i="1"/>
  <c r="M1159" i="1"/>
  <c r="O1158" i="1" a="1"/>
  <c r="O1158" i="1" s="1"/>
  <c r="N1158" i="1"/>
  <c r="M1158" i="1"/>
  <c r="O1157" i="1" a="1"/>
  <c r="O1157" i="1" s="1"/>
  <c r="N1157" i="1"/>
  <c r="M1157" i="1"/>
  <c r="O1156" i="1" a="1"/>
  <c r="O1156" i="1" s="1"/>
  <c r="N1156" i="1"/>
  <c r="M1156" i="1"/>
  <c r="O1155" i="1" a="1"/>
  <c r="O1155" i="1" s="1"/>
  <c r="N1155" i="1"/>
  <c r="M1155" i="1"/>
  <c r="O1154" i="1" a="1"/>
  <c r="O1154" i="1" s="1"/>
  <c r="N1154" i="1"/>
  <c r="M1154" i="1"/>
  <c r="O1153" i="1" a="1"/>
  <c r="O1153" i="1" s="1"/>
  <c r="N1153" i="1"/>
  <c r="M1153" i="1"/>
  <c r="O1152" i="1"/>
  <c r="O1152" i="1" a="1"/>
  <c r="N1152" i="1"/>
  <c r="M1152" i="1"/>
  <c r="O1151" i="1" a="1"/>
  <c r="O1151" i="1" s="1"/>
  <c r="N1151" i="1"/>
  <c r="M1151" i="1"/>
  <c r="O1150" i="1"/>
  <c r="O1150" i="1" a="1"/>
  <c r="N1150" i="1"/>
  <c r="M1150" i="1"/>
  <c r="O1149" i="1" a="1"/>
  <c r="O1149" i="1" s="1"/>
  <c r="N1149" i="1"/>
  <c r="M1149" i="1"/>
  <c r="O1148" i="1" a="1"/>
  <c r="O1148" i="1" s="1"/>
  <c r="N1148" i="1"/>
  <c r="M1148" i="1"/>
  <c r="O1147" i="1"/>
  <c r="O1147" i="1" a="1"/>
  <c r="N1147" i="1"/>
  <c r="M1147" i="1"/>
  <c r="O1146" i="1" a="1"/>
  <c r="O1146" i="1" s="1"/>
  <c r="N1146" i="1"/>
  <c r="M1146" i="1"/>
  <c r="O1145" i="1" a="1"/>
  <c r="O1145" i="1" s="1"/>
  <c r="N1145" i="1"/>
  <c r="M1145" i="1"/>
  <c r="O1144" i="1"/>
  <c r="O1144" i="1" a="1"/>
  <c r="N1144" i="1"/>
  <c r="M1144" i="1"/>
  <c r="O1143" i="1" a="1"/>
  <c r="O1143" i="1" s="1"/>
  <c r="N1143" i="1"/>
  <c r="M1143" i="1"/>
  <c r="O1142" i="1" a="1"/>
  <c r="O1142" i="1" s="1"/>
  <c r="N1142" i="1"/>
  <c r="M1142" i="1"/>
  <c r="O1141" i="1" a="1"/>
  <c r="O1141" i="1" s="1"/>
  <c r="N1141" i="1"/>
  <c r="M1141" i="1"/>
  <c r="O1140" i="1" a="1"/>
  <c r="O1140" i="1" s="1"/>
  <c r="N1140" i="1"/>
  <c r="M1140" i="1"/>
  <c r="O1139" i="1" a="1"/>
  <c r="O1139" i="1" s="1"/>
  <c r="N1139" i="1"/>
  <c r="M1139" i="1"/>
  <c r="O1138" i="1" a="1"/>
  <c r="O1138" i="1" s="1"/>
  <c r="N1138" i="1"/>
  <c r="M1138" i="1"/>
  <c r="O1137" i="1"/>
  <c r="O1137" i="1" a="1"/>
  <c r="N1137" i="1"/>
  <c r="M1137" i="1"/>
  <c r="O1136" i="1" a="1"/>
  <c r="O1136" i="1" s="1"/>
  <c r="N1136" i="1"/>
  <c r="M1136" i="1"/>
  <c r="O1135" i="1" a="1"/>
  <c r="O1135" i="1" s="1"/>
  <c r="N1135" i="1"/>
  <c r="M1135" i="1"/>
  <c r="O1134" i="1"/>
  <c r="O1134" i="1" a="1"/>
  <c r="N1134" i="1"/>
  <c r="M1134" i="1"/>
  <c r="O1133" i="1" a="1"/>
  <c r="O1133" i="1" s="1"/>
  <c r="N1133" i="1"/>
  <c r="M1133" i="1"/>
  <c r="O1132" i="1" a="1"/>
  <c r="O1132" i="1" s="1"/>
  <c r="N1132" i="1"/>
  <c r="M1132" i="1"/>
  <c r="O1131" i="1"/>
  <c r="O1131" i="1" a="1"/>
  <c r="N1131" i="1"/>
  <c r="M1131" i="1"/>
  <c r="O1130" i="1" a="1"/>
  <c r="O1130" i="1" s="1"/>
  <c r="N1130" i="1"/>
  <c r="M1130" i="1"/>
  <c r="O1129" i="1"/>
  <c r="O1129" i="1" a="1"/>
  <c r="N1129" i="1"/>
  <c r="M1129" i="1"/>
  <c r="O1128" i="1" a="1"/>
  <c r="O1128" i="1" s="1"/>
  <c r="N1128" i="1"/>
  <c r="M1128" i="1"/>
  <c r="O1127" i="1" a="1"/>
  <c r="O1127" i="1" s="1"/>
  <c r="N1127" i="1"/>
  <c r="M1127" i="1"/>
  <c r="O1126" i="1" a="1"/>
  <c r="O1126" i="1" s="1"/>
  <c r="N1126" i="1"/>
  <c r="M1126" i="1"/>
  <c r="O1125" i="1"/>
  <c r="O1125" i="1" a="1"/>
  <c r="N1125" i="1"/>
  <c r="M1125" i="1"/>
  <c r="O1124" i="1" a="1"/>
  <c r="O1124" i="1" s="1"/>
  <c r="N1124" i="1"/>
  <c r="M1124" i="1"/>
  <c r="O1123" i="1" a="1"/>
  <c r="O1123" i="1" s="1"/>
  <c r="N1123" i="1"/>
  <c r="M1123" i="1"/>
  <c r="O1122" i="1" a="1"/>
  <c r="O1122" i="1" s="1"/>
  <c r="N1122" i="1"/>
  <c r="M1122" i="1"/>
  <c r="O1121" i="1" a="1"/>
  <c r="O1121" i="1" s="1"/>
  <c r="N1121" i="1"/>
  <c r="M1121" i="1"/>
  <c r="O1120" i="1" a="1"/>
  <c r="O1120" i="1" s="1"/>
  <c r="N1120" i="1"/>
  <c r="M1120" i="1"/>
  <c r="O1119" i="1" a="1"/>
  <c r="O1119" i="1" s="1"/>
  <c r="N1119" i="1"/>
  <c r="M1119" i="1"/>
  <c r="O1118" i="1" a="1"/>
  <c r="O1118" i="1" s="1"/>
  <c r="N1118" i="1"/>
  <c r="M1118" i="1"/>
  <c r="O1117" i="1" a="1"/>
  <c r="O1117" i="1" s="1"/>
  <c r="N1117" i="1"/>
  <c r="M1117" i="1"/>
  <c r="O1116" i="1"/>
  <c r="O1116" i="1" a="1"/>
  <c r="N1116" i="1"/>
  <c r="M1116" i="1"/>
  <c r="O1115" i="1" a="1"/>
  <c r="O1115" i="1" s="1"/>
  <c r="N1115" i="1"/>
  <c r="M1115" i="1"/>
  <c r="O1114" i="1"/>
  <c r="O1114" i="1" a="1"/>
  <c r="N1114" i="1"/>
  <c r="M1114" i="1"/>
  <c r="O1113" i="1" a="1"/>
  <c r="O1113" i="1" s="1"/>
  <c r="N1113" i="1"/>
  <c r="M1113" i="1"/>
  <c r="O1112" i="1" a="1"/>
  <c r="O1112" i="1" s="1"/>
  <c r="N1112" i="1"/>
  <c r="M1112" i="1"/>
  <c r="O1111" i="1"/>
  <c r="O1111" i="1" a="1"/>
  <c r="N1111" i="1"/>
  <c r="M1111" i="1"/>
  <c r="O1110" i="1" a="1"/>
  <c r="O1110" i="1" s="1"/>
  <c r="N1110" i="1"/>
  <c r="M1110" i="1"/>
  <c r="O1109" i="1" a="1"/>
  <c r="O1109" i="1" s="1"/>
  <c r="N1109" i="1"/>
  <c r="M1109" i="1"/>
  <c r="O1108" i="1" a="1"/>
  <c r="O1108" i="1" s="1"/>
  <c r="N1108" i="1"/>
  <c r="M1108" i="1"/>
  <c r="O1107" i="1" a="1"/>
  <c r="O1107" i="1" s="1"/>
  <c r="N1107" i="1"/>
  <c r="M1107" i="1"/>
  <c r="O1106" i="1" a="1"/>
  <c r="O1106" i="1" s="1"/>
  <c r="N1106" i="1"/>
  <c r="M1106" i="1"/>
  <c r="O1105" i="1"/>
  <c r="O1105" i="1" a="1"/>
  <c r="N1105" i="1"/>
  <c r="M1105" i="1"/>
  <c r="O1104" i="1" a="1"/>
  <c r="O1104" i="1" s="1"/>
  <c r="N1104" i="1"/>
  <c r="M1104" i="1"/>
  <c r="O1103" i="1" a="1"/>
  <c r="O1103" i="1" s="1"/>
  <c r="N1103" i="1"/>
  <c r="M1103" i="1"/>
  <c r="O1102" i="1"/>
  <c r="O1102" i="1" a="1"/>
  <c r="N1102" i="1"/>
  <c r="M1102" i="1"/>
  <c r="O1101" i="1"/>
  <c r="O1101" i="1" a="1"/>
  <c r="N1101" i="1"/>
  <c r="M1101" i="1"/>
  <c r="O1100" i="1" a="1"/>
  <c r="O1100" i="1" s="1"/>
  <c r="N1100" i="1"/>
  <c r="M1100" i="1"/>
  <c r="O1099" i="1" a="1"/>
  <c r="O1099" i="1" s="1"/>
  <c r="N1099" i="1"/>
  <c r="M1099" i="1"/>
  <c r="O1098" i="1"/>
  <c r="O1098" i="1" a="1"/>
  <c r="N1098" i="1"/>
  <c r="M1098" i="1"/>
  <c r="O1097" i="1" a="1"/>
  <c r="O1097" i="1" s="1"/>
  <c r="N1097" i="1"/>
  <c r="M1097" i="1"/>
  <c r="O1096" i="1" a="1"/>
  <c r="O1096" i="1" s="1"/>
  <c r="N1096" i="1"/>
  <c r="M1096" i="1"/>
  <c r="O1095" i="1"/>
  <c r="O1095" i="1" a="1"/>
  <c r="N1095" i="1"/>
  <c r="M1095" i="1"/>
  <c r="O1094" i="1" a="1"/>
  <c r="O1094" i="1" s="1"/>
  <c r="N1094" i="1"/>
  <c r="M1094" i="1"/>
  <c r="O1093" i="1"/>
  <c r="O1093" i="1" a="1"/>
  <c r="N1093" i="1"/>
  <c r="M1093" i="1"/>
  <c r="O1092" i="1"/>
  <c r="O1092" i="1" a="1"/>
  <c r="N1092" i="1"/>
  <c r="M1092" i="1"/>
  <c r="O1091" i="1" a="1"/>
  <c r="O1091" i="1" s="1"/>
  <c r="N1091" i="1"/>
  <c r="M1091" i="1"/>
  <c r="O1090" i="1" a="1"/>
  <c r="O1090" i="1" s="1"/>
  <c r="N1090" i="1"/>
  <c r="M1090" i="1"/>
  <c r="O1089" i="1" a="1"/>
  <c r="O1089" i="1" s="1"/>
  <c r="N1089" i="1"/>
  <c r="M1089" i="1"/>
  <c r="O1088" i="1" a="1"/>
  <c r="O1088" i="1" s="1"/>
  <c r="N1088" i="1"/>
  <c r="M1088" i="1"/>
  <c r="O1087" i="1" a="1"/>
  <c r="O1087" i="1" s="1"/>
  <c r="N1087" i="1"/>
  <c r="M1087" i="1"/>
  <c r="O1086" i="1"/>
  <c r="O1086" i="1" a="1"/>
  <c r="N1086" i="1"/>
  <c r="M1086" i="1"/>
  <c r="O1085" i="1" a="1"/>
  <c r="O1085" i="1" s="1"/>
  <c r="N1085" i="1"/>
  <c r="M1085" i="1"/>
  <c r="O1084" i="1" a="1"/>
  <c r="O1084" i="1" s="1"/>
  <c r="N1084" i="1"/>
  <c r="M1084" i="1"/>
  <c r="O1083" i="1" a="1"/>
  <c r="O1083" i="1" s="1"/>
  <c r="N1083" i="1"/>
  <c r="M1083" i="1"/>
  <c r="O1082" i="1" a="1"/>
  <c r="O1082" i="1" s="1"/>
  <c r="N1082" i="1"/>
  <c r="M1082" i="1"/>
  <c r="O1081" i="1" a="1"/>
  <c r="O1081" i="1" s="1"/>
  <c r="N1081" i="1"/>
  <c r="M1081" i="1"/>
  <c r="O1080" i="1"/>
  <c r="O1080" i="1" a="1"/>
  <c r="N1080" i="1"/>
  <c r="M1080" i="1"/>
  <c r="O1079" i="1" a="1"/>
  <c r="O1079" i="1" s="1"/>
  <c r="N1079" i="1"/>
  <c r="M1079" i="1"/>
  <c r="O1078" i="1"/>
  <c r="O1078" i="1" a="1"/>
  <c r="N1078" i="1"/>
  <c r="M1078" i="1"/>
  <c r="O1077" i="1" a="1"/>
  <c r="O1077" i="1" s="1"/>
  <c r="N1077" i="1"/>
  <c r="M1077" i="1"/>
  <c r="O1076" i="1" a="1"/>
  <c r="O1076" i="1" s="1"/>
  <c r="N1076" i="1"/>
  <c r="M1076" i="1"/>
  <c r="O1075" i="1"/>
  <c r="O1075" i="1" a="1"/>
  <c r="N1075" i="1"/>
  <c r="M1075" i="1"/>
  <c r="O1074" i="1" a="1"/>
  <c r="O1074" i="1" s="1"/>
  <c r="N1074" i="1"/>
  <c r="M1074" i="1"/>
  <c r="O1073" i="1" a="1"/>
  <c r="O1073" i="1" s="1"/>
  <c r="N1073" i="1"/>
  <c r="M1073" i="1"/>
  <c r="O1072" i="1" a="1"/>
  <c r="O1072" i="1" s="1"/>
  <c r="N1072" i="1"/>
  <c r="M1072" i="1"/>
  <c r="O1071" i="1" a="1"/>
  <c r="O1071" i="1" s="1"/>
  <c r="N1071" i="1"/>
  <c r="M1071" i="1"/>
  <c r="O1070" i="1" a="1"/>
  <c r="O1070" i="1" s="1"/>
  <c r="N1070" i="1"/>
  <c r="M1070" i="1"/>
  <c r="O1069" i="1" a="1"/>
  <c r="O1069" i="1" s="1"/>
  <c r="N1069" i="1"/>
  <c r="M1069" i="1"/>
  <c r="O1068" i="1" a="1"/>
  <c r="O1068" i="1" s="1"/>
  <c r="N1068" i="1"/>
  <c r="M1068" i="1"/>
  <c r="O1067" i="1" a="1"/>
  <c r="O1067" i="1" s="1"/>
  <c r="N1067" i="1"/>
  <c r="M1067" i="1"/>
  <c r="O1066" i="1"/>
  <c r="O1066" i="1" a="1"/>
  <c r="N1066" i="1"/>
  <c r="M1066" i="1"/>
  <c r="O1065" i="1"/>
  <c r="O1065" i="1" a="1"/>
  <c r="N1065" i="1"/>
  <c r="M1065" i="1"/>
  <c r="O1064" i="1" a="1"/>
  <c r="O1064" i="1" s="1"/>
  <c r="N1064" i="1"/>
  <c r="M1064" i="1"/>
  <c r="O1063" i="1" a="1"/>
  <c r="O1063" i="1" s="1"/>
  <c r="N1063" i="1"/>
  <c r="M1063" i="1"/>
  <c r="O1062" i="1"/>
  <c r="O1062" i="1" a="1"/>
  <c r="N1062" i="1"/>
  <c r="M1062" i="1"/>
  <c r="O1061" i="1" a="1"/>
  <c r="O1061" i="1" s="1"/>
  <c r="N1061" i="1"/>
  <c r="M1061" i="1"/>
  <c r="O1060" i="1" a="1"/>
  <c r="O1060" i="1" s="1"/>
  <c r="N1060" i="1"/>
  <c r="M1060" i="1"/>
  <c r="O1059" i="1" a="1"/>
  <c r="O1059" i="1" s="1"/>
  <c r="N1059" i="1"/>
  <c r="M1059" i="1"/>
  <c r="O1058" i="1" a="1"/>
  <c r="O1058" i="1" s="1"/>
  <c r="N1058" i="1"/>
  <c r="M1058" i="1"/>
  <c r="O1057" i="1"/>
  <c r="O1057" i="1" a="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a="1"/>
  <c r="O1049" i="1" s="1"/>
  <c r="N1049" i="1"/>
  <c r="M1049" i="1"/>
  <c r="O1048" i="1" a="1"/>
  <c r="O1048" i="1" s="1"/>
  <c r="N1048" i="1"/>
  <c r="M1048" i="1"/>
  <c r="O1047" i="1" a="1"/>
  <c r="O1047" i="1" s="1"/>
  <c r="N1047" i="1"/>
  <c r="M1047" i="1"/>
  <c r="O1046" i="1" a="1"/>
  <c r="O1046" i="1" s="1"/>
  <c r="N1046" i="1"/>
  <c r="M1046" i="1"/>
  <c r="O1045" i="1" a="1"/>
  <c r="O1045" i="1" s="1"/>
  <c r="N1045" i="1"/>
  <c r="M1045" i="1"/>
  <c r="O1044" i="1"/>
  <c r="O1044" i="1" a="1"/>
  <c r="N1044" i="1"/>
  <c r="M1044" i="1"/>
  <c r="O1043" i="1" a="1"/>
  <c r="O1043" i="1" s="1"/>
  <c r="N1043" i="1"/>
  <c r="M1043" i="1"/>
  <c r="O1042" i="1"/>
  <c r="O1042" i="1" a="1"/>
  <c r="N1042" i="1"/>
  <c r="M1042" i="1"/>
  <c r="O1041" i="1" a="1"/>
  <c r="O1041" i="1" s="1"/>
  <c r="N1041" i="1"/>
  <c r="M1041" i="1"/>
  <c r="O1040" i="1" a="1"/>
  <c r="O1040" i="1" s="1"/>
  <c r="N1040" i="1"/>
  <c r="M1040" i="1"/>
  <c r="O1039" i="1"/>
  <c r="O1039" i="1" a="1"/>
  <c r="N1039" i="1"/>
  <c r="M1039" i="1"/>
  <c r="O1038" i="1" a="1"/>
  <c r="O1038" i="1" s="1"/>
  <c r="N1038" i="1"/>
  <c r="M1038" i="1"/>
  <c r="O1037" i="1" a="1"/>
  <c r="O1037" i="1" s="1"/>
  <c r="N1037" i="1"/>
  <c r="M1037" i="1"/>
  <c r="O1036" i="1"/>
  <c r="O1036" i="1" a="1"/>
  <c r="N1036" i="1"/>
  <c r="M1036" i="1"/>
  <c r="O1035" i="1" a="1"/>
  <c r="O1035" i="1" s="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c r="O1029" i="1" a="1"/>
  <c r="N1029" i="1"/>
  <c r="M1029" i="1"/>
  <c r="O1028" i="1" a="1"/>
  <c r="O1028" i="1" s="1"/>
  <c r="N1028" i="1"/>
  <c r="M1028" i="1"/>
  <c r="O1027" i="1" a="1"/>
  <c r="O1027" i="1" s="1"/>
  <c r="N1027" i="1"/>
  <c r="M1027" i="1"/>
  <c r="O1026" i="1"/>
  <c r="O1026" i="1" a="1"/>
  <c r="N1026" i="1"/>
  <c r="M1026" i="1"/>
  <c r="O1025" i="1" a="1"/>
  <c r="O1025" i="1" s="1"/>
  <c r="N1025" i="1"/>
  <c r="M1025" i="1"/>
  <c r="O1024" i="1" a="1"/>
  <c r="O1024" i="1" s="1"/>
  <c r="N1024" i="1"/>
  <c r="M1024" i="1"/>
  <c r="O1023" i="1"/>
  <c r="O1023" i="1" a="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c r="O1017" i="1" a="1"/>
  <c r="N1017" i="1"/>
  <c r="M1017" i="1"/>
  <c r="O1016" i="1" a="1"/>
  <c r="O1016" i="1" s="1"/>
  <c r="N1016" i="1"/>
  <c r="M1016" i="1"/>
  <c r="O1015" i="1" a="1"/>
  <c r="O1015" i="1" s="1"/>
  <c r="N1015" i="1"/>
  <c r="M1015" i="1"/>
  <c r="O1014" i="1" a="1"/>
  <c r="O1014" i="1" s="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c r="O1008" i="1" a="1"/>
  <c r="N1008" i="1"/>
  <c r="M1008" i="1"/>
  <c r="O1007" i="1" a="1"/>
  <c r="O1007" i="1" s="1"/>
  <c r="N1007" i="1"/>
  <c r="M1007" i="1"/>
  <c r="O1006" i="1"/>
  <c r="O1006" i="1" a="1"/>
  <c r="N1006" i="1"/>
  <c r="M1006" i="1"/>
  <c r="O1005" i="1" a="1"/>
  <c r="O1005" i="1" s="1"/>
  <c r="N1005" i="1"/>
  <c r="M1005" i="1"/>
  <c r="O1004" i="1" a="1"/>
  <c r="O1004" i="1" s="1"/>
  <c r="N1004" i="1"/>
  <c r="M1004" i="1"/>
  <c r="O1003" i="1"/>
  <c r="O1003" i="1" a="1"/>
  <c r="N1003" i="1"/>
  <c r="M1003" i="1"/>
  <c r="O1002" i="1" a="1"/>
  <c r="O1002" i="1" s="1"/>
  <c r="N1002" i="1"/>
  <c r="M1002" i="1"/>
  <c r="O1001" i="1" a="1"/>
  <c r="O1001" i="1" s="1"/>
  <c r="N1001" i="1"/>
  <c r="M1001" i="1"/>
  <c r="O1000" i="1" a="1"/>
  <c r="O1000" i="1" s="1"/>
  <c r="N1000" i="1"/>
  <c r="M1000" i="1"/>
  <c r="O999" i="1" a="1"/>
  <c r="O999" i="1" s="1"/>
  <c r="N999" i="1"/>
  <c r="M999" i="1"/>
  <c r="O998" i="1" a="1"/>
  <c r="O998" i="1" s="1"/>
  <c r="N998" i="1"/>
  <c r="M998" i="1"/>
  <c r="O997" i="1"/>
  <c r="O997" i="1" a="1"/>
  <c r="N997" i="1"/>
  <c r="M997" i="1"/>
  <c r="O996" i="1" a="1"/>
  <c r="O996" i="1" s="1"/>
  <c r="N996" i="1"/>
  <c r="M996" i="1"/>
  <c r="O995" i="1" a="1"/>
  <c r="O995" i="1" s="1"/>
  <c r="N995" i="1"/>
  <c r="M995" i="1"/>
  <c r="O994" i="1" a="1"/>
  <c r="O994" i="1" s="1"/>
  <c r="N994" i="1"/>
  <c r="M994" i="1"/>
  <c r="O993" i="1"/>
  <c r="O993" i="1" a="1"/>
  <c r="N993" i="1"/>
  <c r="M993" i="1"/>
  <c r="O992" i="1" a="1"/>
  <c r="O992" i="1" s="1"/>
  <c r="N992" i="1"/>
  <c r="M992" i="1"/>
  <c r="O991" i="1"/>
  <c r="O991" i="1" a="1"/>
  <c r="N991" i="1"/>
  <c r="M991" i="1"/>
  <c r="O990" i="1"/>
  <c r="O990" i="1" a="1"/>
  <c r="N990" i="1"/>
  <c r="M990" i="1"/>
  <c r="O989" i="1" a="1"/>
  <c r="O989" i="1" s="1"/>
  <c r="N989" i="1"/>
  <c r="M989" i="1"/>
  <c r="O988" i="1" a="1"/>
  <c r="O988" i="1" s="1"/>
  <c r="N988" i="1"/>
  <c r="M988" i="1"/>
  <c r="O987" i="1" a="1"/>
  <c r="O987" i="1" s="1"/>
  <c r="N987" i="1"/>
  <c r="M987" i="1"/>
  <c r="O986" i="1" a="1"/>
  <c r="O986" i="1" s="1"/>
  <c r="N986" i="1"/>
  <c r="M986" i="1"/>
  <c r="O985" i="1"/>
  <c r="O985" i="1" a="1"/>
  <c r="N985" i="1"/>
  <c r="M985" i="1"/>
  <c r="O984" i="1" a="1"/>
  <c r="O984" i="1" s="1"/>
  <c r="N984" i="1"/>
  <c r="M984" i="1"/>
  <c r="O983" i="1" a="1"/>
  <c r="O983" i="1" s="1"/>
  <c r="N983" i="1"/>
  <c r="M983" i="1"/>
  <c r="O982" i="1" a="1"/>
  <c r="O982" i="1" s="1"/>
  <c r="N982" i="1"/>
  <c r="M982" i="1"/>
  <c r="O981" i="1" a="1"/>
  <c r="O981" i="1" s="1"/>
  <c r="N981" i="1"/>
  <c r="M981" i="1"/>
  <c r="O980" i="1" a="1"/>
  <c r="O980" i="1" s="1"/>
  <c r="N980" i="1"/>
  <c r="M980" i="1"/>
  <c r="O979" i="1" a="1"/>
  <c r="O979" i="1" s="1"/>
  <c r="N979" i="1"/>
  <c r="M979" i="1"/>
  <c r="O978" i="1"/>
  <c r="O978" i="1" a="1"/>
  <c r="N978" i="1"/>
  <c r="M978" i="1"/>
  <c r="O977" i="1" a="1"/>
  <c r="O977" i="1" s="1"/>
  <c r="N977" i="1"/>
  <c r="M977" i="1"/>
  <c r="O976" i="1" a="1"/>
  <c r="O976" i="1" s="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c r="O970" i="1" a="1"/>
  <c r="N970" i="1"/>
  <c r="M970" i="1"/>
  <c r="O969" i="1" a="1"/>
  <c r="O969" i="1" s="1"/>
  <c r="N969" i="1"/>
  <c r="M969" i="1"/>
  <c r="O968" i="1" a="1"/>
  <c r="O968" i="1" s="1"/>
  <c r="N968" i="1"/>
  <c r="M968" i="1"/>
  <c r="O967" i="1"/>
  <c r="O967" i="1" a="1"/>
  <c r="N967" i="1"/>
  <c r="M967" i="1"/>
  <c r="O966" i="1" a="1"/>
  <c r="O966" i="1" s="1"/>
  <c r="N966" i="1"/>
  <c r="M966" i="1"/>
  <c r="O965" i="1" a="1"/>
  <c r="O965" i="1" s="1"/>
  <c r="N965" i="1"/>
  <c r="M965" i="1"/>
  <c r="O964" i="1" a="1"/>
  <c r="O964" i="1" s="1"/>
  <c r="N964" i="1"/>
  <c r="M964" i="1"/>
  <c r="O963" i="1" a="1"/>
  <c r="O963" i="1" s="1"/>
  <c r="N963" i="1"/>
  <c r="M963" i="1"/>
  <c r="O962" i="1" a="1"/>
  <c r="O962" i="1" s="1"/>
  <c r="N962" i="1"/>
  <c r="M962" i="1"/>
  <c r="O961" i="1" a="1"/>
  <c r="O961" i="1" s="1"/>
  <c r="N961" i="1"/>
  <c r="M961" i="1"/>
  <c r="O960" i="1" a="1"/>
  <c r="O960" i="1" s="1"/>
  <c r="N960" i="1"/>
  <c r="M960" i="1"/>
  <c r="O959" i="1" a="1"/>
  <c r="O959" i="1" s="1"/>
  <c r="N959" i="1"/>
  <c r="M959" i="1"/>
  <c r="O958" i="1"/>
  <c r="O958" i="1" a="1"/>
  <c r="N958" i="1"/>
  <c r="M958" i="1"/>
  <c r="O957" i="1"/>
  <c r="O957" i="1" a="1"/>
  <c r="N957" i="1"/>
  <c r="M957" i="1"/>
  <c r="O956" i="1" a="1"/>
  <c r="O956" i="1" s="1"/>
  <c r="N956" i="1"/>
  <c r="M956" i="1"/>
  <c r="O955" i="1" a="1"/>
  <c r="O955" i="1" s="1"/>
  <c r="N955" i="1"/>
  <c r="M955" i="1"/>
  <c r="O954" i="1"/>
  <c r="O954" i="1" a="1"/>
  <c r="N954" i="1"/>
  <c r="M954" i="1"/>
  <c r="O953" i="1" a="1"/>
  <c r="O953" i="1" s="1"/>
  <c r="N953" i="1"/>
  <c r="M953" i="1"/>
  <c r="O952" i="1" a="1"/>
  <c r="O952" i="1" s="1"/>
  <c r="N952" i="1"/>
  <c r="M952" i="1"/>
  <c r="O951" i="1" a="1"/>
  <c r="O951" i="1" s="1"/>
  <c r="N951" i="1"/>
  <c r="M951" i="1"/>
  <c r="O950" i="1" a="1"/>
  <c r="O950" i="1" s="1"/>
  <c r="N950" i="1"/>
  <c r="M950" i="1"/>
  <c r="O949" i="1"/>
  <c r="O949" i="1" a="1"/>
  <c r="N949" i="1"/>
  <c r="M949" i="1"/>
  <c r="O948" i="1"/>
  <c r="O948" i="1" a="1"/>
  <c r="N948" i="1"/>
  <c r="M948" i="1"/>
  <c r="O947" i="1" a="1"/>
  <c r="O947" i="1" s="1"/>
  <c r="N947" i="1"/>
  <c r="M947" i="1"/>
  <c r="O946" i="1" a="1"/>
  <c r="O946" i="1" s="1"/>
  <c r="N946" i="1"/>
  <c r="M946" i="1"/>
  <c r="O945" i="1" a="1"/>
  <c r="O945" i="1" s="1"/>
  <c r="N945" i="1"/>
  <c r="M945" i="1"/>
  <c r="O944" i="1" a="1"/>
  <c r="O944" i="1" s="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a="1"/>
  <c r="O937" i="1" s="1"/>
  <c r="N937" i="1"/>
  <c r="M937" i="1"/>
  <c r="O936" i="1"/>
  <c r="O936" i="1" a="1"/>
  <c r="N936" i="1"/>
  <c r="M936" i="1"/>
  <c r="O935" i="1" a="1"/>
  <c r="O935" i="1" s="1"/>
  <c r="N935" i="1"/>
  <c r="M935" i="1"/>
  <c r="O934" i="1"/>
  <c r="O934" i="1" a="1"/>
  <c r="N934" i="1"/>
  <c r="M934" i="1"/>
  <c r="O933" i="1" a="1"/>
  <c r="O933" i="1" s="1"/>
  <c r="N933" i="1"/>
  <c r="M933" i="1"/>
  <c r="O932" i="1" a="1"/>
  <c r="O932" i="1" s="1"/>
  <c r="N932" i="1"/>
  <c r="M932" i="1"/>
  <c r="O931" i="1"/>
  <c r="O931" i="1" a="1"/>
  <c r="N931" i="1"/>
  <c r="M931" i="1"/>
  <c r="O930" i="1" a="1"/>
  <c r="O930" i="1" s="1"/>
  <c r="N930" i="1"/>
  <c r="M930" i="1"/>
  <c r="O929" i="1" a="1"/>
  <c r="O929" i="1" s="1"/>
  <c r="N929" i="1"/>
  <c r="M929" i="1"/>
  <c r="O928" i="1"/>
  <c r="O928" i="1" a="1"/>
  <c r="N928" i="1"/>
  <c r="M928" i="1"/>
  <c r="O927" i="1" a="1"/>
  <c r="O927" i="1" s="1"/>
  <c r="N927" i="1"/>
  <c r="M927" i="1"/>
  <c r="O926" i="1" a="1"/>
  <c r="O926" i="1" s="1"/>
  <c r="N926" i="1"/>
  <c r="M926" i="1"/>
  <c r="O925" i="1" a="1"/>
  <c r="O925" i="1" s="1"/>
  <c r="N925" i="1"/>
  <c r="M925" i="1"/>
  <c r="O924" i="1" a="1"/>
  <c r="O924" i="1" s="1"/>
  <c r="N924" i="1"/>
  <c r="M924" i="1"/>
  <c r="O923" i="1" a="1"/>
  <c r="O923" i="1" s="1"/>
  <c r="N923" i="1"/>
  <c r="M923" i="1"/>
  <c r="O922" i="1" a="1"/>
  <c r="O922" i="1" s="1"/>
  <c r="N922" i="1"/>
  <c r="M922" i="1"/>
  <c r="O921" i="1"/>
  <c r="O921" i="1" a="1"/>
  <c r="N921" i="1"/>
  <c r="M921" i="1"/>
  <c r="O920" i="1" a="1"/>
  <c r="O920" i="1" s="1"/>
  <c r="N920" i="1"/>
  <c r="M920" i="1"/>
  <c r="O919" i="1" a="1"/>
  <c r="O919" i="1" s="1"/>
  <c r="N919" i="1"/>
  <c r="M919" i="1"/>
  <c r="O918" i="1"/>
  <c r="O918" i="1" a="1"/>
  <c r="N918" i="1"/>
  <c r="M918" i="1"/>
  <c r="O917" i="1" a="1"/>
  <c r="O917" i="1" s="1"/>
  <c r="N917" i="1"/>
  <c r="M917" i="1"/>
  <c r="O916" i="1" a="1"/>
  <c r="O916" i="1" s="1"/>
  <c r="N916" i="1"/>
  <c r="M916" i="1"/>
  <c r="O915" i="1"/>
  <c r="O915" i="1" a="1"/>
  <c r="N915" i="1"/>
  <c r="M915" i="1"/>
  <c r="O914" i="1" a="1"/>
  <c r="O914" i="1" s="1"/>
  <c r="N914" i="1"/>
  <c r="M914" i="1"/>
  <c r="O913" i="1"/>
  <c r="O913" i="1" a="1"/>
  <c r="N913" i="1"/>
  <c r="M913" i="1"/>
  <c r="O912" i="1" a="1"/>
  <c r="O912" i="1" s="1"/>
  <c r="N912" i="1"/>
  <c r="M912" i="1"/>
  <c r="O911" i="1" a="1"/>
  <c r="O911" i="1" s="1"/>
  <c r="N911" i="1"/>
  <c r="M911" i="1"/>
  <c r="O910" i="1" a="1"/>
  <c r="O910" i="1" s="1"/>
  <c r="N910" i="1"/>
  <c r="M910" i="1"/>
  <c r="O909" i="1"/>
  <c r="O909" i="1" a="1"/>
  <c r="N909" i="1"/>
  <c r="M909" i="1"/>
  <c r="O908" i="1"/>
  <c r="O908" i="1" a="1"/>
  <c r="N908" i="1"/>
  <c r="M908" i="1"/>
  <c r="O907" i="1" a="1"/>
  <c r="O907" i="1" s="1"/>
  <c r="N907" i="1"/>
  <c r="M907" i="1"/>
  <c r="O906" i="1" a="1"/>
  <c r="O906" i="1" s="1"/>
  <c r="N906" i="1"/>
  <c r="M906" i="1"/>
  <c r="O905" i="1"/>
  <c r="O905" i="1" a="1"/>
  <c r="N905" i="1"/>
  <c r="M905" i="1"/>
  <c r="O904" i="1" a="1"/>
  <c r="O904" i="1" s="1"/>
  <c r="N904" i="1"/>
  <c r="M904" i="1"/>
  <c r="O903" i="1" a="1"/>
  <c r="O903" i="1" s="1"/>
  <c r="N903" i="1"/>
  <c r="M903" i="1"/>
  <c r="O902" i="1"/>
  <c r="O902" i="1" a="1"/>
  <c r="N902" i="1"/>
  <c r="M902" i="1"/>
  <c r="O901" i="1" a="1"/>
  <c r="O901" i="1" s="1"/>
  <c r="N901" i="1"/>
  <c r="M901" i="1"/>
  <c r="O900" i="1"/>
  <c r="O900" i="1" a="1"/>
  <c r="N900" i="1"/>
  <c r="M900" i="1"/>
  <c r="O899" i="1"/>
  <c r="O899" i="1" a="1"/>
  <c r="N899" i="1"/>
  <c r="M899" i="1"/>
  <c r="O898" i="1" a="1"/>
  <c r="O898" i="1" s="1"/>
  <c r="N898" i="1"/>
  <c r="M898" i="1"/>
  <c r="O897" i="1" a="1"/>
  <c r="O897" i="1" s="1"/>
  <c r="N897" i="1"/>
  <c r="M897" i="1"/>
  <c r="O896" i="1"/>
  <c r="O896" i="1" a="1"/>
  <c r="N896" i="1"/>
  <c r="M896" i="1"/>
  <c r="O895" i="1" a="1"/>
  <c r="O895" i="1" s="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a="1"/>
  <c r="O888" i="1" s="1"/>
  <c r="N888" i="1"/>
  <c r="M888" i="1"/>
  <c r="O887" i="1"/>
  <c r="O887" i="1" a="1"/>
  <c r="N887" i="1"/>
  <c r="M887" i="1"/>
  <c r="O886" i="1" a="1"/>
  <c r="O886" i="1" s="1"/>
  <c r="N886" i="1"/>
  <c r="M886" i="1"/>
  <c r="O885" i="1" a="1"/>
  <c r="O885" i="1" s="1"/>
  <c r="N885" i="1"/>
  <c r="M885" i="1"/>
  <c r="O884" i="1"/>
  <c r="O884" i="1" a="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a="1"/>
  <c r="O874" i="1" s="1"/>
  <c r="N874" i="1"/>
  <c r="M874" i="1"/>
  <c r="O873" i="1"/>
  <c r="O873" i="1" a="1"/>
  <c r="N873" i="1"/>
  <c r="M873" i="1"/>
  <c r="O872" i="1"/>
  <c r="O872" i="1" a="1"/>
  <c r="N872" i="1"/>
  <c r="M872" i="1"/>
  <c r="O871" i="1" a="1"/>
  <c r="O871" i="1" s="1"/>
  <c r="N871" i="1"/>
  <c r="M871" i="1"/>
  <c r="O870" i="1" a="1"/>
  <c r="O870" i="1" s="1"/>
  <c r="N870" i="1"/>
  <c r="M870" i="1"/>
  <c r="O869" i="1"/>
  <c r="O869" i="1" a="1"/>
  <c r="N869" i="1"/>
  <c r="M869" i="1"/>
  <c r="O868" i="1" a="1"/>
  <c r="O868" i="1" s="1"/>
  <c r="N868" i="1"/>
  <c r="M868" i="1"/>
  <c r="O867" i="1" a="1"/>
  <c r="O867" i="1" s="1"/>
  <c r="N867" i="1"/>
  <c r="M867" i="1"/>
  <c r="O866" i="1"/>
  <c r="O866" i="1" a="1"/>
  <c r="N866" i="1"/>
  <c r="M866" i="1"/>
  <c r="O865" i="1" a="1"/>
  <c r="O865" i="1" s="1"/>
  <c r="N865" i="1"/>
  <c r="M865" i="1"/>
  <c r="O864" i="1"/>
  <c r="O864" i="1" a="1"/>
  <c r="N864" i="1"/>
  <c r="M864" i="1"/>
  <c r="O863" i="1"/>
  <c r="O863" i="1" a="1"/>
  <c r="N863" i="1"/>
  <c r="M863" i="1"/>
  <c r="O862" i="1" a="1"/>
  <c r="O862" i="1" s="1"/>
  <c r="N862" i="1"/>
  <c r="M862" i="1"/>
  <c r="O861" i="1" a="1"/>
  <c r="O861" i="1" s="1"/>
  <c r="N861" i="1"/>
  <c r="M861" i="1"/>
  <c r="O860" i="1"/>
  <c r="O860" i="1" a="1"/>
  <c r="N860" i="1"/>
  <c r="M860" i="1"/>
  <c r="O859" i="1" a="1"/>
  <c r="O859" i="1" s="1"/>
  <c r="N859" i="1"/>
  <c r="M859" i="1"/>
  <c r="O858" i="1" a="1"/>
  <c r="O858" i="1" s="1"/>
  <c r="N858" i="1"/>
  <c r="M858" i="1"/>
  <c r="O857" i="1"/>
  <c r="O857" i="1" a="1"/>
  <c r="N857" i="1"/>
  <c r="M857" i="1"/>
  <c r="O856" i="1" a="1"/>
  <c r="O856" i="1" s="1"/>
  <c r="N856" i="1"/>
  <c r="M856" i="1"/>
  <c r="O855" i="1"/>
  <c r="O855" i="1" a="1"/>
  <c r="N855" i="1"/>
  <c r="M855" i="1"/>
  <c r="O854" i="1"/>
  <c r="O854" i="1" a="1"/>
  <c r="N854" i="1"/>
  <c r="M854" i="1"/>
  <c r="O853" i="1" a="1"/>
  <c r="O853" i="1" s="1"/>
  <c r="N853" i="1"/>
  <c r="M853" i="1"/>
  <c r="O852" i="1" a="1"/>
  <c r="O852" i="1" s="1"/>
  <c r="N852" i="1"/>
  <c r="M852" i="1"/>
  <c r="O851" i="1"/>
  <c r="O851" i="1" a="1"/>
  <c r="N851" i="1"/>
  <c r="M851" i="1"/>
  <c r="O850" i="1" a="1"/>
  <c r="O850" i="1" s="1"/>
  <c r="N850" i="1"/>
  <c r="M850" i="1"/>
  <c r="O849" i="1" a="1"/>
  <c r="O849" i="1" s="1"/>
  <c r="N849" i="1"/>
  <c r="M849" i="1"/>
  <c r="O848" i="1"/>
  <c r="O848" i="1" a="1"/>
  <c r="N848" i="1"/>
  <c r="M848" i="1"/>
  <c r="O847" i="1" a="1"/>
  <c r="O847" i="1" s="1"/>
  <c r="N847" i="1"/>
  <c r="M847" i="1"/>
  <c r="O846" i="1" a="1"/>
  <c r="O846" i="1" s="1"/>
  <c r="N846" i="1"/>
  <c r="M846" i="1"/>
  <c r="O845" i="1"/>
  <c r="O845" i="1" a="1"/>
  <c r="N845" i="1"/>
  <c r="M845" i="1"/>
  <c r="O844" i="1" a="1"/>
  <c r="O844" i="1" s="1"/>
  <c r="N844" i="1"/>
  <c r="M844" i="1"/>
  <c r="O843" i="1" a="1"/>
  <c r="O843" i="1" s="1"/>
  <c r="N843" i="1"/>
  <c r="M843" i="1"/>
  <c r="O842" i="1"/>
  <c r="O842" i="1" a="1"/>
  <c r="N842" i="1"/>
  <c r="M842" i="1"/>
  <c r="O841" i="1" a="1"/>
  <c r="O841" i="1" s="1"/>
  <c r="N841" i="1"/>
  <c r="M841" i="1"/>
  <c r="O840" i="1" a="1"/>
  <c r="O840" i="1" s="1"/>
  <c r="N840" i="1"/>
  <c r="M840" i="1"/>
  <c r="O839" i="1"/>
  <c r="O839" i="1" a="1"/>
  <c r="N839" i="1"/>
  <c r="M839" i="1"/>
  <c r="O838" i="1" a="1"/>
  <c r="O838" i="1" s="1"/>
  <c r="N838" i="1"/>
  <c r="M838" i="1"/>
  <c r="O837" i="1"/>
  <c r="O837" i="1" a="1"/>
  <c r="N837" i="1"/>
  <c r="M837" i="1"/>
  <c r="O836" i="1"/>
  <c r="O836" i="1" a="1"/>
  <c r="N836" i="1"/>
  <c r="M836" i="1"/>
  <c r="O835" i="1" a="1"/>
  <c r="O835" i="1" s="1"/>
  <c r="N835" i="1"/>
  <c r="M835" i="1"/>
  <c r="O834" i="1" a="1"/>
  <c r="O834" i="1" s="1"/>
  <c r="N834" i="1"/>
  <c r="M834" i="1"/>
  <c r="O833" i="1"/>
  <c r="O833" i="1" a="1"/>
  <c r="N833" i="1"/>
  <c r="M833" i="1"/>
  <c r="O832" i="1" a="1"/>
  <c r="O832" i="1" s="1"/>
  <c r="N832" i="1"/>
  <c r="M832" i="1"/>
  <c r="O831" i="1" a="1"/>
  <c r="O831" i="1" s="1"/>
  <c r="N831" i="1"/>
  <c r="M831" i="1"/>
  <c r="O830" i="1"/>
  <c r="O830" i="1" a="1"/>
  <c r="N830" i="1"/>
  <c r="M830" i="1"/>
  <c r="O829" i="1" a="1"/>
  <c r="O829" i="1" s="1"/>
  <c r="N829" i="1"/>
  <c r="M829" i="1"/>
  <c r="O828" i="1"/>
  <c r="O828" i="1" a="1"/>
  <c r="N828" i="1"/>
  <c r="M828" i="1"/>
  <c r="O827" i="1"/>
  <c r="O827" i="1" a="1"/>
  <c r="N827" i="1"/>
  <c r="M827" i="1"/>
  <c r="O826" i="1" a="1"/>
  <c r="O826" i="1" s="1"/>
  <c r="N826" i="1"/>
  <c r="M826" i="1"/>
  <c r="O825" i="1" a="1"/>
  <c r="O825" i="1" s="1"/>
  <c r="N825" i="1"/>
  <c r="M825" i="1"/>
  <c r="O824" i="1"/>
  <c r="O824" i="1" a="1"/>
  <c r="N824" i="1"/>
  <c r="M824" i="1"/>
  <c r="O823" i="1" a="1"/>
  <c r="O823" i="1" s="1"/>
  <c r="N823" i="1"/>
  <c r="M823" i="1"/>
  <c r="O822" i="1" a="1"/>
  <c r="O822" i="1" s="1"/>
  <c r="N822" i="1"/>
  <c r="M822" i="1"/>
  <c r="O821" i="1"/>
  <c r="O821" i="1" a="1"/>
  <c r="N821" i="1"/>
  <c r="M821" i="1"/>
  <c r="O820" i="1" a="1"/>
  <c r="O820" i="1" s="1"/>
  <c r="N820" i="1"/>
  <c r="M820" i="1"/>
  <c r="O819" i="1"/>
  <c r="O819" i="1" a="1"/>
  <c r="N819" i="1"/>
  <c r="M819" i="1"/>
  <c r="O818" i="1"/>
  <c r="O818" i="1" a="1"/>
  <c r="N818" i="1"/>
  <c r="M818" i="1"/>
  <c r="O817" i="1" a="1"/>
  <c r="O817" i="1" s="1"/>
  <c r="N817" i="1"/>
  <c r="M817" i="1"/>
  <c r="O816" i="1" a="1"/>
  <c r="O816" i="1" s="1"/>
  <c r="N816" i="1"/>
  <c r="M816" i="1"/>
  <c r="O815" i="1"/>
  <c r="O815" i="1" a="1"/>
  <c r="N815" i="1"/>
  <c r="M815" i="1"/>
  <c r="O814" i="1" a="1"/>
  <c r="O814" i="1" s="1"/>
  <c r="N814" i="1"/>
  <c r="M814" i="1"/>
  <c r="O813" i="1" a="1"/>
  <c r="O813" i="1" s="1"/>
  <c r="N813" i="1"/>
  <c r="M813" i="1"/>
  <c r="O812" i="1"/>
  <c r="O812" i="1" a="1"/>
  <c r="N812" i="1"/>
  <c r="M812" i="1"/>
  <c r="O811" i="1" a="1"/>
  <c r="O811" i="1" s="1"/>
  <c r="N811" i="1"/>
  <c r="M811" i="1"/>
  <c r="O810" i="1" a="1"/>
  <c r="O810" i="1" s="1"/>
  <c r="N810" i="1"/>
  <c r="M810" i="1"/>
  <c r="O809" i="1"/>
  <c r="O809" i="1" a="1"/>
  <c r="N809" i="1"/>
  <c r="M809" i="1"/>
  <c r="O808" i="1" a="1"/>
  <c r="O808" i="1" s="1"/>
  <c r="N808" i="1"/>
  <c r="M808" i="1"/>
  <c r="O807" i="1" a="1"/>
  <c r="O807" i="1" s="1"/>
  <c r="N807" i="1"/>
  <c r="M807" i="1"/>
  <c r="O806" i="1"/>
  <c r="O806" i="1" a="1"/>
  <c r="N806" i="1"/>
  <c r="M806" i="1"/>
  <c r="O805" i="1" a="1"/>
  <c r="O805" i="1" s="1"/>
  <c r="N805" i="1"/>
  <c r="M805" i="1"/>
  <c r="O804" i="1" a="1"/>
  <c r="O804" i="1" s="1"/>
  <c r="N804" i="1"/>
  <c r="M804" i="1"/>
  <c r="O803" i="1"/>
  <c r="O803" i="1" a="1"/>
  <c r="N803" i="1"/>
  <c r="M803" i="1"/>
  <c r="O802" i="1" a="1"/>
  <c r="O802" i="1" s="1"/>
  <c r="N802" i="1"/>
  <c r="M802" i="1"/>
  <c r="O801" i="1"/>
  <c r="O801" i="1" a="1"/>
  <c r="N801" i="1"/>
  <c r="M801" i="1"/>
  <c r="O800" i="1"/>
  <c r="O800" i="1" a="1"/>
  <c r="N800" i="1"/>
  <c r="M800" i="1"/>
  <c r="O799" i="1" a="1"/>
  <c r="O799" i="1" s="1"/>
  <c r="N799" i="1"/>
  <c r="M799" i="1"/>
  <c r="O798" i="1" a="1"/>
  <c r="O798" i="1" s="1"/>
  <c r="N798" i="1"/>
  <c r="M798" i="1"/>
  <c r="O797" i="1"/>
  <c r="O797" i="1" a="1"/>
  <c r="N797" i="1"/>
  <c r="M797" i="1"/>
  <c r="O796" i="1" a="1"/>
  <c r="O796" i="1" s="1"/>
  <c r="N796" i="1"/>
  <c r="M796" i="1"/>
  <c r="O795" i="1" a="1"/>
  <c r="O795" i="1" s="1"/>
  <c r="N795" i="1"/>
  <c r="M795" i="1"/>
  <c r="O794" i="1"/>
  <c r="O794" i="1" a="1"/>
  <c r="N794" i="1"/>
  <c r="M794" i="1"/>
  <c r="O793" i="1" a="1"/>
  <c r="O793" i="1" s="1"/>
  <c r="N793" i="1"/>
  <c r="M793" i="1"/>
  <c r="O792" i="1"/>
  <c r="O792" i="1" a="1"/>
  <c r="N792" i="1"/>
  <c r="M792" i="1"/>
  <c r="O791" i="1"/>
  <c r="O791" i="1" a="1"/>
  <c r="N791" i="1"/>
  <c r="M791" i="1"/>
  <c r="O790" i="1" a="1"/>
  <c r="O790" i="1" s="1"/>
  <c r="N790" i="1"/>
  <c r="M790" i="1"/>
  <c r="O789" i="1" a="1"/>
  <c r="O789" i="1" s="1"/>
  <c r="N789" i="1"/>
  <c r="M789" i="1"/>
  <c r="O788" i="1"/>
  <c r="O788" i="1" a="1"/>
  <c r="N788" i="1"/>
  <c r="M788" i="1"/>
  <c r="O787" i="1" a="1"/>
  <c r="O787" i="1" s="1"/>
  <c r="N787" i="1"/>
  <c r="M787" i="1"/>
  <c r="O786" i="1" a="1"/>
  <c r="O786" i="1" s="1"/>
  <c r="N786" i="1"/>
  <c r="M786" i="1"/>
  <c r="O785" i="1"/>
  <c r="O785" i="1" a="1"/>
  <c r="N785" i="1"/>
  <c r="M785" i="1"/>
  <c r="O784" i="1" a="1"/>
  <c r="O784" i="1" s="1"/>
  <c r="N784" i="1"/>
  <c r="M784" i="1"/>
  <c r="O783" i="1"/>
  <c r="O783" i="1" a="1"/>
  <c r="N783" i="1"/>
  <c r="M783" i="1"/>
  <c r="O782" i="1"/>
  <c r="O782" i="1" a="1"/>
  <c r="N782" i="1"/>
  <c r="M782" i="1"/>
  <c r="O781" i="1" a="1"/>
  <c r="O781" i="1" s="1"/>
  <c r="N781" i="1"/>
  <c r="M781" i="1"/>
  <c r="O780" i="1" a="1"/>
  <c r="O780" i="1" s="1"/>
  <c r="N780" i="1"/>
  <c r="M780" i="1"/>
  <c r="O779" i="1"/>
  <c r="O779" i="1" a="1"/>
  <c r="N779" i="1"/>
  <c r="M779" i="1"/>
  <c r="O778" i="1" a="1"/>
  <c r="O778" i="1" s="1"/>
  <c r="N778" i="1"/>
  <c r="M778" i="1"/>
  <c r="O777" i="1" a="1"/>
  <c r="O777" i="1" s="1"/>
  <c r="N777" i="1"/>
  <c r="M777" i="1"/>
  <c r="O776" i="1"/>
  <c r="O776" i="1" a="1"/>
  <c r="N776" i="1"/>
  <c r="M776" i="1"/>
  <c r="O775" i="1" a="1"/>
  <c r="O775" i="1" s="1"/>
  <c r="N775" i="1"/>
  <c r="M775" i="1"/>
  <c r="O774" i="1"/>
  <c r="O774" i="1" a="1"/>
  <c r="N774" i="1"/>
  <c r="M774" i="1"/>
  <c r="O773" i="1"/>
  <c r="O773" i="1" a="1"/>
  <c r="N773" i="1"/>
  <c r="M773" i="1"/>
  <c r="O772" i="1" a="1"/>
  <c r="O772" i="1" s="1"/>
  <c r="N772" i="1"/>
  <c r="M772" i="1"/>
  <c r="O771" i="1" a="1"/>
  <c r="O771" i="1" s="1"/>
  <c r="N771" i="1"/>
  <c r="M771" i="1"/>
  <c r="O770" i="1"/>
  <c r="O770" i="1" a="1"/>
  <c r="N770" i="1"/>
  <c r="M770" i="1"/>
  <c r="O769" i="1" a="1"/>
  <c r="O769" i="1" s="1"/>
  <c r="N769" i="1"/>
  <c r="M769" i="1"/>
  <c r="O768" i="1" a="1"/>
  <c r="O768" i="1" s="1"/>
  <c r="N768" i="1"/>
  <c r="M768" i="1"/>
  <c r="O767" i="1"/>
  <c r="O767" i="1" a="1"/>
  <c r="N767" i="1"/>
  <c r="M767" i="1"/>
  <c r="O766" i="1" a="1"/>
  <c r="O766" i="1" s="1"/>
  <c r="N766" i="1"/>
  <c r="M766" i="1"/>
  <c r="O765" i="1"/>
  <c r="O765" i="1" a="1"/>
  <c r="N765" i="1"/>
  <c r="M765" i="1"/>
  <c r="O764" i="1"/>
  <c r="O764" i="1" a="1"/>
  <c r="N764" i="1"/>
  <c r="M764" i="1"/>
  <c r="O763" i="1" a="1"/>
  <c r="O763" i="1" s="1"/>
  <c r="N763" i="1"/>
  <c r="M763" i="1"/>
  <c r="O762" i="1" a="1"/>
  <c r="O762" i="1" s="1"/>
  <c r="N762" i="1"/>
  <c r="M762" i="1"/>
  <c r="O761" i="1"/>
  <c r="O761" i="1" a="1"/>
  <c r="N761" i="1"/>
  <c r="M761" i="1"/>
  <c r="O760" i="1" a="1"/>
  <c r="O760" i="1" s="1"/>
  <c r="N760" i="1"/>
  <c r="M760" i="1"/>
  <c r="O759" i="1" a="1"/>
  <c r="O759" i="1" s="1"/>
  <c r="N759" i="1"/>
  <c r="M759" i="1"/>
  <c r="O758" i="1"/>
  <c r="O758" i="1" a="1"/>
  <c r="N758" i="1"/>
  <c r="M758" i="1"/>
  <c r="O757" i="1" a="1"/>
  <c r="O757" i="1" s="1"/>
  <c r="N757" i="1"/>
  <c r="M757" i="1"/>
  <c r="O756" i="1"/>
  <c r="O756" i="1" a="1"/>
  <c r="N756" i="1"/>
  <c r="M756" i="1"/>
  <c r="O755" i="1"/>
  <c r="O755" i="1" a="1"/>
  <c r="N755" i="1"/>
  <c r="M755" i="1"/>
  <c r="O754" i="1" a="1"/>
  <c r="O754" i="1" s="1"/>
  <c r="N754" i="1"/>
  <c r="M754" i="1"/>
  <c r="O753" i="1" a="1"/>
  <c r="O753" i="1" s="1"/>
  <c r="N753" i="1"/>
  <c r="M753" i="1"/>
  <c r="O752" i="1"/>
  <c r="O752" i="1" a="1"/>
  <c r="N752" i="1"/>
  <c r="M752" i="1"/>
  <c r="O751" i="1" a="1"/>
  <c r="O751" i="1" s="1"/>
  <c r="N751" i="1"/>
  <c r="M751" i="1"/>
  <c r="O750" i="1" a="1"/>
  <c r="O750" i="1" s="1"/>
  <c r="N750" i="1"/>
  <c r="M750" i="1"/>
  <c r="O749" i="1"/>
  <c r="O749" i="1" a="1"/>
  <c r="N749" i="1"/>
  <c r="M749" i="1"/>
  <c r="O748" i="1" a="1"/>
  <c r="O748" i="1" s="1"/>
  <c r="N748" i="1"/>
  <c r="M748" i="1"/>
  <c r="O747" i="1"/>
  <c r="O747" i="1" a="1"/>
  <c r="N747" i="1"/>
  <c r="M747" i="1"/>
  <c r="O746" i="1"/>
  <c r="O746" i="1" a="1"/>
  <c r="N746" i="1"/>
  <c r="M746" i="1"/>
  <c r="O745" i="1" a="1"/>
  <c r="O745" i="1" s="1"/>
  <c r="N745" i="1"/>
  <c r="M745" i="1"/>
  <c r="O744" i="1" a="1"/>
  <c r="O744" i="1" s="1"/>
  <c r="N744" i="1"/>
  <c r="M744" i="1"/>
  <c r="O743" i="1"/>
  <c r="O743" i="1" a="1"/>
  <c r="N743" i="1"/>
  <c r="M743" i="1"/>
  <c r="O742" i="1" a="1"/>
  <c r="O742" i="1" s="1"/>
  <c r="N742" i="1"/>
  <c r="M742" i="1"/>
  <c r="O741" i="1" a="1"/>
  <c r="O741" i="1" s="1"/>
  <c r="N741" i="1"/>
  <c r="M741" i="1"/>
  <c r="O740" i="1"/>
  <c r="O740" i="1" a="1"/>
  <c r="N740" i="1"/>
  <c r="M740" i="1"/>
  <c r="O739" i="1" a="1"/>
  <c r="O739" i="1" s="1"/>
  <c r="N739" i="1"/>
  <c r="M739" i="1"/>
  <c r="O738" i="1" a="1"/>
  <c r="O738" i="1" s="1"/>
  <c r="N738" i="1"/>
  <c r="M738" i="1"/>
  <c r="O737" i="1"/>
  <c r="O737" i="1" a="1"/>
  <c r="N737" i="1"/>
  <c r="M737" i="1"/>
  <c r="O736" i="1" a="1"/>
  <c r="O736" i="1" s="1"/>
  <c r="N736" i="1"/>
  <c r="M736" i="1"/>
  <c r="O735" i="1" a="1"/>
  <c r="O735" i="1" s="1"/>
  <c r="N735" i="1"/>
  <c r="M735" i="1"/>
  <c r="O734" i="1"/>
  <c r="O734" i="1" a="1"/>
  <c r="N734" i="1"/>
  <c r="M734" i="1"/>
  <c r="O733" i="1" a="1"/>
  <c r="O733" i="1" s="1"/>
  <c r="N733" i="1"/>
  <c r="M733" i="1"/>
  <c r="O732" i="1" a="1"/>
  <c r="O732" i="1" s="1"/>
  <c r="N732" i="1"/>
  <c r="M732" i="1"/>
  <c r="O731" i="1"/>
  <c r="O731" i="1" a="1"/>
  <c r="N731" i="1"/>
  <c r="M731" i="1"/>
  <c r="O730" i="1" a="1"/>
  <c r="O730" i="1" s="1"/>
  <c r="N730" i="1"/>
  <c r="M730" i="1"/>
  <c r="O729" i="1"/>
  <c r="O729" i="1" a="1"/>
  <c r="N729" i="1"/>
  <c r="M729" i="1"/>
  <c r="O728" i="1"/>
  <c r="O728" i="1" a="1"/>
  <c r="N728" i="1"/>
  <c r="M728" i="1"/>
  <c r="O727" i="1" a="1"/>
  <c r="O727" i="1" s="1"/>
  <c r="N727" i="1"/>
  <c r="M727" i="1"/>
  <c r="O726" i="1" a="1"/>
  <c r="O726" i="1" s="1"/>
  <c r="N726" i="1"/>
  <c r="M726" i="1"/>
  <c r="O725" i="1"/>
  <c r="O725" i="1" a="1"/>
  <c r="N725" i="1"/>
  <c r="M725" i="1"/>
  <c r="O724" i="1" a="1"/>
  <c r="O724" i="1" s="1"/>
  <c r="N724" i="1"/>
  <c r="M724" i="1"/>
  <c r="O723" i="1" a="1"/>
  <c r="O723" i="1" s="1"/>
  <c r="N723" i="1"/>
  <c r="M723" i="1"/>
  <c r="O722" i="1"/>
  <c r="O722" i="1" a="1"/>
  <c r="N722" i="1"/>
  <c r="M722" i="1"/>
  <c r="O721" i="1" a="1"/>
  <c r="O721" i="1" s="1"/>
  <c r="N721" i="1"/>
  <c r="M721" i="1"/>
  <c r="O720" i="1"/>
  <c r="O720" i="1" a="1"/>
  <c r="N720" i="1"/>
  <c r="M720" i="1"/>
  <c r="O719" i="1"/>
  <c r="O719" i="1" a="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c r="O710" i="1" a="1"/>
  <c r="N710" i="1"/>
  <c r="M710" i="1"/>
  <c r="O709" i="1" a="1"/>
  <c r="O709" i="1" s="1"/>
  <c r="N709" i="1"/>
  <c r="M709" i="1"/>
  <c r="O708" i="1" a="1"/>
  <c r="O708" i="1" s="1"/>
  <c r="N708" i="1"/>
  <c r="M708" i="1"/>
  <c r="O707" i="1"/>
  <c r="O707" i="1" a="1"/>
  <c r="N707" i="1"/>
  <c r="M707" i="1"/>
  <c r="O706" i="1" a="1"/>
  <c r="O706" i="1" s="1"/>
  <c r="N706" i="1"/>
  <c r="M706" i="1"/>
  <c r="O705" i="1" a="1"/>
  <c r="O705" i="1" s="1"/>
  <c r="N705" i="1"/>
  <c r="M705" i="1"/>
  <c r="O704" i="1"/>
  <c r="O704" i="1" a="1"/>
  <c r="N704" i="1"/>
  <c r="M704" i="1"/>
  <c r="O703" i="1" a="1"/>
  <c r="O703" i="1" s="1"/>
  <c r="N703" i="1"/>
  <c r="M703" i="1"/>
  <c r="O702" i="1"/>
  <c r="O702" i="1" a="1"/>
  <c r="N702" i="1"/>
  <c r="M702" i="1"/>
  <c r="O701" i="1"/>
  <c r="O701" i="1" a="1"/>
  <c r="N701" i="1"/>
  <c r="M701" i="1"/>
  <c r="O700" i="1" a="1"/>
  <c r="O700" i="1" s="1"/>
  <c r="N700" i="1"/>
  <c r="M700" i="1"/>
  <c r="O699" i="1" a="1"/>
  <c r="O699" i="1" s="1"/>
  <c r="N699" i="1"/>
  <c r="M699" i="1"/>
  <c r="O698" i="1"/>
  <c r="O698" i="1" a="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a="1"/>
  <c r="O690" i="1" s="1"/>
  <c r="N690" i="1"/>
  <c r="M690" i="1"/>
  <c r="O689" i="1"/>
  <c r="O689" i="1" a="1"/>
  <c r="N689" i="1"/>
  <c r="M689" i="1"/>
  <c r="O688" i="1" a="1"/>
  <c r="O688" i="1" s="1"/>
  <c r="N688" i="1"/>
  <c r="M688" i="1"/>
  <c r="O687" i="1" a="1"/>
  <c r="O687" i="1" s="1"/>
  <c r="N687" i="1"/>
  <c r="M687" i="1"/>
  <c r="O686" i="1"/>
  <c r="O686" i="1" a="1"/>
  <c r="N686" i="1"/>
  <c r="M686" i="1"/>
  <c r="O685" i="1" a="1"/>
  <c r="O685" i="1" s="1"/>
  <c r="N685" i="1"/>
  <c r="M685" i="1"/>
  <c r="O684" i="1"/>
  <c r="O684" i="1" a="1"/>
  <c r="N684" i="1"/>
  <c r="M684" i="1"/>
  <c r="O683" i="1"/>
  <c r="O683" i="1" a="1"/>
  <c r="N683" i="1"/>
  <c r="M683" i="1"/>
  <c r="O682" i="1" a="1"/>
  <c r="O682" i="1" s="1"/>
  <c r="N682" i="1"/>
  <c r="M682" i="1"/>
  <c r="O681" i="1" a="1"/>
  <c r="O681" i="1" s="1"/>
  <c r="N681" i="1"/>
  <c r="M681" i="1"/>
  <c r="O680" i="1"/>
  <c r="O680" i="1" a="1"/>
  <c r="N680" i="1"/>
  <c r="M680" i="1"/>
  <c r="O679" i="1" a="1"/>
  <c r="O679" i="1" s="1"/>
  <c r="N679" i="1"/>
  <c r="M679" i="1"/>
  <c r="O678" i="1" a="1"/>
  <c r="O678" i="1" s="1"/>
  <c r="N678" i="1"/>
  <c r="M678" i="1"/>
  <c r="O677" i="1"/>
  <c r="O677" i="1" a="1"/>
  <c r="N677" i="1"/>
  <c r="M677" i="1"/>
  <c r="O676" i="1" a="1"/>
  <c r="O676" i="1" s="1"/>
  <c r="N676" i="1"/>
  <c r="M676" i="1"/>
  <c r="O675" i="1"/>
  <c r="O675" i="1" a="1"/>
  <c r="N675" i="1"/>
  <c r="M675" i="1"/>
  <c r="O674" i="1"/>
  <c r="O674" i="1" a="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a="1"/>
  <c r="O666" i="1" s="1"/>
  <c r="N666" i="1"/>
  <c r="M666" i="1"/>
  <c r="O665" i="1"/>
  <c r="O665" i="1" a="1"/>
  <c r="N665" i="1"/>
  <c r="M665" i="1"/>
  <c r="O664" i="1" a="1"/>
  <c r="O664" i="1" s="1"/>
  <c r="N664" i="1"/>
  <c r="M664" i="1"/>
  <c r="O663" i="1" a="1"/>
  <c r="O663" i="1" s="1"/>
  <c r="N663" i="1"/>
  <c r="M663" i="1"/>
  <c r="O662" i="1"/>
  <c r="O662" i="1" a="1"/>
  <c r="N662" i="1"/>
  <c r="M662" i="1"/>
  <c r="O661" i="1" a="1"/>
  <c r="O661" i="1" s="1"/>
  <c r="N661" i="1"/>
  <c r="M661" i="1"/>
  <c r="O660" i="1" a="1"/>
  <c r="O660" i="1" s="1"/>
  <c r="N660" i="1"/>
  <c r="M660" i="1"/>
  <c r="O659" i="1"/>
  <c r="O659" i="1" a="1"/>
  <c r="N659" i="1"/>
  <c r="M659" i="1"/>
  <c r="O658" i="1" a="1"/>
  <c r="O658" i="1" s="1"/>
  <c r="N658" i="1"/>
  <c r="M658" i="1"/>
  <c r="O657" i="1"/>
  <c r="O657" i="1" a="1"/>
  <c r="N657" i="1"/>
  <c r="M657" i="1"/>
  <c r="O656" i="1"/>
  <c r="O656" i="1" a="1"/>
  <c r="N656" i="1"/>
  <c r="M656" i="1"/>
  <c r="O655" i="1" a="1"/>
  <c r="O655" i="1" s="1"/>
  <c r="N655" i="1"/>
  <c r="M655" i="1"/>
  <c r="O654" i="1" a="1"/>
  <c r="O654" i="1" s="1"/>
  <c r="N654" i="1"/>
  <c r="M654" i="1"/>
  <c r="O653" i="1"/>
  <c r="O653" i="1" a="1"/>
  <c r="N653" i="1"/>
  <c r="M653" i="1"/>
  <c r="O652" i="1" a="1"/>
  <c r="O652" i="1" s="1"/>
  <c r="N652" i="1"/>
  <c r="M652" i="1"/>
  <c r="O651" i="1" a="1"/>
  <c r="O651" i="1" s="1"/>
  <c r="N651" i="1"/>
  <c r="M651" i="1"/>
  <c r="O650" i="1"/>
  <c r="O650" i="1" a="1"/>
  <c r="N650" i="1"/>
  <c r="M650" i="1"/>
  <c r="O649" i="1" a="1"/>
  <c r="O649" i="1" s="1"/>
  <c r="N649" i="1"/>
  <c r="M649" i="1"/>
  <c r="O648" i="1"/>
  <c r="O648" i="1" a="1"/>
  <c r="N648" i="1"/>
  <c r="M648" i="1"/>
  <c r="O647" i="1"/>
  <c r="O647" i="1" a="1"/>
  <c r="N647" i="1"/>
  <c r="M647" i="1"/>
  <c r="O646" i="1" a="1"/>
  <c r="O646" i="1" s="1"/>
  <c r="N646" i="1"/>
  <c r="M646" i="1"/>
  <c r="O645" i="1" a="1"/>
  <c r="O645" i="1" s="1"/>
  <c r="N645" i="1"/>
  <c r="M645" i="1"/>
  <c r="O644" i="1"/>
  <c r="O644" i="1" a="1"/>
  <c r="N644" i="1"/>
  <c r="M644" i="1"/>
  <c r="O643" i="1" a="1"/>
  <c r="O643" i="1" s="1"/>
  <c r="N643" i="1"/>
  <c r="M643" i="1"/>
  <c r="O642" i="1" a="1"/>
  <c r="O642" i="1" s="1"/>
  <c r="N642" i="1"/>
  <c r="M642" i="1"/>
  <c r="O641" i="1"/>
  <c r="O641" i="1" a="1"/>
  <c r="N641" i="1"/>
  <c r="M641" i="1"/>
  <c r="O640" i="1" a="1"/>
  <c r="O640" i="1" s="1"/>
  <c r="N640" i="1"/>
  <c r="M640" i="1"/>
  <c r="O639" i="1"/>
  <c r="O639" i="1" a="1"/>
  <c r="N639" i="1"/>
  <c r="M639" i="1"/>
  <c r="O638" i="1"/>
  <c r="O638" i="1" a="1"/>
  <c r="N638" i="1"/>
  <c r="M638" i="1"/>
  <c r="O637" i="1" a="1"/>
  <c r="O637" i="1" s="1"/>
  <c r="N637" i="1"/>
  <c r="M637" i="1"/>
  <c r="O636" i="1" a="1"/>
  <c r="O636" i="1" s="1"/>
  <c r="N636" i="1"/>
  <c r="M636" i="1"/>
  <c r="O635" i="1"/>
  <c r="O635" i="1" a="1"/>
  <c r="N635" i="1"/>
  <c r="M635" i="1"/>
  <c r="O634" i="1" a="1"/>
  <c r="O634" i="1" s="1"/>
  <c r="N634" i="1"/>
  <c r="M634" i="1"/>
  <c r="O633" i="1" a="1"/>
  <c r="O633" i="1" s="1"/>
  <c r="N633" i="1"/>
  <c r="M633" i="1"/>
  <c r="O632" i="1"/>
  <c r="O632" i="1" a="1"/>
  <c r="N632" i="1"/>
  <c r="M632" i="1"/>
  <c r="O631" i="1" a="1"/>
  <c r="O631" i="1" s="1"/>
  <c r="N631" i="1"/>
  <c r="M631" i="1"/>
  <c r="O630" i="1"/>
  <c r="O630" i="1" a="1"/>
  <c r="N630" i="1"/>
  <c r="M630" i="1"/>
  <c r="O629" i="1"/>
  <c r="O629" i="1" a="1"/>
  <c r="N629" i="1"/>
  <c r="M629" i="1"/>
  <c r="O628" i="1" a="1"/>
  <c r="O628" i="1" s="1"/>
  <c r="N628" i="1"/>
  <c r="M628" i="1"/>
  <c r="O627" i="1" a="1"/>
  <c r="O627" i="1" s="1"/>
  <c r="N627" i="1"/>
  <c r="M627" i="1"/>
  <c r="O626" i="1"/>
  <c r="O626" i="1" a="1"/>
  <c r="N626" i="1"/>
  <c r="M626" i="1"/>
  <c r="O625" i="1" a="1"/>
  <c r="O625" i="1" s="1"/>
  <c r="N625" i="1"/>
  <c r="M625" i="1"/>
  <c r="O624" i="1" a="1"/>
  <c r="O624" i="1" s="1"/>
  <c r="N624" i="1"/>
  <c r="M624" i="1"/>
  <c r="O623" i="1"/>
  <c r="O623" i="1" a="1"/>
  <c r="N623" i="1"/>
  <c r="M623" i="1"/>
  <c r="O622" i="1" a="1"/>
  <c r="O622" i="1" s="1"/>
  <c r="N622" i="1"/>
  <c r="M622" i="1"/>
  <c r="O621" i="1"/>
  <c r="O621" i="1" a="1"/>
  <c r="N621" i="1"/>
  <c r="M621" i="1"/>
  <c r="O620" i="1"/>
  <c r="O620" i="1" a="1"/>
  <c r="N620" i="1"/>
  <c r="M620" i="1"/>
  <c r="O619" i="1" a="1"/>
  <c r="O619" i="1" s="1"/>
  <c r="N619" i="1"/>
  <c r="M619" i="1"/>
  <c r="O618" i="1" a="1"/>
  <c r="O618" i="1" s="1"/>
  <c r="N618" i="1"/>
  <c r="M618" i="1"/>
  <c r="O617" i="1"/>
  <c r="O617" i="1" a="1"/>
  <c r="N617" i="1"/>
  <c r="M617" i="1"/>
  <c r="O616" i="1" a="1"/>
  <c r="O616" i="1" s="1"/>
  <c r="N616" i="1"/>
  <c r="M616" i="1"/>
  <c r="O615" i="1" a="1"/>
  <c r="O615" i="1" s="1"/>
  <c r="N615" i="1"/>
  <c r="M615" i="1"/>
  <c r="O614" i="1"/>
  <c r="O614" i="1" a="1"/>
  <c r="N614" i="1"/>
  <c r="M614" i="1"/>
  <c r="O613" i="1" a="1"/>
  <c r="O613" i="1" s="1"/>
  <c r="N613" i="1"/>
  <c r="M613" i="1"/>
  <c r="O612" i="1"/>
  <c r="O612" i="1" a="1"/>
  <c r="N612" i="1"/>
  <c r="M612" i="1"/>
  <c r="O611" i="1" a="1"/>
  <c r="O611" i="1" s="1"/>
  <c r="N611" i="1"/>
  <c r="M611" i="1"/>
  <c r="O610" i="1" a="1"/>
  <c r="O610" i="1" s="1"/>
  <c r="N610" i="1"/>
  <c r="M610" i="1"/>
  <c r="O609" i="1" a="1"/>
  <c r="O609" i="1" s="1"/>
  <c r="N609" i="1"/>
  <c r="M609" i="1"/>
  <c r="O608" i="1" a="1"/>
  <c r="O608" i="1" s="1"/>
  <c r="N608" i="1"/>
  <c r="M608" i="1"/>
  <c r="O607" i="1" a="1"/>
  <c r="O607" i="1" s="1"/>
  <c r="N607" i="1"/>
  <c r="M607" i="1"/>
  <c r="O606" i="1"/>
  <c r="O606" i="1" a="1"/>
  <c r="N606" i="1"/>
  <c r="M606" i="1"/>
  <c r="O605" i="1" a="1"/>
  <c r="O605" i="1" s="1"/>
  <c r="N605" i="1"/>
  <c r="M605" i="1"/>
  <c r="O604" i="1" a="1"/>
  <c r="O604" i="1" s="1"/>
  <c r="N604" i="1"/>
  <c r="M604" i="1"/>
  <c r="O603" i="1" a="1"/>
  <c r="O603" i="1" s="1"/>
  <c r="N603" i="1"/>
  <c r="M603" i="1"/>
  <c r="O602" i="1" a="1"/>
  <c r="O602" i="1" s="1"/>
  <c r="N602" i="1"/>
  <c r="M602" i="1"/>
  <c r="O601" i="1" a="1"/>
  <c r="O601" i="1" s="1"/>
  <c r="N601" i="1"/>
  <c r="M601" i="1"/>
  <c r="O600" i="1" a="1"/>
  <c r="O600" i="1" s="1"/>
  <c r="N600" i="1"/>
  <c r="M600" i="1"/>
  <c r="O599" i="1" a="1"/>
  <c r="O599" i="1" s="1"/>
  <c r="N599" i="1"/>
  <c r="M599" i="1"/>
  <c r="O598" i="1" a="1"/>
  <c r="O598" i="1" s="1"/>
  <c r="N598" i="1"/>
  <c r="M598" i="1"/>
  <c r="O597" i="1" a="1"/>
  <c r="O597" i="1" s="1"/>
  <c r="N597" i="1"/>
  <c r="M597" i="1"/>
  <c r="O596" i="1" a="1"/>
  <c r="O596" i="1" s="1"/>
  <c r="N596" i="1"/>
  <c r="M596" i="1"/>
  <c r="O595" i="1" a="1"/>
  <c r="O595" i="1" s="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a="1"/>
  <c r="O587" i="1" s="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a="1"/>
  <c r="O581" i="1" s="1"/>
  <c r="N581" i="1"/>
  <c r="M581" i="1"/>
  <c r="O580" i="1" a="1"/>
  <c r="O580" i="1" s="1"/>
  <c r="N580" i="1"/>
  <c r="M580" i="1"/>
  <c r="O579" i="1" a="1"/>
  <c r="O579" i="1" s="1"/>
  <c r="N579" i="1"/>
  <c r="M579" i="1"/>
  <c r="O578" i="1" a="1"/>
  <c r="O578" i="1" s="1"/>
  <c r="N578" i="1"/>
  <c r="M578" i="1"/>
  <c r="O577" i="1" a="1"/>
  <c r="O577" i="1" s="1"/>
  <c r="N577" i="1"/>
  <c r="M577" i="1"/>
  <c r="O576" i="1" a="1"/>
  <c r="O576" i="1" s="1"/>
  <c r="N576" i="1"/>
  <c r="M576" i="1"/>
  <c r="O575" i="1" a="1"/>
  <c r="O575" i="1" s="1"/>
  <c r="N575" i="1"/>
  <c r="M575" i="1"/>
  <c r="O574" i="1" a="1"/>
  <c r="O574" i="1" s="1"/>
  <c r="N574" i="1"/>
  <c r="M574" i="1"/>
  <c r="O573" i="1" a="1"/>
  <c r="O573" i="1" s="1"/>
  <c r="N573" i="1"/>
  <c r="M573" i="1"/>
  <c r="O572" i="1" a="1"/>
  <c r="O572" i="1" s="1"/>
  <c r="N572" i="1"/>
  <c r="M572" i="1"/>
  <c r="O571" i="1" a="1"/>
  <c r="O571" i="1" s="1"/>
  <c r="N571" i="1"/>
  <c r="M571" i="1"/>
  <c r="O570" i="1" a="1"/>
  <c r="O570" i="1" s="1"/>
  <c r="N570" i="1"/>
  <c r="M570" i="1"/>
  <c r="O569" i="1" a="1"/>
  <c r="O569" i="1" s="1"/>
  <c r="N569" i="1"/>
  <c r="M569" i="1"/>
  <c r="O568" i="1" a="1"/>
  <c r="O568" i="1" s="1"/>
  <c r="N568" i="1"/>
  <c r="M568" i="1"/>
  <c r="O567" i="1"/>
  <c r="O567" i="1" a="1"/>
  <c r="N567" i="1"/>
  <c r="M567" i="1"/>
  <c r="O566" i="1" a="1"/>
  <c r="O566" i="1" s="1"/>
  <c r="N566" i="1"/>
  <c r="M566" i="1"/>
  <c r="O565" i="1" a="1"/>
  <c r="O565" i="1" s="1"/>
  <c r="N565" i="1"/>
  <c r="M565" i="1"/>
  <c r="O564" i="1" a="1"/>
  <c r="O564" i="1" s="1"/>
  <c r="N564" i="1"/>
  <c r="M564" i="1"/>
  <c r="O563" i="1" a="1"/>
  <c r="O563" i="1" s="1"/>
  <c r="N563" i="1"/>
  <c r="M563" i="1"/>
  <c r="O562" i="1" a="1"/>
  <c r="O562" i="1" s="1"/>
  <c r="N562" i="1"/>
  <c r="M562" i="1"/>
  <c r="O561" i="1" a="1"/>
  <c r="O561" i="1" s="1"/>
  <c r="N561" i="1"/>
  <c r="M561" i="1"/>
  <c r="O560" i="1" a="1"/>
  <c r="O560" i="1" s="1"/>
  <c r="N560" i="1"/>
  <c r="M560" i="1"/>
  <c r="O559" i="1" a="1"/>
  <c r="O559" i="1" s="1"/>
  <c r="N559" i="1"/>
  <c r="M559" i="1"/>
  <c r="O558" i="1" a="1"/>
  <c r="O558" i="1" s="1"/>
  <c r="N558" i="1"/>
  <c r="M558" i="1"/>
  <c r="O557" i="1" a="1"/>
  <c r="O557" i="1" s="1"/>
  <c r="N557" i="1"/>
  <c r="M557" i="1"/>
  <c r="O556" i="1" a="1"/>
  <c r="O556" i="1" s="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a="1"/>
  <c r="O545" i="1" s="1"/>
  <c r="N545" i="1"/>
  <c r="M545" i="1"/>
  <c r="O544" i="1" a="1"/>
  <c r="O544" i="1" s="1"/>
  <c r="N544" i="1"/>
  <c r="M544" i="1"/>
  <c r="O543" i="1" a="1"/>
  <c r="O543" i="1" s="1"/>
  <c r="N543" i="1"/>
  <c r="M543" i="1"/>
  <c r="O542" i="1" a="1"/>
  <c r="O542" i="1" s="1"/>
  <c r="N542" i="1"/>
  <c r="M542" i="1"/>
  <c r="O541" i="1" a="1"/>
  <c r="O541" i="1" s="1"/>
  <c r="N541" i="1"/>
  <c r="M541" i="1"/>
  <c r="O540" i="1" a="1"/>
  <c r="O540" i="1" s="1"/>
  <c r="N540" i="1"/>
  <c r="M540" i="1"/>
  <c r="O539" i="1" a="1"/>
  <c r="O539" i="1" s="1"/>
  <c r="N539" i="1"/>
  <c r="M539" i="1"/>
  <c r="O538" i="1" a="1"/>
  <c r="O538" i="1" s="1"/>
  <c r="N538" i="1"/>
  <c r="M538" i="1"/>
  <c r="O537" i="1" a="1"/>
  <c r="O537" i="1" s="1"/>
  <c r="N537" i="1"/>
  <c r="M537" i="1"/>
  <c r="O536" i="1" a="1"/>
  <c r="O536" i="1" s="1"/>
  <c r="N536" i="1"/>
  <c r="M536" i="1"/>
  <c r="O535" i="1" a="1"/>
  <c r="O535" i="1" s="1"/>
  <c r="N535" i="1"/>
  <c r="M535" i="1"/>
  <c r="O534" i="1" a="1"/>
  <c r="O534" i="1" s="1"/>
  <c r="N534" i="1"/>
  <c r="M534" i="1"/>
  <c r="O533" i="1" a="1"/>
  <c r="O533" i="1" s="1"/>
  <c r="N533" i="1"/>
  <c r="M533" i="1"/>
  <c r="O532" i="1" a="1"/>
  <c r="O532" i="1" s="1"/>
  <c r="N532" i="1"/>
  <c r="M532" i="1"/>
  <c r="O531" i="1" a="1"/>
  <c r="O531" i="1" s="1"/>
  <c r="N531" i="1"/>
  <c r="M531" i="1"/>
  <c r="O530" i="1" a="1"/>
  <c r="O530" i="1" s="1"/>
  <c r="N530" i="1"/>
  <c r="M530" i="1"/>
  <c r="O529" i="1" a="1"/>
  <c r="O529" i="1" s="1"/>
  <c r="N529" i="1"/>
  <c r="M529" i="1"/>
  <c r="O528" i="1" a="1"/>
  <c r="O528" i="1" s="1"/>
  <c r="N528" i="1"/>
  <c r="M528" i="1"/>
  <c r="O527" i="1" a="1"/>
  <c r="O527" i="1" s="1"/>
  <c r="N527" i="1"/>
  <c r="M527" i="1"/>
  <c r="O526" i="1" a="1"/>
  <c r="O526" i="1" s="1"/>
  <c r="N526" i="1"/>
  <c r="M526" i="1"/>
  <c r="O525" i="1" a="1"/>
  <c r="O525" i="1" s="1"/>
  <c r="N525" i="1"/>
  <c r="M525" i="1"/>
  <c r="O524" i="1" a="1"/>
  <c r="O524" i="1" s="1"/>
  <c r="N524" i="1"/>
  <c r="M524" i="1"/>
  <c r="O523" i="1" a="1"/>
  <c r="O523" i="1" s="1"/>
  <c r="N523" i="1"/>
  <c r="M523" i="1"/>
  <c r="O522" i="1" a="1"/>
  <c r="O522" i="1" s="1"/>
  <c r="N522" i="1"/>
  <c r="M522" i="1"/>
  <c r="O521" i="1" a="1"/>
  <c r="O521" i="1" s="1"/>
  <c r="N521" i="1"/>
  <c r="M521" i="1"/>
  <c r="O520" i="1" a="1"/>
  <c r="O520" i="1" s="1"/>
  <c r="N520" i="1"/>
  <c r="M520" i="1"/>
  <c r="O519" i="1" a="1"/>
  <c r="O519" i="1" s="1"/>
  <c r="N519" i="1"/>
  <c r="M519" i="1"/>
  <c r="O518" i="1" a="1"/>
  <c r="O518" i="1" s="1"/>
  <c r="N518" i="1"/>
  <c r="M518" i="1"/>
  <c r="O517" i="1" a="1"/>
  <c r="O517" i="1" s="1"/>
  <c r="N517" i="1"/>
  <c r="M517" i="1"/>
  <c r="O516" i="1" a="1"/>
  <c r="O516" i="1" s="1"/>
  <c r="N516" i="1"/>
  <c r="M516" i="1"/>
  <c r="O515" i="1" a="1"/>
  <c r="O515" i="1" s="1"/>
  <c r="N515" i="1"/>
  <c r="M515" i="1"/>
  <c r="O514" i="1" a="1"/>
  <c r="O514" i="1" s="1"/>
  <c r="N514" i="1"/>
  <c r="M514" i="1"/>
  <c r="O513" i="1" a="1"/>
  <c r="O513" i="1" s="1"/>
  <c r="N513" i="1"/>
  <c r="M513" i="1"/>
  <c r="O512" i="1" a="1"/>
  <c r="O512" i="1" s="1"/>
  <c r="N512" i="1"/>
  <c r="M512" i="1"/>
  <c r="O511" i="1" a="1"/>
  <c r="O511" i="1" s="1"/>
  <c r="N511" i="1"/>
  <c r="M511" i="1"/>
  <c r="O510" i="1" a="1"/>
  <c r="O510" i="1" s="1"/>
  <c r="N510" i="1"/>
  <c r="M510" i="1"/>
  <c r="O509" i="1" a="1"/>
  <c r="O509" i="1" s="1"/>
  <c r="N509" i="1"/>
  <c r="M509" i="1"/>
  <c r="O508" i="1" a="1"/>
  <c r="O508" i="1" s="1"/>
  <c r="N508" i="1"/>
  <c r="M508" i="1"/>
  <c r="O507" i="1" a="1"/>
  <c r="O507" i="1" s="1"/>
  <c r="N507" i="1"/>
  <c r="M507" i="1"/>
  <c r="O506" i="1" a="1"/>
  <c r="O506" i="1" s="1"/>
  <c r="N506" i="1"/>
  <c r="M506" i="1"/>
  <c r="O505" i="1" a="1"/>
  <c r="O505" i="1" s="1"/>
  <c r="N505" i="1"/>
  <c r="M505" i="1"/>
  <c r="O504" i="1" a="1"/>
  <c r="O504" i="1" s="1"/>
  <c r="N504" i="1"/>
  <c r="M504" i="1"/>
  <c r="O503" i="1" a="1"/>
  <c r="O503" i="1" s="1"/>
  <c r="N503" i="1"/>
  <c r="M503" i="1"/>
  <c r="O502" i="1" a="1"/>
  <c r="O502" i="1" s="1"/>
  <c r="N502" i="1"/>
  <c r="M502" i="1"/>
  <c r="O501" i="1" a="1"/>
  <c r="O501" i="1" s="1"/>
  <c r="N501" i="1"/>
  <c r="M501" i="1"/>
  <c r="O500" i="1" a="1"/>
  <c r="O500" i="1" s="1"/>
  <c r="N500" i="1"/>
  <c r="M500" i="1"/>
  <c r="O499" i="1" a="1"/>
  <c r="O499" i="1" s="1"/>
  <c r="N499" i="1"/>
  <c r="M499" i="1"/>
  <c r="O498" i="1"/>
  <c r="O498" i="1" a="1"/>
  <c r="N498" i="1"/>
  <c r="M498" i="1"/>
  <c r="O497" i="1" a="1"/>
  <c r="O497" i="1" s="1"/>
  <c r="N497" i="1"/>
  <c r="M497" i="1"/>
  <c r="O496" i="1" a="1"/>
  <c r="O496" i="1" s="1"/>
  <c r="N496" i="1"/>
  <c r="M496" i="1"/>
  <c r="O495" i="1" a="1"/>
  <c r="O495" i="1" s="1"/>
  <c r="N495" i="1"/>
  <c r="M495" i="1"/>
  <c r="O494" i="1" a="1"/>
  <c r="O494" i="1" s="1"/>
  <c r="N494" i="1"/>
  <c r="M494" i="1"/>
  <c r="O493" i="1" a="1"/>
  <c r="O493" i="1" s="1"/>
  <c r="N493" i="1"/>
  <c r="M493" i="1"/>
  <c r="O492" i="1" a="1"/>
  <c r="O492" i="1" s="1"/>
  <c r="N492" i="1"/>
  <c r="M492" i="1"/>
  <c r="O491" i="1" a="1"/>
  <c r="O491" i="1" s="1"/>
  <c r="N491" i="1"/>
  <c r="M491" i="1"/>
  <c r="O490" i="1" a="1"/>
  <c r="O490" i="1" s="1"/>
  <c r="N490" i="1"/>
  <c r="M490" i="1"/>
  <c r="O489" i="1" a="1"/>
  <c r="O489" i="1" s="1"/>
  <c r="N489" i="1"/>
  <c r="M489" i="1"/>
  <c r="O488" i="1" a="1"/>
  <c r="O488" i="1" s="1"/>
  <c r="N488" i="1"/>
  <c r="M488" i="1"/>
  <c r="O487" i="1" a="1"/>
  <c r="O487" i="1" s="1"/>
  <c r="N487" i="1"/>
  <c r="M487" i="1"/>
  <c r="O486" i="1" a="1"/>
  <c r="O486" i="1" s="1"/>
  <c r="N486" i="1"/>
  <c r="M486" i="1"/>
  <c r="O485" i="1" a="1"/>
  <c r="O485" i="1" s="1"/>
  <c r="N485" i="1"/>
  <c r="M485" i="1"/>
  <c r="O484" i="1" a="1"/>
  <c r="O484" i="1" s="1"/>
  <c r="N484" i="1"/>
  <c r="M484" i="1"/>
  <c r="O483" i="1" a="1"/>
  <c r="O483" i="1" s="1"/>
  <c r="N483" i="1"/>
  <c r="M483" i="1"/>
  <c r="O482" i="1" a="1"/>
  <c r="O482" i="1" s="1"/>
  <c r="N482" i="1"/>
  <c r="M482" i="1"/>
  <c r="O481" i="1" a="1"/>
  <c r="O481" i="1" s="1"/>
  <c r="N481" i="1"/>
  <c r="M481" i="1"/>
  <c r="O480" i="1" a="1"/>
  <c r="O480" i="1" s="1"/>
  <c r="N480" i="1"/>
  <c r="M480" i="1"/>
  <c r="O479" i="1" a="1"/>
  <c r="O479" i="1" s="1"/>
  <c r="N479" i="1"/>
  <c r="M479" i="1"/>
  <c r="O478" i="1" a="1"/>
  <c r="O478" i="1" s="1"/>
  <c r="N478" i="1"/>
  <c r="M478" i="1"/>
  <c r="O477" i="1" a="1"/>
  <c r="O477" i="1" s="1"/>
  <c r="N477" i="1"/>
  <c r="M477" i="1"/>
  <c r="O476" i="1" a="1"/>
  <c r="O476" i="1" s="1"/>
  <c r="N476" i="1"/>
  <c r="M476" i="1"/>
  <c r="O475" i="1" a="1"/>
  <c r="O475" i="1" s="1"/>
  <c r="N475" i="1"/>
  <c r="M475" i="1"/>
  <c r="O474" i="1" a="1"/>
  <c r="O474" i="1" s="1"/>
  <c r="N474" i="1"/>
  <c r="M474" i="1"/>
  <c r="O473" i="1" a="1"/>
  <c r="O473" i="1" s="1"/>
  <c r="N473" i="1"/>
  <c r="M473" i="1"/>
  <c r="O472" i="1" a="1"/>
  <c r="O472" i="1" s="1"/>
  <c r="N472" i="1"/>
  <c r="M472" i="1"/>
  <c r="O471" i="1" a="1"/>
  <c r="O471" i="1" s="1"/>
  <c r="N471" i="1"/>
  <c r="M471" i="1"/>
  <c r="O470" i="1" a="1"/>
  <c r="O470" i="1" s="1"/>
  <c r="N470" i="1"/>
  <c r="M470" i="1"/>
  <c r="O469" i="1" a="1"/>
  <c r="O469" i="1" s="1"/>
  <c r="N469" i="1"/>
  <c r="M469" i="1"/>
  <c r="O468" i="1" a="1"/>
  <c r="O468" i="1" s="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a="1"/>
  <c r="O461" i="1" s="1"/>
  <c r="N461" i="1"/>
  <c r="M461" i="1"/>
  <c r="O460" i="1" a="1"/>
  <c r="O460" i="1" s="1"/>
  <c r="N460" i="1"/>
  <c r="M460" i="1"/>
  <c r="O459" i="1" a="1"/>
  <c r="O459" i="1" s="1"/>
  <c r="N459" i="1"/>
  <c r="M459" i="1"/>
  <c r="O458" i="1" a="1"/>
  <c r="O458" i="1" s="1"/>
  <c r="N458" i="1"/>
  <c r="M458" i="1"/>
  <c r="O457" i="1" a="1"/>
  <c r="O457" i="1" s="1"/>
  <c r="N457" i="1"/>
  <c r="M457" i="1"/>
  <c r="O456" i="1" a="1"/>
  <c r="O456" i="1" s="1"/>
  <c r="N456" i="1"/>
  <c r="M456" i="1"/>
  <c r="O455" i="1" a="1"/>
  <c r="O455" i="1" s="1"/>
  <c r="N455" i="1"/>
  <c r="M455" i="1"/>
  <c r="O454" i="1" a="1"/>
  <c r="O454" i="1" s="1"/>
  <c r="N454" i="1"/>
  <c r="M454" i="1"/>
  <c r="O453" i="1" a="1"/>
  <c r="O453" i="1" s="1"/>
  <c r="N453" i="1"/>
  <c r="M453" i="1"/>
  <c r="O452" i="1" a="1"/>
  <c r="O452" i="1" s="1"/>
  <c r="N452" i="1"/>
  <c r="M452" i="1"/>
  <c r="O451" i="1" a="1"/>
  <c r="O451" i="1" s="1"/>
  <c r="N451" i="1"/>
  <c r="M451" i="1"/>
  <c r="O450" i="1" a="1"/>
  <c r="O450" i="1" s="1"/>
  <c r="N450" i="1"/>
  <c r="M450" i="1"/>
  <c r="O449" i="1" a="1"/>
  <c r="O449" i="1" s="1"/>
  <c r="N449" i="1"/>
  <c r="M449" i="1"/>
  <c r="O448" i="1" a="1"/>
  <c r="O448" i="1" s="1"/>
  <c r="N448" i="1"/>
  <c r="M448" i="1"/>
  <c r="O447" i="1" a="1"/>
  <c r="O447" i="1" s="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a="1"/>
  <c r="O441" i="1" s="1"/>
  <c r="N441" i="1"/>
  <c r="M441" i="1"/>
  <c r="O440" i="1" a="1"/>
  <c r="O440" i="1" s="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a="1"/>
  <c r="O433" i="1" s="1"/>
  <c r="N433" i="1"/>
  <c r="M433" i="1"/>
  <c r="O432" i="1" a="1"/>
  <c r="O432" i="1" s="1"/>
  <c r="N432" i="1"/>
  <c r="M432" i="1"/>
  <c r="O431" i="1" a="1"/>
  <c r="O431" i="1" s="1"/>
  <c r="N431" i="1"/>
  <c r="M431" i="1"/>
  <c r="O430" i="1" a="1"/>
  <c r="O430" i="1" s="1"/>
  <c r="N430" i="1"/>
  <c r="M430" i="1"/>
  <c r="O429" i="1" a="1"/>
  <c r="O429" i="1" s="1"/>
  <c r="N429" i="1"/>
  <c r="M429" i="1"/>
  <c r="O428" i="1" a="1"/>
  <c r="O428" i="1" s="1"/>
  <c r="N428" i="1"/>
  <c r="M428" i="1"/>
  <c r="O427" i="1" a="1"/>
  <c r="O427" i="1" s="1"/>
  <c r="N427" i="1"/>
  <c r="M427" i="1"/>
  <c r="O426" i="1" a="1"/>
  <c r="O426" i="1" s="1"/>
  <c r="N426" i="1"/>
  <c r="M426" i="1"/>
  <c r="O425" i="1" a="1"/>
  <c r="O425" i="1" s="1"/>
  <c r="N425" i="1"/>
  <c r="M425" i="1"/>
  <c r="O424" i="1" a="1"/>
  <c r="O424" i="1" s="1"/>
  <c r="N424" i="1"/>
  <c r="M424" i="1"/>
  <c r="O423" i="1" a="1"/>
  <c r="O423" i="1" s="1"/>
  <c r="N423" i="1"/>
  <c r="M423" i="1"/>
  <c r="O422" i="1" a="1"/>
  <c r="O422" i="1" s="1"/>
  <c r="N422" i="1"/>
  <c r="M422" i="1"/>
  <c r="O421" i="1" a="1"/>
  <c r="O421" i="1" s="1"/>
  <c r="N421" i="1"/>
  <c r="M421" i="1"/>
  <c r="O420" i="1" a="1"/>
  <c r="O420" i="1" s="1"/>
  <c r="N420" i="1"/>
  <c r="M420" i="1"/>
  <c r="O419" i="1" a="1"/>
  <c r="O419" i="1" s="1"/>
  <c r="N419" i="1"/>
  <c r="M419" i="1"/>
  <c r="O418" i="1" a="1"/>
  <c r="O418" i="1" s="1"/>
  <c r="N418" i="1"/>
  <c r="M418" i="1"/>
  <c r="O417" i="1" a="1"/>
  <c r="O417" i="1" s="1"/>
  <c r="N417" i="1"/>
  <c r="M417" i="1"/>
  <c r="O416" i="1" a="1"/>
  <c r="O416" i="1" s="1"/>
  <c r="N416" i="1"/>
  <c r="M416" i="1"/>
  <c r="O415" i="1" a="1"/>
  <c r="O415" i="1" s="1"/>
  <c r="N415" i="1"/>
  <c r="M415" i="1"/>
  <c r="O414" i="1" a="1"/>
  <c r="O414" i="1" s="1"/>
  <c r="N414" i="1"/>
  <c r="M414" i="1"/>
  <c r="O413" i="1" a="1"/>
  <c r="O413" i="1" s="1"/>
  <c r="N413" i="1"/>
  <c r="M413" i="1"/>
  <c r="O412" i="1" a="1"/>
  <c r="O412" i="1" s="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a="1"/>
  <c r="O405" i="1" s="1"/>
  <c r="N405" i="1"/>
  <c r="M405" i="1"/>
  <c r="O404" i="1" a="1"/>
  <c r="O404" i="1" s="1"/>
  <c r="N404" i="1"/>
  <c r="M404" i="1"/>
  <c r="O403" i="1" a="1"/>
  <c r="O403" i="1" s="1"/>
  <c r="N403" i="1"/>
  <c r="M403" i="1"/>
  <c r="O402" i="1" a="1"/>
  <c r="O402" i="1" s="1"/>
  <c r="N402" i="1"/>
  <c r="M402" i="1"/>
  <c r="O401" i="1" a="1"/>
  <c r="O401" i="1" s="1"/>
  <c r="N401" i="1"/>
  <c r="M401" i="1"/>
  <c r="O400" i="1" a="1"/>
  <c r="O400" i="1" s="1"/>
  <c r="N400" i="1"/>
  <c r="M400" i="1"/>
  <c r="O399" i="1" a="1"/>
  <c r="O399" i="1" s="1"/>
  <c r="N399" i="1"/>
  <c r="M399" i="1"/>
  <c r="O398" i="1" a="1"/>
  <c r="O398" i="1" s="1"/>
  <c r="N398" i="1"/>
  <c r="M398" i="1"/>
  <c r="O397" i="1" a="1"/>
  <c r="O397" i="1" s="1"/>
  <c r="N397" i="1"/>
  <c r="M397" i="1"/>
  <c r="O396" i="1" a="1"/>
  <c r="O396" i="1" s="1"/>
  <c r="N396" i="1"/>
  <c r="M396" i="1"/>
  <c r="O395" i="1" a="1"/>
  <c r="O395" i="1" s="1"/>
  <c r="N395" i="1"/>
  <c r="M395" i="1"/>
  <c r="O394" i="1" a="1"/>
  <c r="O394" i="1" s="1"/>
  <c r="N394" i="1"/>
  <c r="M394" i="1"/>
  <c r="O393" i="1" a="1"/>
  <c r="O393" i="1" s="1"/>
  <c r="N393" i="1"/>
  <c r="M393" i="1"/>
  <c r="O392" i="1" a="1"/>
  <c r="O392" i="1" s="1"/>
  <c r="N392" i="1"/>
  <c r="M392" i="1"/>
  <c r="O391" i="1" a="1"/>
  <c r="O391" i="1" s="1"/>
  <c r="N391" i="1"/>
  <c r="M391" i="1"/>
  <c r="O390" i="1"/>
  <c r="O390" i="1" a="1"/>
  <c r="N390" i="1"/>
  <c r="M390" i="1"/>
  <c r="O389" i="1" a="1"/>
  <c r="O389" i="1" s="1"/>
  <c r="N389" i="1"/>
  <c r="M389" i="1"/>
  <c r="O388" i="1" a="1"/>
  <c r="O388" i="1" s="1"/>
  <c r="N388" i="1"/>
  <c r="M388" i="1"/>
  <c r="O387" i="1" a="1"/>
  <c r="O387" i="1" s="1"/>
  <c r="N387" i="1"/>
  <c r="M387" i="1"/>
  <c r="O386" i="1" a="1"/>
  <c r="O386" i="1" s="1"/>
  <c r="N386" i="1"/>
  <c r="M386" i="1"/>
  <c r="O385" i="1" a="1"/>
  <c r="O385" i="1" s="1"/>
  <c r="N385" i="1"/>
  <c r="M385" i="1"/>
  <c r="O384" i="1" a="1"/>
  <c r="O384" i="1" s="1"/>
  <c r="N384" i="1"/>
  <c r="M384" i="1"/>
  <c r="O383" i="1" a="1"/>
  <c r="O383" i="1" s="1"/>
  <c r="N383" i="1"/>
  <c r="M383" i="1"/>
  <c r="O382" i="1" a="1"/>
  <c r="O382" i="1" s="1"/>
  <c r="N382" i="1"/>
  <c r="M382" i="1"/>
  <c r="O381" i="1" a="1"/>
  <c r="O381" i="1" s="1"/>
  <c r="N381" i="1"/>
  <c r="M381" i="1"/>
  <c r="O380" i="1" a="1"/>
  <c r="O380" i="1" s="1"/>
  <c r="N380" i="1"/>
  <c r="M380" i="1"/>
  <c r="O379" i="1" a="1"/>
  <c r="O379" i="1" s="1"/>
  <c r="N379" i="1"/>
  <c r="M379" i="1"/>
  <c r="O378" i="1" a="1"/>
  <c r="O378" i="1" s="1"/>
  <c r="N378" i="1"/>
  <c r="M378" i="1"/>
  <c r="O377" i="1" a="1"/>
  <c r="O377" i="1" s="1"/>
  <c r="N377" i="1"/>
  <c r="M377" i="1"/>
  <c r="O376" i="1" a="1"/>
  <c r="O376" i="1" s="1"/>
  <c r="N376" i="1"/>
  <c r="M376" i="1"/>
  <c r="O375" i="1" a="1"/>
  <c r="O375" i="1" s="1"/>
  <c r="N375" i="1"/>
  <c r="M375" i="1"/>
  <c r="O374" i="1" a="1"/>
  <c r="O374" i="1" s="1"/>
  <c r="N374" i="1"/>
  <c r="M374" i="1"/>
  <c r="O373" i="1" a="1"/>
  <c r="O373" i="1" s="1"/>
  <c r="N373" i="1"/>
  <c r="M373" i="1"/>
  <c r="O372" i="1" a="1"/>
  <c r="O372" i="1" s="1"/>
  <c r="N372" i="1"/>
  <c r="M372" i="1"/>
  <c r="O371" i="1" a="1"/>
  <c r="O371" i="1" s="1"/>
  <c r="N371" i="1"/>
  <c r="M371" i="1"/>
  <c r="O370" i="1" a="1"/>
  <c r="O370" i="1" s="1"/>
  <c r="N370" i="1"/>
  <c r="M370" i="1"/>
  <c r="O369" i="1" a="1"/>
  <c r="O369" i="1" s="1"/>
  <c r="N369" i="1"/>
  <c r="M369" i="1"/>
  <c r="O368" i="1" a="1"/>
  <c r="O368" i="1" s="1"/>
  <c r="N368" i="1"/>
  <c r="M368" i="1"/>
  <c r="O367" i="1" a="1"/>
  <c r="O367" i="1" s="1"/>
  <c r="N367" i="1"/>
  <c r="M367" i="1"/>
  <c r="O366" i="1" a="1"/>
  <c r="O366" i="1" s="1"/>
  <c r="N366" i="1"/>
  <c r="M366" i="1"/>
  <c r="O365" i="1" a="1"/>
  <c r="O365" i="1" s="1"/>
  <c r="N365" i="1"/>
  <c r="M365" i="1"/>
  <c r="O364" i="1" a="1"/>
  <c r="O364" i="1" s="1"/>
  <c r="N364" i="1"/>
  <c r="M364" i="1"/>
  <c r="O363" i="1" a="1"/>
  <c r="O363" i="1" s="1"/>
  <c r="N363" i="1"/>
  <c r="M363" i="1"/>
  <c r="O362" i="1" a="1"/>
  <c r="O362" i="1" s="1"/>
  <c r="N362" i="1"/>
  <c r="M362" i="1"/>
  <c r="O361" i="1" a="1"/>
  <c r="O361" i="1" s="1"/>
  <c r="N361" i="1"/>
  <c r="M361" i="1"/>
  <c r="O360" i="1" a="1"/>
  <c r="O360" i="1" s="1"/>
  <c r="N360" i="1"/>
  <c r="M360" i="1"/>
  <c r="O359" i="1" a="1"/>
  <c r="O359" i="1" s="1"/>
  <c r="N359" i="1"/>
  <c r="M359" i="1"/>
  <c r="O358" i="1" a="1"/>
  <c r="O358" i="1" s="1"/>
  <c r="N358" i="1"/>
  <c r="M358" i="1"/>
  <c r="O357" i="1" a="1"/>
  <c r="O357" i="1" s="1"/>
  <c r="N357" i="1"/>
  <c r="M357" i="1"/>
  <c r="O356" i="1" a="1"/>
  <c r="O356" i="1" s="1"/>
  <c r="N356" i="1"/>
  <c r="M356" i="1"/>
  <c r="O355" i="1" a="1"/>
  <c r="O355" i="1" s="1"/>
  <c r="N355" i="1"/>
  <c r="M355" i="1"/>
  <c r="O354" i="1" a="1"/>
  <c r="O354" i="1" s="1"/>
  <c r="N354" i="1"/>
  <c r="M354" i="1"/>
  <c r="O353" i="1" a="1"/>
  <c r="O353" i="1" s="1"/>
  <c r="N353" i="1"/>
  <c r="M353" i="1"/>
  <c r="O352" i="1" a="1"/>
  <c r="O352" i="1" s="1"/>
  <c r="N352" i="1"/>
  <c r="M352" i="1"/>
  <c r="O351" i="1" a="1"/>
  <c r="O351" i="1" s="1"/>
  <c r="N351" i="1"/>
  <c r="M351" i="1"/>
  <c r="O350" i="1" a="1"/>
  <c r="O350" i="1" s="1"/>
  <c r="N350" i="1"/>
  <c r="M350" i="1"/>
  <c r="O349" i="1" a="1"/>
  <c r="O349" i="1" s="1"/>
  <c r="N349" i="1"/>
  <c r="M349" i="1"/>
  <c r="O348" i="1" a="1"/>
  <c r="O348" i="1" s="1"/>
  <c r="N348" i="1"/>
  <c r="M348" i="1"/>
  <c r="O347" i="1" a="1"/>
  <c r="O347" i="1" s="1"/>
  <c r="N347" i="1"/>
  <c r="M347" i="1"/>
  <c r="O346" i="1" a="1"/>
  <c r="O346" i="1" s="1"/>
  <c r="N346" i="1"/>
  <c r="M346" i="1"/>
  <c r="O345" i="1" a="1"/>
  <c r="O345" i="1" s="1"/>
  <c r="N345" i="1"/>
  <c r="M345" i="1"/>
  <c r="O344" i="1" a="1"/>
  <c r="O344" i="1" s="1"/>
  <c r="N344" i="1"/>
  <c r="M344" i="1"/>
  <c r="O343" i="1" a="1"/>
  <c r="O343" i="1" s="1"/>
  <c r="N343" i="1"/>
  <c r="M343" i="1"/>
  <c r="O342" i="1" a="1"/>
  <c r="O342" i="1" s="1"/>
  <c r="N342" i="1"/>
  <c r="M342" i="1"/>
  <c r="O341" i="1" a="1"/>
  <c r="O341" i="1" s="1"/>
  <c r="N341" i="1"/>
  <c r="M341" i="1"/>
  <c r="O340" i="1" a="1"/>
  <c r="O340" i="1" s="1"/>
  <c r="N340" i="1"/>
  <c r="M340" i="1"/>
  <c r="O339" i="1" a="1"/>
  <c r="O339" i="1" s="1"/>
  <c r="N339" i="1"/>
  <c r="M339" i="1"/>
  <c r="O338" i="1" a="1"/>
  <c r="O338" i="1" s="1"/>
  <c r="N338" i="1"/>
  <c r="M338" i="1"/>
  <c r="O337" i="1" a="1"/>
  <c r="O337" i="1" s="1"/>
  <c r="N337" i="1"/>
  <c r="M337" i="1"/>
  <c r="O336" i="1"/>
  <c r="O336" i="1" a="1"/>
  <c r="N336" i="1"/>
  <c r="M336" i="1"/>
  <c r="O335" i="1" a="1"/>
  <c r="O335" i="1" s="1"/>
  <c r="N335" i="1"/>
  <c r="M335" i="1"/>
  <c r="O334" i="1" a="1"/>
  <c r="O334" i="1" s="1"/>
  <c r="N334" i="1"/>
  <c r="M334" i="1"/>
  <c r="O333" i="1" a="1"/>
  <c r="O333" i="1" s="1"/>
  <c r="N333" i="1"/>
  <c r="M333" i="1"/>
  <c r="O332" i="1" a="1"/>
  <c r="O332" i="1" s="1"/>
  <c r="N332" i="1"/>
  <c r="M332" i="1"/>
  <c r="O331" i="1" a="1"/>
  <c r="O331" i="1" s="1"/>
  <c r="N331" i="1"/>
  <c r="M331" i="1"/>
  <c r="O330" i="1" a="1"/>
  <c r="O330" i="1" s="1"/>
  <c r="N330" i="1"/>
  <c r="M330" i="1"/>
  <c r="O329" i="1" a="1"/>
  <c r="O329" i="1" s="1"/>
  <c r="N329" i="1"/>
  <c r="M329" i="1"/>
  <c r="O328" i="1" a="1"/>
  <c r="O328" i="1" s="1"/>
  <c r="N328" i="1"/>
  <c r="M328" i="1"/>
  <c r="O327" i="1" a="1"/>
  <c r="O327" i="1" s="1"/>
  <c r="N327" i="1"/>
  <c r="M327" i="1"/>
  <c r="O326" i="1" a="1"/>
  <c r="O326" i="1" s="1"/>
  <c r="N326" i="1"/>
  <c r="M326" i="1"/>
  <c r="O325" i="1" a="1"/>
  <c r="O325" i="1" s="1"/>
  <c r="N325" i="1"/>
  <c r="M325" i="1"/>
  <c r="O324" i="1" a="1"/>
  <c r="O324" i="1" s="1"/>
  <c r="N324" i="1"/>
  <c r="M324" i="1"/>
  <c r="O323" i="1" a="1"/>
  <c r="O323" i="1" s="1"/>
  <c r="N323" i="1"/>
  <c r="M323" i="1"/>
  <c r="O322" i="1" a="1"/>
  <c r="O322" i="1" s="1"/>
  <c r="N322" i="1"/>
  <c r="M322" i="1"/>
  <c r="O321" i="1" a="1"/>
  <c r="O321" i="1" s="1"/>
  <c r="N321" i="1"/>
  <c r="M321" i="1"/>
  <c r="O320" i="1" a="1"/>
  <c r="O320" i="1" s="1"/>
  <c r="N320" i="1"/>
  <c r="M320" i="1"/>
  <c r="O319" i="1" a="1"/>
  <c r="O319" i="1" s="1"/>
  <c r="N319" i="1"/>
  <c r="M319" i="1"/>
  <c r="O318" i="1" a="1"/>
  <c r="O318" i="1" s="1"/>
  <c r="N318" i="1"/>
  <c r="M318" i="1"/>
  <c r="O317" i="1" a="1"/>
  <c r="O317" i="1" s="1"/>
  <c r="N317" i="1"/>
  <c r="M317" i="1"/>
  <c r="O316" i="1" a="1"/>
  <c r="O316" i="1" s="1"/>
  <c r="N316" i="1"/>
  <c r="M316" i="1"/>
  <c r="O315" i="1" a="1"/>
  <c r="O315" i="1" s="1"/>
  <c r="N315" i="1"/>
  <c r="M315" i="1"/>
  <c r="O314" i="1" a="1"/>
  <c r="O314" i="1" s="1"/>
  <c r="N314" i="1"/>
  <c r="M314" i="1"/>
  <c r="O313" i="1" a="1"/>
  <c r="O313" i="1" s="1"/>
  <c r="N313" i="1"/>
  <c r="M313" i="1"/>
  <c r="O312" i="1" a="1"/>
  <c r="O312" i="1" s="1"/>
  <c r="N312" i="1"/>
  <c r="M312" i="1"/>
  <c r="O311" i="1" a="1"/>
  <c r="O311" i="1" s="1"/>
  <c r="N311" i="1"/>
  <c r="M311" i="1"/>
  <c r="O310" i="1" a="1"/>
  <c r="O310" i="1" s="1"/>
  <c r="N310" i="1"/>
  <c r="M310" i="1"/>
  <c r="O309" i="1" a="1"/>
  <c r="O309" i="1" s="1"/>
  <c r="N309" i="1"/>
  <c r="M309" i="1"/>
  <c r="O308" i="1" a="1"/>
  <c r="O308" i="1" s="1"/>
  <c r="N308" i="1"/>
  <c r="M308" i="1"/>
  <c r="O307" i="1"/>
  <c r="O307" i="1" a="1"/>
  <c r="N307" i="1"/>
  <c r="M307" i="1"/>
  <c r="O306" i="1"/>
  <c r="O306" i="1" a="1"/>
  <c r="N306" i="1"/>
  <c r="M306" i="1"/>
  <c r="O305" i="1" a="1"/>
  <c r="O305" i="1" s="1"/>
  <c r="N305" i="1"/>
  <c r="M305" i="1"/>
  <c r="O304" i="1" a="1"/>
  <c r="O304" i="1" s="1"/>
  <c r="N304" i="1"/>
  <c r="M304" i="1"/>
  <c r="O303" i="1" a="1"/>
  <c r="O303" i="1" s="1"/>
  <c r="N303" i="1"/>
  <c r="M303" i="1"/>
  <c r="O302" i="1" a="1"/>
  <c r="O302" i="1" s="1"/>
  <c r="N302" i="1"/>
  <c r="M302" i="1"/>
  <c r="O301" i="1"/>
  <c r="O301" i="1" a="1"/>
  <c r="N301" i="1"/>
  <c r="M301" i="1"/>
  <c r="O300" i="1" a="1"/>
  <c r="O300" i="1" s="1"/>
  <c r="N300" i="1"/>
  <c r="M300" i="1"/>
  <c r="O299" i="1" a="1"/>
  <c r="O299" i="1" s="1"/>
  <c r="N299" i="1"/>
  <c r="M299" i="1"/>
  <c r="O298" i="1"/>
  <c r="O298" i="1" a="1"/>
  <c r="N298" i="1"/>
  <c r="M298" i="1"/>
  <c r="O297" i="1" a="1"/>
  <c r="O297" i="1" s="1"/>
  <c r="N297" i="1"/>
  <c r="M297" i="1"/>
  <c r="O296" i="1" a="1"/>
  <c r="O296" i="1" s="1"/>
  <c r="N296" i="1"/>
  <c r="M296" i="1"/>
  <c r="O295" i="1"/>
  <c r="O295" i="1" a="1"/>
  <c r="N295" i="1"/>
  <c r="M295" i="1"/>
  <c r="O294" i="1"/>
  <c r="O294" i="1" a="1"/>
  <c r="N294" i="1"/>
  <c r="M294" i="1"/>
  <c r="O293" i="1" a="1"/>
  <c r="O293" i="1" s="1"/>
  <c r="N293" i="1"/>
  <c r="M293" i="1"/>
  <c r="O292" i="1" a="1"/>
  <c r="O292" i="1" s="1"/>
  <c r="N292" i="1"/>
  <c r="M292" i="1"/>
  <c r="O291" i="1" a="1"/>
  <c r="O291" i="1" s="1"/>
  <c r="N291" i="1"/>
  <c r="M291" i="1"/>
  <c r="O290" i="1" a="1"/>
  <c r="O290" i="1" s="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a="1"/>
  <c r="O278" i="1" s="1"/>
  <c r="N278" i="1"/>
  <c r="M278" i="1"/>
  <c r="O277" i="1" a="1"/>
  <c r="O277" i="1" s="1"/>
  <c r="N277" i="1"/>
  <c r="M277" i="1"/>
  <c r="O276" i="1" a="1"/>
  <c r="O276" i="1" s="1"/>
  <c r="N276" i="1"/>
  <c r="M276" i="1"/>
  <c r="O275" i="1" a="1"/>
  <c r="O275" i="1" s="1"/>
  <c r="N275" i="1"/>
  <c r="M275" i="1"/>
  <c r="O274" i="1" a="1"/>
  <c r="O274" i="1" s="1"/>
  <c r="N274" i="1"/>
  <c r="M274" i="1"/>
  <c r="O273" i="1" a="1"/>
  <c r="O273" i="1" s="1"/>
  <c r="N273" i="1"/>
  <c r="M273" i="1"/>
  <c r="O272" i="1" a="1"/>
  <c r="O272" i="1" s="1"/>
  <c r="N272" i="1"/>
  <c r="M272" i="1"/>
  <c r="O271" i="1"/>
  <c r="O271" i="1" a="1"/>
  <c r="N271" i="1"/>
  <c r="M271" i="1"/>
  <c r="O270" i="1"/>
  <c r="O270" i="1" a="1"/>
  <c r="N270" i="1"/>
  <c r="M270" i="1"/>
  <c r="O269" i="1" a="1"/>
  <c r="O269" i="1" s="1"/>
  <c r="N269" i="1"/>
  <c r="M269" i="1"/>
  <c r="O268" i="1" a="1"/>
  <c r="O268" i="1" s="1"/>
  <c r="N268" i="1"/>
  <c r="M268" i="1"/>
  <c r="O267" i="1" a="1"/>
  <c r="O267" i="1" s="1"/>
  <c r="N267" i="1"/>
  <c r="M267" i="1"/>
  <c r="O266" i="1" a="1"/>
  <c r="O266" i="1" s="1"/>
  <c r="N266" i="1"/>
  <c r="M266" i="1"/>
  <c r="O265" i="1"/>
  <c r="O265" i="1" a="1"/>
  <c r="N265" i="1"/>
  <c r="M265" i="1"/>
  <c r="O264" i="1" a="1"/>
  <c r="O264" i="1" s="1"/>
  <c r="N264" i="1"/>
  <c r="M264" i="1"/>
  <c r="O263" i="1" a="1"/>
  <c r="O263" i="1" s="1"/>
  <c r="N263" i="1"/>
  <c r="M263" i="1"/>
  <c r="O262" i="1"/>
  <c r="O262" i="1" a="1"/>
  <c r="N262" i="1"/>
  <c r="M262" i="1"/>
  <c r="O261" i="1" a="1"/>
  <c r="O261" i="1" s="1"/>
  <c r="N261" i="1"/>
  <c r="M261" i="1"/>
  <c r="O260" i="1" a="1"/>
  <c r="O260" i="1" s="1"/>
  <c r="N260" i="1"/>
  <c r="M260" i="1"/>
  <c r="O259" i="1"/>
  <c r="O259" i="1" a="1"/>
  <c r="N259" i="1"/>
  <c r="M259" i="1"/>
  <c r="O258" i="1"/>
  <c r="O258" i="1" a="1"/>
  <c r="N258" i="1"/>
  <c r="M258" i="1"/>
  <c r="O257" i="1" a="1"/>
  <c r="O257" i="1" s="1"/>
  <c r="N257" i="1"/>
  <c r="M257" i="1"/>
  <c r="O256" i="1" a="1"/>
  <c r="O256" i="1" s="1"/>
  <c r="N256" i="1"/>
  <c r="M256" i="1"/>
  <c r="O255" i="1" a="1"/>
  <c r="O255" i="1" s="1"/>
  <c r="N255" i="1"/>
  <c r="M255" i="1"/>
  <c r="O254" i="1" a="1"/>
  <c r="O254" i="1" s="1"/>
  <c r="N254" i="1"/>
  <c r="M254" i="1"/>
  <c r="O253" i="1" a="1"/>
  <c r="O253" i="1" s="1"/>
  <c r="N253" i="1"/>
  <c r="M253" i="1"/>
  <c r="O252" i="1"/>
  <c r="O252" i="1" a="1"/>
  <c r="N252" i="1"/>
  <c r="M252" i="1"/>
  <c r="O251" i="1" a="1"/>
  <c r="O251" i="1" s="1"/>
  <c r="N251" i="1"/>
  <c r="M251" i="1"/>
  <c r="O250" i="1" a="1"/>
  <c r="O250" i="1" s="1"/>
  <c r="N250" i="1"/>
  <c r="M250" i="1"/>
  <c r="O249" i="1" a="1"/>
  <c r="O249" i="1" s="1"/>
  <c r="N249" i="1"/>
  <c r="M249" i="1"/>
  <c r="O248" i="1" a="1"/>
  <c r="O248" i="1" s="1"/>
  <c r="N248" i="1"/>
  <c r="M248" i="1"/>
  <c r="O247" i="1"/>
  <c r="O247" i="1" a="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a="1"/>
  <c r="O237" i="1" s="1"/>
  <c r="N237" i="1"/>
  <c r="M237" i="1"/>
  <c r="O236" i="1" a="1"/>
  <c r="O236" i="1" s="1"/>
  <c r="N236" i="1"/>
  <c r="M236" i="1"/>
  <c r="O235" i="1"/>
  <c r="O235" i="1" a="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c r="O229" i="1" a="1"/>
  <c r="N229" i="1"/>
  <c r="M229" i="1"/>
  <c r="O228" i="1" a="1"/>
  <c r="O228" i="1" s="1"/>
  <c r="N228" i="1"/>
  <c r="M228" i="1"/>
  <c r="O227" i="1" a="1"/>
  <c r="O227" i="1" s="1"/>
  <c r="N227" i="1"/>
  <c r="M227" i="1"/>
  <c r="O226" i="1"/>
  <c r="O226" i="1" a="1"/>
  <c r="N226" i="1"/>
  <c r="M226" i="1"/>
  <c r="O225" i="1" a="1"/>
  <c r="O225" i="1" s="1"/>
  <c r="N225" i="1"/>
  <c r="M225" i="1"/>
  <c r="O224" i="1" a="1"/>
  <c r="O224" i="1" s="1"/>
  <c r="N224" i="1"/>
  <c r="M224" i="1"/>
  <c r="O223" i="1"/>
  <c r="O223" i="1" a="1"/>
  <c r="N223" i="1"/>
  <c r="M223" i="1"/>
  <c r="O222" i="1"/>
  <c r="O222" i="1" a="1"/>
  <c r="N222" i="1"/>
  <c r="M222" i="1"/>
  <c r="O221" i="1" a="1"/>
  <c r="O221" i="1" s="1"/>
  <c r="N221" i="1"/>
  <c r="M221" i="1"/>
  <c r="O220" i="1" a="1"/>
  <c r="O220" i="1" s="1"/>
  <c r="N220" i="1"/>
  <c r="M220" i="1"/>
  <c r="O219" i="1" a="1"/>
  <c r="O219" i="1" s="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c r="O211" i="1" a="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a="1"/>
  <c r="O205" i="1" s="1"/>
  <c r="N205" i="1"/>
  <c r="M205" i="1"/>
  <c r="O204" i="1" a="1"/>
  <c r="O204" i="1" s="1"/>
  <c r="N204" i="1"/>
  <c r="M204" i="1"/>
  <c r="O203" i="1" a="1"/>
  <c r="O203" i="1" s="1"/>
  <c r="N203" i="1"/>
  <c r="M203" i="1"/>
  <c r="O202" i="1" a="1"/>
  <c r="O202" i="1" s="1"/>
  <c r="N202" i="1"/>
  <c r="M202" i="1"/>
  <c r="O201" i="1" a="1"/>
  <c r="O201" i="1" s="1"/>
  <c r="N201" i="1"/>
  <c r="M201" i="1"/>
  <c r="O200" i="1" a="1"/>
  <c r="O200" i="1" s="1"/>
  <c r="N200" i="1"/>
  <c r="M200" i="1"/>
  <c r="O199" i="1"/>
  <c r="O199" i="1" a="1"/>
  <c r="N199" i="1"/>
  <c r="M199" i="1"/>
  <c r="O198" i="1"/>
  <c r="O198" i="1" a="1"/>
  <c r="N198" i="1"/>
  <c r="M198" i="1"/>
  <c r="O197" i="1" a="1"/>
  <c r="O197" i="1" s="1"/>
  <c r="N197" i="1"/>
  <c r="M197" i="1"/>
  <c r="O196" i="1" a="1"/>
  <c r="O196" i="1" s="1"/>
  <c r="N196" i="1"/>
  <c r="M196" i="1"/>
  <c r="O195" i="1" a="1"/>
  <c r="O195" i="1" s="1"/>
  <c r="N195" i="1"/>
  <c r="M195" i="1"/>
  <c r="O194" i="1" a="1"/>
  <c r="O194" i="1" s="1"/>
  <c r="N194" i="1"/>
  <c r="M194" i="1"/>
  <c r="O193" i="1"/>
  <c r="O193" i="1" a="1"/>
  <c r="N193" i="1"/>
  <c r="M193" i="1"/>
  <c r="O192" i="1" a="1"/>
  <c r="O192" i="1" s="1"/>
  <c r="N192" i="1"/>
  <c r="M192" i="1"/>
  <c r="O191" i="1" a="1"/>
  <c r="O191" i="1" s="1"/>
  <c r="N191" i="1"/>
  <c r="M191" i="1"/>
  <c r="O190" i="1"/>
  <c r="O190" i="1" a="1"/>
  <c r="N190" i="1"/>
  <c r="M190" i="1"/>
  <c r="O189" i="1" a="1"/>
  <c r="O189" i="1" s="1"/>
  <c r="N189" i="1"/>
  <c r="M189" i="1"/>
  <c r="O188" i="1" a="1"/>
  <c r="O188" i="1" s="1"/>
  <c r="N188" i="1"/>
  <c r="M188" i="1"/>
  <c r="O187" i="1"/>
  <c r="O187" i="1" a="1"/>
  <c r="N187" i="1"/>
  <c r="M187" i="1"/>
  <c r="O186" i="1"/>
  <c r="O186" i="1" a="1"/>
  <c r="N186" i="1"/>
  <c r="M186" i="1"/>
  <c r="O185" i="1" a="1"/>
  <c r="O185" i="1" s="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a="1"/>
  <c r="O177" i="1" s="1"/>
  <c r="N177" i="1"/>
  <c r="M177" i="1"/>
  <c r="O176" i="1" a="1"/>
  <c r="O176" i="1" s="1"/>
  <c r="N176" i="1"/>
  <c r="M176" i="1"/>
  <c r="O175" i="1"/>
  <c r="O175" i="1" a="1"/>
  <c r="N175" i="1"/>
  <c r="M175" i="1"/>
  <c r="O174" i="1" a="1"/>
  <c r="O174" i="1" s="1"/>
  <c r="N174" i="1"/>
  <c r="M174" i="1"/>
  <c r="O173" i="1" a="1"/>
  <c r="O173" i="1" s="1"/>
  <c r="N173" i="1"/>
  <c r="M173" i="1"/>
  <c r="O172" i="1" a="1"/>
  <c r="O172" i="1" s="1"/>
  <c r="N172" i="1"/>
  <c r="M172" i="1"/>
  <c r="O171" i="1" a="1"/>
  <c r="O171" i="1" s="1"/>
  <c r="N171" i="1"/>
  <c r="M171" i="1"/>
  <c r="O170" i="1" a="1"/>
  <c r="O170" i="1" s="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c r="O163" i="1" a="1"/>
  <c r="N163" i="1"/>
  <c r="M163" i="1"/>
  <c r="O162" i="1"/>
  <c r="O162" i="1" a="1"/>
  <c r="N162" i="1"/>
  <c r="M162" i="1"/>
  <c r="O161" i="1" a="1"/>
  <c r="O161" i="1" s="1"/>
  <c r="N161" i="1"/>
  <c r="M161" i="1"/>
  <c r="O160" i="1" a="1"/>
  <c r="O160" i="1" s="1"/>
  <c r="N160" i="1"/>
  <c r="M160" i="1"/>
  <c r="O159" i="1" a="1"/>
  <c r="O159" i="1" s="1"/>
  <c r="N159" i="1"/>
  <c r="M159" i="1"/>
  <c r="O158" i="1" a="1"/>
  <c r="O158" i="1" s="1"/>
  <c r="N158" i="1"/>
  <c r="M158" i="1"/>
  <c r="O157" i="1"/>
  <c r="O157" i="1" a="1"/>
  <c r="N157" i="1"/>
  <c r="M157" i="1"/>
  <c r="O156" i="1" a="1"/>
  <c r="O156" i="1" s="1"/>
  <c r="N156" i="1"/>
  <c r="M156" i="1"/>
  <c r="O155" i="1" a="1"/>
  <c r="O155" i="1" s="1"/>
  <c r="N155" i="1"/>
  <c r="M155" i="1"/>
  <c r="O154" i="1"/>
  <c r="O154" i="1" a="1"/>
  <c r="N154" i="1"/>
  <c r="M154" i="1"/>
  <c r="O153" i="1" a="1"/>
  <c r="O153" i="1" s="1"/>
  <c r="N153" i="1"/>
  <c r="M153" i="1"/>
  <c r="O152" i="1" a="1"/>
  <c r="O152" i="1" s="1"/>
  <c r="N152" i="1"/>
  <c r="M152" i="1"/>
  <c r="O151" i="1"/>
  <c r="O151" i="1" a="1"/>
  <c r="N151" i="1"/>
  <c r="M151" i="1"/>
  <c r="O150" i="1"/>
  <c r="O150" i="1" a="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c r="O144" i="1" a="1"/>
  <c r="N144" i="1"/>
  <c r="M144" i="1"/>
  <c r="O143" i="1" a="1"/>
  <c r="O143" i="1" s="1"/>
  <c r="N143" i="1"/>
  <c r="M143" i="1"/>
  <c r="O142" i="1" a="1"/>
  <c r="O142" i="1" s="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a="1"/>
  <c r="O136" i="1" s="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c r="O126" i="1" a="1"/>
  <c r="N126" i="1"/>
  <c r="M126" i="1"/>
  <c r="O125" i="1" a="1"/>
  <c r="O125" i="1" s="1"/>
  <c r="N125" i="1"/>
  <c r="M125" i="1"/>
  <c r="O124" i="1" a="1"/>
  <c r="O124" i="1" s="1"/>
  <c r="N124" i="1"/>
  <c r="M124" i="1"/>
  <c r="O123" i="1" a="1"/>
  <c r="O123" i="1" s="1"/>
  <c r="N123" i="1"/>
  <c r="M123" i="1"/>
  <c r="O122" i="1" a="1"/>
  <c r="O122" i="1" s="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c r="O115" i="1" a="1"/>
  <c r="N115" i="1"/>
  <c r="M115" i="1"/>
  <c r="O114" i="1"/>
  <c r="O114" i="1" a="1"/>
  <c r="N114" i="1"/>
  <c r="M114" i="1"/>
  <c r="O113" i="1" a="1"/>
  <c r="O113" i="1" s="1"/>
  <c r="N113" i="1"/>
  <c r="M113" i="1"/>
  <c r="O112" i="1"/>
  <c r="O112" i="1" a="1"/>
  <c r="N112" i="1"/>
  <c r="M112" i="1"/>
  <c r="O111" i="1" a="1"/>
  <c r="O111" i="1" s="1"/>
  <c r="N111" i="1"/>
  <c r="M111" i="1"/>
  <c r="O110" i="1" a="1"/>
  <c r="O110" i="1" s="1"/>
  <c r="N110" i="1"/>
  <c r="M110" i="1"/>
  <c r="O109" i="1" a="1"/>
  <c r="O109" i="1" s="1"/>
  <c r="N109" i="1"/>
  <c r="M109" i="1"/>
  <c r="O108" i="1"/>
  <c r="O108" i="1" a="1"/>
  <c r="N108" i="1"/>
  <c r="M108" i="1"/>
  <c r="O107" i="1" a="1"/>
  <c r="O107" i="1" s="1"/>
  <c r="N107" i="1"/>
  <c r="M107" i="1"/>
  <c r="O106" i="1" a="1"/>
  <c r="O106" i="1" s="1"/>
  <c r="N106" i="1"/>
  <c r="M106" i="1"/>
  <c r="O105" i="1"/>
  <c r="O105" i="1" a="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a="1"/>
  <c r="O97" i="1" s="1"/>
  <c r="N97" i="1"/>
  <c r="M97" i="1"/>
  <c r="O96" i="1" a="1"/>
  <c r="O96" i="1" s="1"/>
  <c r="N96" i="1"/>
  <c r="M96" i="1"/>
  <c r="O95" i="1" a="1"/>
  <c r="O95" i="1" s="1"/>
  <c r="N95" i="1"/>
  <c r="M95" i="1"/>
  <c r="O94" i="1" a="1"/>
  <c r="O94" i="1" s="1"/>
  <c r="N94" i="1"/>
  <c r="M94" i="1"/>
  <c r="O93" i="1" a="1"/>
  <c r="O93" i="1" s="1"/>
  <c r="N93" i="1"/>
  <c r="M93" i="1"/>
  <c r="O92" i="1" a="1"/>
  <c r="O92" i="1" s="1"/>
  <c r="N92" i="1"/>
  <c r="M92" i="1"/>
  <c r="O91" i="1"/>
  <c r="O91" i="1" a="1"/>
  <c r="N91" i="1"/>
  <c r="M91" i="1"/>
  <c r="O90" i="1"/>
  <c r="O90" i="1" a="1"/>
  <c r="N90" i="1"/>
  <c r="M90" i="1"/>
  <c r="O89" i="1" a="1"/>
  <c r="O89" i="1" s="1"/>
  <c r="N89" i="1"/>
  <c r="M89" i="1"/>
  <c r="O88" i="1" a="1"/>
  <c r="O88" i="1" s="1"/>
  <c r="N88" i="1"/>
  <c r="M88" i="1"/>
  <c r="O87" i="1" a="1"/>
  <c r="O87" i="1" s="1"/>
  <c r="N87" i="1"/>
  <c r="M87" i="1"/>
  <c r="O86" i="1" a="1"/>
  <c r="O86" i="1" s="1"/>
  <c r="N86" i="1"/>
  <c r="M86" i="1"/>
  <c r="O85" i="1"/>
  <c r="O85" i="1" a="1"/>
  <c r="N85" i="1"/>
  <c r="M85" i="1"/>
  <c r="O84" i="1" a="1"/>
  <c r="O84" i="1" s="1"/>
  <c r="N84" i="1"/>
  <c r="M84" i="1"/>
  <c r="O83" i="1" a="1"/>
  <c r="O83" i="1" s="1"/>
  <c r="N83" i="1"/>
  <c r="M83" i="1"/>
  <c r="O82" i="1" a="1"/>
  <c r="O82" i="1" s="1"/>
  <c r="N82" i="1"/>
  <c r="M82" i="1"/>
  <c r="O81" i="1" a="1"/>
  <c r="O81" i="1" s="1"/>
  <c r="N81" i="1"/>
  <c r="M81" i="1"/>
  <c r="O80" i="1" a="1"/>
  <c r="O80" i="1" s="1"/>
  <c r="N80" i="1"/>
  <c r="M80" i="1"/>
  <c r="O79" i="1"/>
  <c r="O79" i="1" a="1"/>
  <c r="N79" i="1"/>
  <c r="M79" i="1"/>
  <c r="O78" i="1"/>
  <c r="O78" i="1" a="1"/>
  <c r="N78" i="1"/>
  <c r="M78" i="1"/>
  <c r="O77" i="1" a="1"/>
  <c r="O77" i="1" s="1"/>
  <c r="N77" i="1"/>
  <c r="M77" i="1"/>
  <c r="O76" i="1"/>
  <c r="O76" i="1" a="1"/>
  <c r="N76" i="1"/>
  <c r="M76" i="1"/>
  <c r="O75" i="1" a="1"/>
  <c r="O75" i="1" s="1"/>
  <c r="N75" i="1"/>
  <c r="M75" i="1"/>
  <c r="O74" i="1" a="1"/>
  <c r="O74" i="1" s="1"/>
  <c r="N74" i="1"/>
  <c r="M74" i="1"/>
  <c r="O73" i="1"/>
  <c r="O73" i="1" a="1"/>
  <c r="N73" i="1"/>
  <c r="M73" i="1"/>
  <c r="O72" i="1"/>
  <c r="O72" i="1" a="1"/>
  <c r="N72" i="1"/>
  <c r="M72" i="1"/>
  <c r="O71" i="1" a="1"/>
  <c r="O71" i="1" s="1"/>
  <c r="N71" i="1"/>
  <c r="M71" i="1"/>
  <c r="O70" i="1" a="1"/>
  <c r="O70" i="1" s="1"/>
  <c r="N70" i="1"/>
  <c r="M70" i="1"/>
  <c r="O69" i="1"/>
  <c r="O69" i="1" a="1"/>
  <c r="N69" i="1"/>
  <c r="M69" i="1"/>
  <c r="O68" i="1" a="1"/>
  <c r="O68" i="1" s="1"/>
  <c r="N68" i="1"/>
  <c r="M68" i="1"/>
  <c r="O67" i="1"/>
  <c r="O67" i="1" a="1"/>
  <c r="N67" i="1"/>
  <c r="M67" i="1"/>
  <c r="O66" i="1"/>
  <c r="O66" i="1" a="1"/>
  <c r="N66" i="1"/>
  <c r="M66" i="1"/>
  <c r="O65" i="1" a="1"/>
  <c r="O65" i="1" s="1"/>
  <c r="N65" i="1"/>
  <c r="M65" i="1"/>
  <c r="O64" i="1" a="1"/>
  <c r="O64" i="1" s="1"/>
  <c r="N64" i="1"/>
  <c r="M64" i="1"/>
  <c r="O63" i="1" a="1"/>
  <c r="O63" i="1" s="1"/>
  <c r="N63" i="1"/>
  <c r="M63" i="1"/>
  <c r="O62" i="1" a="1"/>
  <c r="O62" i="1" s="1"/>
  <c r="N62" i="1"/>
  <c r="M62" i="1"/>
  <c r="O61" i="1" a="1"/>
  <c r="O61" i="1" s="1"/>
  <c r="N61" i="1"/>
  <c r="M61" i="1"/>
  <c r="O60" i="1" a="1"/>
  <c r="O60" i="1" s="1"/>
  <c r="N60" i="1"/>
  <c r="M60" i="1"/>
  <c r="O59" i="1" a="1"/>
  <c r="O59" i="1" s="1"/>
  <c r="N59" i="1"/>
  <c r="M59" i="1"/>
  <c r="O58" i="1" a="1"/>
  <c r="O58" i="1" s="1"/>
  <c r="N58" i="1"/>
  <c r="M58" i="1"/>
  <c r="O57" i="1" a="1"/>
  <c r="O57" i="1" s="1"/>
  <c r="N57" i="1"/>
  <c r="M57" i="1"/>
  <c r="O56" i="1" a="1"/>
  <c r="O56" i="1" s="1"/>
  <c r="N56" i="1"/>
  <c r="M56" i="1"/>
  <c r="O55" i="1"/>
  <c r="O55" i="1" a="1"/>
  <c r="N55" i="1"/>
  <c r="M55" i="1"/>
  <c r="O54" i="1"/>
  <c r="O54" i="1" a="1"/>
  <c r="N54" i="1"/>
  <c r="M54" i="1"/>
  <c r="O53" i="1" a="1"/>
  <c r="O53" i="1" s="1"/>
  <c r="N53" i="1"/>
  <c r="M53" i="1"/>
  <c r="O52" i="1" a="1"/>
  <c r="O52" i="1" s="1"/>
  <c r="N52" i="1"/>
  <c r="M52" i="1"/>
  <c r="O51" i="1" a="1"/>
  <c r="O51" i="1" s="1"/>
  <c r="N51" i="1"/>
  <c r="M51" i="1"/>
  <c r="O50" i="1" a="1"/>
  <c r="O50" i="1" s="1"/>
  <c r="N50" i="1"/>
  <c r="M50" i="1"/>
  <c r="O49" i="1"/>
  <c r="O49" i="1" a="1"/>
  <c r="N49" i="1"/>
  <c r="M49" i="1"/>
  <c r="O48" i="1" a="1"/>
  <c r="O48" i="1" s="1"/>
  <c r="N48" i="1"/>
  <c r="M48" i="1"/>
  <c r="O47" i="1" a="1"/>
  <c r="O47" i="1" s="1"/>
  <c r="N47" i="1"/>
  <c r="M47" i="1"/>
  <c r="O46" i="1" a="1"/>
  <c r="O46" i="1" s="1"/>
  <c r="N46" i="1"/>
  <c r="M46" i="1"/>
  <c r="O45" i="1" a="1"/>
  <c r="O45" i="1" s="1"/>
  <c r="N45" i="1"/>
  <c r="M45" i="1"/>
  <c r="O44" i="1" a="1"/>
  <c r="O44" i="1" s="1"/>
  <c r="N44" i="1"/>
  <c r="M44" i="1"/>
  <c r="O43" i="1" a="1"/>
  <c r="O43" i="1" s="1"/>
  <c r="N43" i="1"/>
  <c r="M43" i="1"/>
  <c r="O42" i="1"/>
  <c r="O42" i="1" a="1"/>
  <c r="N42" i="1"/>
  <c r="M42" i="1"/>
  <c r="O41" i="1" a="1"/>
  <c r="O41" i="1" s="1"/>
  <c r="N41" i="1"/>
  <c r="M41" i="1"/>
  <c r="O40" i="1" a="1"/>
  <c r="O40" i="1" s="1"/>
  <c r="N40" i="1"/>
  <c r="M40" i="1"/>
  <c r="O39" i="1" a="1"/>
  <c r="O39" i="1" s="1"/>
  <c r="N39" i="1"/>
  <c r="M39" i="1"/>
  <c r="O38" i="1" a="1"/>
  <c r="O38" i="1" s="1"/>
  <c r="N38" i="1"/>
  <c r="M38" i="1"/>
  <c r="O37" i="1"/>
  <c r="O37" i="1" a="1"/>
  <c r="N37" i="1"/>
  <c r="M37" i="1"/>
  <c r="O36" i="1"/>
  <c r="O36" i="1" a="1"/>
  <c r="N36" i="1"/>
  <c r="M36" i="1"/>
  <c r="O35" i="1" a="1"/>
  <c r="O35" i="1" s="1"/>
  <c r="N35" i="1"/>
  <c r="M35" i="1"/>
  <c r="O34" i="1" a="1"/>
  <c r="O34" i="1" s="1"/>
  <c r="N34" i="1"/>
  <c r="M34" i="1"/>
  <c r="O33" i="1" a="1"/>
  <c r="O33" i="1" s="1"/>
  <c r="N33" i="1"/>
  <c r="M33" i="1"/>
  <c r="O32" i="1" a="1"/>
  <c r="O32" i="1" s="1"/>
  <c r="N32" i="1"/>
  <c r="M32" i="1"/>
  <c r="O31" i="1"/>
  <c r="O31" i="1" a="1"/>
  <c r="N31" i="1"/>
  <c r="M31" i="1"/>
  <c r="O30" i="1"/>
  <c r="O30" i="1" a="1"/>
  <c r="N30" i="1"/>
  <c r="M30" i="1"/>
  <c r="O29" i="1" a="1"/>
  <c r="O29" i="1" s="1"/>
  <c r="N29" i="1"/>
  <c r="M29" i="1"/>
  <c r="O28" i="1" a="1"/>
  <c r="O28" i="1" s="1"/>
  <c r="N28" i="1"/>
  <c r="M28" i="1"/>
  <c r="O27" i="1"/>
  <c r="O27" i="1" a="1"/>
  <c r="N27" i="1"/>
  <c r="M27" i="1"/>
  <c r="O26" i="1" a="1"/>
  <c r="O26" i="1" s="1"/>
  <c r="N26" i="1"/>
  <c r="M26" i="1"/>
  <c r="O25" i="1" a="1"/>
  <c r="O25" i="1" s="1"/>
  <c r="N25" i="1"/>
  <c r="M25" i="1"/>
  <c r="O24" i="1" a="1"/>
  <c r="O24" i="1" s="1"/>
  <c r="N24" i="1"/>
  <c r="M24" i="1"/>
  <c r="O23" i="1" a="1"/>
  <c r="O23" i="1" s="1"/>
  <c r="N23" i="1"/>
  <c r="M23" i="1"/>
  <c r="O22" i="1" a="1"/>
  <c r="O22" i="1" s="1"/>
  <c r="N22" i="1"/>
  <c r="M22" i="1"/>
  <c r="O21" i="1" a="1"/>
  <c r="O21" i="1" s="1"/>
  <c r="N21" i="1"/>
  <c r="M21" i="1"/>
  <c r="O20" i="1" a="1"/>
  <c r="O20" i="1" s="1"/>
  <c r="N20" i="1"/>
  <c r="M20" i="1"/>
  <c r="O19" i="1"/>
  <c r="O19" i="1" a="1"/>
  <c r="N19" i="1"/>
  <c r="M19" i="1"/>
  <c r="O18" i="1"/>
  <c r="O18" i="1" a="1"/>
  <c r="N18" i="1"/>
  <c r="M18" i="1"/>
  <c r="O17" i="1" a="1"/>
  <c r="O17" i="1" s="1"/>
  <c r="N17" i="1"/>
  <c r="M17" i="1"/>
  <c r="O16" i="1" a="1"/>
  <c r="O16" i="1" s="1"/>
  <c r="N16" i="1"/>
  <c r="M16" i="1"/>
  <c r="O15" i="1" a="1"/>
  <c r="O15" i="1" s="1"/>
  <c r="N15" i="1"/>
  <c r="M15" i="1"/>
  <c r="O14" i="1" a="1"/>
  <c r="O14" i="1" s="1"/>
  <c r="N14" i="1"/>
  <c r="M14" i="1"/>
  <c r="O13" i="1"/>
  <c r="O13" i="1" a="1"/>
  <c r="N13" i="1"/>
  <c r="M13" i="1"/>
  <c r="O12" i="1" a="1"/>
  <c r="O12" i="1" s="1"/>
  <c r="N12" i="1"/>
  <c r="M12" i="1"/>
  <c r="O11" i="1" a="1"/>
  <c r="O11" i="1" s="1"/>
  <c r="N11" i="1"/>
  <c r="M11" i="1"/>
  <c r="O10" i="1" a="1"/>
  <c r="O10" i="1" s="1"/>
  <c r="N10" i="1"/>
  <c r="M10" i="1"/>
  <c r="O9" i="1" a="1"/>
  <c r="O9" i="1" s="1"/>
  <c r="N9" i="1"/>
  <c r="M9" i="1"/>
  <c r="O8" i="1" a="1"/>
  <c r="O8" i="1" s="1"/>
  <c r="N8" i="1"/>
  <c r="M8" i="1"/>
  <c r="O7" i="1" a="1"/>
  <c r="O7" i="1" s="1"/>
  <c r="N7" i="1"/>
  <c r="M7" i="1"/>
  <c r="O6" i="1"/>
  <c r="O6" i="1" a="1"/>
  <c r="N6" i="1"/>
  <c r="M6" i="1"/>
  <c r="O5" i="1" a="1"/>
  <c r="O5" i="1" s="1"/>
  <c r="N5" i="1"/>
  <c r="M5" i="1"/>
  <c r="O4" i="1" a="1"/>
  <c r="O4" i="1" s="1"/>
  <c r="N4" i="1"/>
  <c r="M4" i="1"/>
  <c r="O3" i="1" a="1"/>
  <c r="O3" i="1" s="1"/>
  <c r="N3" i="1"/>
  <c r="M3" i="1"/>
  <c r="O2" i="1" a="1"/>
  <c r="O2" i="1" s="1"/>
  <c r="N2" i="1"/>
  <c r="M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AB56FB-5801-425F-8A86-D2459FE91FD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6677F85-9E19-4DEB-907B-03A782370507}" name="WorksheetConnection_pivot table!$A$11:$E$12" type="102" refreshedVersion="8" minRefreshableVersion="5">
    <extLst>
      <ext xmlns:x15="http://schemas.microsoft.com/office/spreadsheetml/2010/11/main" uri="{DE250136-89BD-433C-8126-D09CA5730AF9}">
        <x15:connection id="Range" autoDelete="1">
          <x15:rangePr sourceName="_xlcn.WorksheetConnection_pivottableA11E12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<sst xmlns="http://schemas.openxmlformats.org/spreadsheetml/2006/main" count="14870" uniqueCount="2531">
  <si>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</si>
  <si>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</si>
  <si>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</si>
  <si>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</si>
  <si>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</si>
  <si>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</si>
  <si>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</si>
  <si>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</si>
  <si>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</si>
  <si>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</si>
  <si>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</si>
  <si>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</si>
  <si>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</si>
  <si>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</si>
  <si>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</si>
  <si>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</si>
  <si>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</si>
  <si>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</si>
  <si>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</si>
  <si>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</si>
  <si>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</si>
  <si>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</si>
  <si>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</si>
  <si>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</si>
  <si>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</si>
  <si>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</si>
  <si>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</si>
  <si>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</si>
  <si>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</si>
  <si>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</si>
  <si>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</si>
  <si>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</si>
  <si>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</si>
  <si>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</si>
  <si>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</si>
  <si>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</si>
  <si>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</si>
  <si>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</si>
  <si>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</si>
  <si>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</si>
  <si>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</si>
  <si>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</si>
  <si>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</si>
  <si>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</si>
  <si>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</si>
  <si>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</si>
  <si>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</si>
  <si>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</si>
  <si>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</si>
  <si>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</si>
  <si>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</si>
  <si>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</si>
  <si>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</si>
  <si>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</si>
  <si>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</si>
  <si>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</si>
  <si>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</si>
  <si>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</si>
  <si>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</si>
  <si>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</si>
  <si>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</si>
  <si>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</si>
  <si>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</si>
  <si>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</si>
  <si>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</si>
  <si>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</si>
  <si>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</si>
  <si>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</si>
  <si>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</si>
  <si>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</si>
  <si>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</si>
  <si>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</si>
  <si>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</si>
  <si>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</si>
  <si>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</si>
  <si>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</si>
  <si>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</si>
  <si>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</si>
  <si>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</si>
  <si>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</si>
  <si>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</si>
  <si>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</si>
  <si>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</si>
  <si>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</si>
  <si>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</si>
  <si>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</si>
  <si>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</si>
  <si>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</si>
  <si>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</si>
  <si>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</si>
  <si>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</si>
  <si>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</si>
  <si>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</si>
  <si>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</si>
  <si>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</si>
  <si>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</si>
  <si>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</si>
  <si>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</si>
  <si>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</si>
  <si>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</si>
  <si>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</si>
  <si>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</si>
  <si>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</si>
  <si>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</si>
  <si>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</si>
  <si>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</si>
  <si>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</si>
  <si>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</si>
  <si>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</si>
  <si>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</si>
  <si>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</si>
  <si>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</si>
  <si>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</si>
  <si>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</si>
  <si>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</si>
  <si>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</si>
  <si>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</si>
  <si>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</si>
  <si>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</si>
  <si>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</si>
  <si>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</si>
  <si>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</si>
  <si>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</si>
  <si>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</si>
  <si>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</si>
  <si>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</si>
  <si>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</si>
  <si>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</si>
  <si>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</si>
  <si>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</si>
  <si>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</si>
  <si>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</si>
  <si>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</si>
  <si>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</si>
  <si>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</si>
  <si>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</si>
  <si>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</si>
  <si>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</si>
  <si>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</si>
  <si>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</si>
  <si>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</si>
  <si>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</si>
  <si>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</si>
  <si>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</si>
  <si>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</si>
  <si>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</si>
  <si>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</si>
  <si>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</si>
  <si>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</si>
  <si>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</si>
  <si>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</si>
  <si>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</si>
  <si>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</si>
  <si>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</si>
  <si>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</si>
  <si>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</si>
  <si>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</si>
  <si>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</si>
  <si>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</si>
  <si>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</si>
  <si>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</si>
  <si>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</si>
  <si>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</si>
  <si>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</si>
  <si>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</si>
  <si>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</si>
  <si>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</si>
  <si>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</si>
  <si>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</si>
  <si>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</si>
  <si>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</si>
  <si>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</si>
  <si>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</si>
  <si>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</si>
  <si>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</si>
  <si>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</si>
  <si>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</si>
  <si>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</si>
  <si>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</si>
  <si>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</si>
  <si>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</si>
  <si>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</si>
  <si>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</si>
  <si>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</si>
  <si>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</si>
  <si>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</si>
  <si>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</si>
  <si>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</si>
  <si>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</si>
  <si>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</si>
  <si>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</si>
  <si>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</si>
  <si>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</si>
  <si>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</si>
  <si>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</si>
  <si>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</si>
  <si>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</si>
  <si>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</si>
  <si>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</si>
  <si>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</si>
  <si>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</si>
  <si>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</si>
  <si>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</si>
  <si>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</si>
  <si>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</si>
  <si>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</si>
  <si>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</si>
  <si>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</si>
  <si>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</si>
  <si>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</si>
  <si>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</si>
  <si>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</si>
  <si>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</si>
  <si>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</si>
  <si>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</si>
  <si>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</si>
  <si>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</si>
  <si>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</si>
  <si>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</si>
  <si>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</si>
  <si>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</si>
  <si>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</si>
  <si>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</si>
  <si>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</si>
  <si>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</si>
  <si>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</si>
  <si>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</si>
  <si>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</si>
  <si>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</si>
  <si>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</si>
  <si>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</si>
  <si>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</si>
  <si>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</si>
  <si>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</si>
  <si>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</si>
  <si>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</si>
  <si>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</si>
  <si>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</si>
  <si>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</si>
  <si>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</si>
  <si>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</si>
  <si>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</si>
  <si>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</si>
  <si>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</si>
  <si>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</si>
  <si>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</si>
  <si>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</si>
  <si>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</si>
  <si>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</si>
  <si>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</si>
  <si>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</si>
  <si>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</si>
  <si>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</si>
  <si>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</si>
  <si>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</si>
  <si>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</si>
  <si>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</si>
  <si>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</si>
  <si>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</si>
  <si>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</si>
  <si>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</si>
  <si>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</si>
  <si>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</si>
  <si>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</si>
  <si>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</si>
  <si>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</si>
  <si>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</si>
  <si>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</si>
  <si>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</si>
  <si>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</si>
  <si>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</si>
  <si>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</si>
  <si>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</si>
  <si>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</si>
  <si>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</si>
  <si>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</si>
  <si>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</si>
  <si>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</si>
  <si>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</si>
  <si>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</si>
  <si>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</si>
  <si>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</si>
  <si>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</si>
  <si>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</si>
  <si>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</si>
  <si>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</si>
  <si>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</si>
  <si>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</si>
  <si>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</si>
  <si>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</si>
  <si>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</si>
  <si>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</si>
  <si>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</si>
  <si>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</si>
  <si>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</si>
  <si>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</si>
  <si>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</si>
  <si>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</si>
  <si>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</si>
  <si>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</si>
  <si>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</si>
  <si>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</si>
  <si>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</si>
  <si>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</si>
  <si>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</si>
  <si>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</si>
  <si>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</si>
  <si>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</si>
  <si>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</si>
  <si>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</si>
  <si>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</si>
  <si>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</si>
  <si>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</si>
  <si>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</si>
  <si>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</si>
  <si>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</si>
  <si>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</si>
  <si>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</si>
  <si>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</si>
  <si>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</si>
  <si>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</si>
  <si>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</si>
  <si>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</si>
  <si>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</si>
  <si>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</si>
  <si>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</si>
  <si>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</si>
  <si>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</si>
  <si>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</si>
  <si>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</si>
  <si>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</si>
  <si>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</si>
  <si>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</si>
  <si>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</si>
  <si>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</si>
  <si>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</si>
  <si>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</si>
  <si>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</si>
  <si>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</si>
  <si>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</si>
  <si>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</si>
  <si>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</si>
  <si>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</si>
  <si>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</si>
  <si>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</si>
  <si>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</si>
  <si>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</si>
  <si>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</si>
  <si>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</si>
  <si>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</si>
  <si>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</si>
  <si>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</si>
  <si>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</si>
  <si>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</si>
  <si>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</si>
  <si>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</si>
  <si>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</si>
  <si>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</si>
  <si>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</si>
  <si>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</si>
  <si>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</si>
  <si>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</si>
  <si>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</si>
  <si>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</si>
  <si>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</si>
  <si>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</si>
  <si>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</si>
  <si>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</si>
  <si>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</si>
  <si>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</si>
  <si>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</si>
  <si>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</si>
  <si>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</si>
  <si>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</si>
  <si>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</si>
  <si>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</si>
  <si>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</si>
  <si>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</si>
  <si>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</si>
  <si>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</si>
  <si>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</si>
  <si>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</si>
  <si>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</si>
  <si>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</si>
  <si>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</si>
  <si>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</si>
  <si>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</si>
  <si>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</si>
  <si>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</si>
  <si>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</si>
  <si>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</si>
  <si>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</si>
  <si>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</si>
  <si>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</si>
  <si>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</si>
  <si>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</si>
  <si>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</si>
  <si>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</si>
  <si>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</si>
  <si>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</si>
  <si>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</si>
  <si>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</si>
  <si>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</si>
  <si>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</si>
  <si>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</si>
  <si>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</si>
  <si>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</si>
  <si>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</si>
  <si>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</si>
  <si>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</si>
  <si>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</si>
  <si>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</si>
  <si>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</si>
  <si>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</si>
  <si>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</si>
  <si>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</si>
  <si>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</si>
  <si>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</si>
  <si>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</si>
  <si>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</si>
  <si>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</si>
  <si>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</si>
  <si>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</si>
  <si>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</si>
  <si>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</si>
  <si>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</si>
  <si>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</si>
  <si>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</si>
  <si>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</si>
  <si>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</si>
  <si>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</si>
  <si>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</si>
  <si>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</si>
  <si>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</si>
  <si>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</si>
  <si>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</si>
  <si>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</si>
  <si>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</si>
  <si>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</si>
  <si>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</si>
  <si>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</si>
  <si>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</si>
  <si>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</si>
  <si>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</si>
  <si>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</si>
  <si>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</si>
  <si>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</si>
  <si>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</si>
  <si>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</si>
  <si>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</si>
  <si>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</si>
  <si>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</si>
  <si>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</si>
  <si>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</si>
  <si>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</si>
  <si>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</si>
  <si>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</si>
  <si>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</si>
  <si>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</si>
  <si>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</si>
  <si>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</si>
  <si>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</si>
  <si>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</si>
  <si>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</si>
  <si>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</si>
  <si>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</si>
  <si>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</si>
  <si>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</si>
  <si>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</si>
  <si>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</si>
  <si>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</si>
  <si>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</si>
  <si>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</si>
  <si>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</si>
  <si>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</si>
  <si>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</si>
  <si>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</si>
  <si>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</si>
  <si>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</si>
  <si>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</si>
  <si>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</si>
  <si>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</si>
  <si>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</si>
  <si>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</si>
  <si>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</si>
  <si>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</si>
  <si>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</si>
  <si>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</si>
  <si>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</si>
  <si>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</si>
  <si>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</si>
  <si>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</si>
  <si>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</si>
  <si>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</si>
  <si>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</si>
  <si>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</si>
  <si>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</si>
  <si>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</si>
  <si>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</si>
  <si>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</si>
  <si>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</si>
  <si>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</si>
  <si>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</si>
  <si>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</si>
  <si>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</si>
  <si>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</si>
  <si>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</si>
  <si>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</si>
  <si>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</si>
  <si>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</si>
  <si>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</si>
  <si>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</si>
  <si>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</si>
  <si>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</si>
  <si>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</si>
  <si>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</si>
  <si>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</si>
  <si>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</si>
  <si>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</si>
  <si>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</si>
  <si>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</si>
  <si>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</si>
  <si>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</si>
  <si>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</si>
  <si>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</si>
  <si>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</si>
  <si>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</si>
  <si>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</si>
  <si>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</si>
  <si>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</si>
  <si>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</si>
  <si>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</si>
  <si>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</si>
  <si>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</si>
  <si>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</si>
  <si>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</si>
  <si>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</si>
  <si>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</si>
  <si>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</si>
  <si>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</si>
  <si>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</si>
  <si>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</si>
  <si>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</si>
  <si>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</si>
  <si>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</si>
  <si>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</si>
  <si>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</si>
  <si>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</si>
  <si>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</si>
  <si>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</si>
  <si>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</si>
  <si>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</si>
  <si>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</si>
  <si>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</si>
  <si>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</si>
  <si>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</si>
  <si>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</si>
  <si>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</si>
  <si>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</si>
  <si>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</si>
  <si>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</si>
  <si>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</si>
  <si>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</si>
  <si>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</si>
  <si>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</si>
  <si>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</si>
  <si>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</si>
  <si>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</si>
  <si>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</si>
  <si>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</si>
  <si>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</si>
  <si>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</si>
  <si>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</si>
  <si>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</si>
  <si>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</si>
  <si>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</si>
  <si>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</si>
  <si>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</si>
  <si>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</si>
  <si>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</si>
  <si>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</si>
  <si>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</si>
  <si>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</si>
  <si>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</si>
  <si>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</si>
  <si>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</si>
  <si>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</si>
  <si>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</si>
  <si>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</si>
  <si>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</si>
  <si>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</si>
  <si>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</si>
  <si>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</si>
  <si>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</si>
  <si>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</si>
  <si>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</si>
  <si>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</si>
  <si>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</si>
  <si>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</si>
  <si>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</si>
  <si>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</si>
  <si>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</si>
  <si>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</si>
  <si>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</si>
  <si>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</si>
  <si>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</si>
  <si>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</si>
  <si>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</si>
  <si>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</si>
  <si>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</si>
  <si>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</si>
  <si>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</si>
  <si>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</si>
  <si>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</si>
  <si>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</si>
  <si>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</si>
  <si>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</si>
  <si>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</si>
  <si>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</si>
  <si>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</si>
  <si>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</si>
  <si>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</si>
  <si>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</si>
  <si>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</si>
  <si>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</si>
  <si>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</si>
  <si>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</si>
  <si>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</si>
  <si>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</si>
  <si>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</si>
  <si>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</si>
  <si>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</si>
  <si>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</si>
  <si>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</si>
  <si>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</si>
  <si>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</si>
  <si>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</si>
  <si>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</si>
  <si>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</si>
  <si>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</si>
  <si>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</si>
  <si>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</si>
  <si>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</si>
  <si>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</si>
  <si>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</si>
  <si>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</si>
  <si>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</si>
  <si>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</si>
  <si>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</si>
  <si>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</si>
  <si>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</si>
  <si>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</si>
  <si>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</si>
  <si>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</si>
  <si>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</si>
  <si>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</si>
  <si>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</si>
  <si>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</si>
  <si>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</si>
  <si>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</si>
  <si>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</si>
  <si>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</si>
  <si>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</si>
  <si>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</si>
  <si>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</si>
  <si>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</si>
  <si>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</si>
  <si>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</si>
  <si>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</si>
  <si>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</si>
  <si>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</si>
  <si>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</si>
  <si>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</si>
  <si>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</si>
  <si>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</si>
  <si>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</si>
  <si>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</si>
  <si>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</si>
  <si>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</si>
  <si>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</si>
  <si>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</si>
  <si>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</si>
  <si>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</si>
  <si>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</si>
  <si>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</si>
  <si>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</si>
  <si>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</si>
  <si>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</si>
  <si>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</si>
  <si>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</si>
  <si>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</si>
  <si>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</si>
  <si>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</si>
  <si>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</si>
  <si>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</si>
  <si>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</si>
  <si>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</si>
  <si>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</si>
  <si>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</si>
  <si>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</si>
  <si>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</si>
  <si>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</si>
  <si>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</si>
  <si>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</si>
  <si>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</si>
  <si>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</si>
  <si>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</si>
  <si>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</si>
  <si>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</si>
  <si>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</si>
  <si>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</si>
  <si>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</si>
  <si>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</si>
  <si>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</si>
  <si>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</si>
  <si>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</si>
  <si>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</si>
  <si>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</si>
  <si>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</si>
  <si>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</si>
  <si>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</si>
  <si>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</si>
  <si>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</si>
  <si>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</si>
  <si>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</si>
  <si>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</si>
  <si>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</si>
  <si>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</si>
  <si>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</si>
  <si>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</si>
  <si>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</si>
  <si>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</si>
  <si>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</si>
  <si>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</si>
  <si>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</si>
  <si>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</si>
  <si>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</si>
  <si>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</si>
  <si>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</si>
  <si>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</si>
  <si>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</si>
  <si>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</si>
  <si>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</si>
  <si>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</si>
  <si>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</si>
  <si>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</si>
  <si>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</si>
  <si>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</si>
  <si>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</si>
  <si>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</si>
  <si>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</si>
  <si>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</si>
  <si>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</si>
  <si>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</si>
  <si>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</si>
  <si>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</si>
  <si>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</si>
  <si>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</si>
  <si>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</si>
  <si>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</si>
  <si>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</si>
  <si>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</si>
  <si>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</si>
  <si>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</si>
  <si>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</si>
  <si>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</si>
  <si>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</si>
  <si>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</si>
  <si>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</si>
  <si>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</si>
  <si>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</si>
  <si>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</si>
  <si>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</si>
  <si>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</si>
  <si>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</si>
  <si>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</si>
  <si>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</si>
  <si>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</si>
  <si>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</si>
  <si>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</si>
  <si>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</si>
  <si>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</si>
  <si>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</si>
  <si>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</si>
  <si>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</si>
  <si>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</si>
  <si>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</si>
  <si>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</si>
  <si>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</si>
  <si>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</si>
  <si>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</si>
  <si>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</si>
  <si>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</si>
  <si>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</si>
  <si>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</si>
  <si>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</si>
  <si>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</si>
  <si>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</si>
  <si>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</si>
  <si>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</si>
  <si>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</si>
  <si>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</si>
  <si>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</si>
  <si>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</si>
  <si>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</si>
  <si>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</si>
  <si>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</si>
  <si>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</si>
  <si>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</si>
  <si>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</si>
  <si>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</si>
  <si>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</si>
  <si>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</si>
  <si>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</si>
  <si>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</si>
  <si>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</si>
  <si>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</si>
  <si>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</si>
  <si>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</si>
  <si>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</si>
  <si>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</si>
  <si>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</si>
  <si>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</si>
  <si>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</si>
  <si>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</si>
  <si>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</si>
  <si>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</si>
  <si>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</si>
  <si>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</si>
  <si>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</si>
  <si>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</si>
  <si>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</si>
  <si>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</si>
  <si>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</si>
  <si>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</si>
  <si>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</si>
  <si>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</si>
  <si>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</si>
  <si>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</si>
  <si>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</si>
  <si>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</si>
  <si>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</si>
  <si>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</si>
  <si>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</si>
  <si>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</si>
  <si>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</si>
  <si>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</si>
  <si>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</si>
  <si>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</si>
  <si>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</si>
  <si>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</si>
  <si>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</si>
  <si>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</si>
  <si>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</si>
  <si>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</si>
  <si>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</si>
  <si>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</si>
  <si>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</si>
  <si>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</si>
  <si>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</si>
  <si>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</si>
  <si>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</si>
  <si>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</si>
  <si>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</si>
  <si>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</si>
  <si>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</si>
  <si>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</si>
  <si>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</si>
  <si>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</si>
  <si>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</si>
  <si>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</si>
  <si>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</si>
  <si>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</si>
  <si>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</si>
  <si>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</si>
  <si>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</si>
  <si>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</si>
  <si>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</si>
  <si>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</si>
  <si>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</si>
  <si>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</si>
  <si>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</si>
  <si>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</si>
  <si>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</si>
  <si>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</si>
  <si>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</si>
  <si>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</si>
  <si>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</si>
  <si>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</si>
  <si>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</si>
  <si>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</si>
  <si>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</si>
  <si>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</si>
  <si>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</si>
  <si>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</si>
  <si>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</si>
  <si>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</si>
  <si>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</si>
  <si>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</si>
  <si>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</si>
  <si>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</si>
  <si>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</si>
  <si>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</si>
  <si>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</si>
  <si>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</si>
  <si>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</si>
  <si>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</si>
  <si>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</si>
  <si>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</si>
  <si>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</si>
  <si>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</si>
  <si>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</si>
  <si>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</si>
  <si>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</si>
  <si>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</si>
  <si>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</si>
  <si>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</si>
  <si>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</si>
  <si>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</si>
  <si>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</si>
  <si>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</si>
  <si>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</si>
  <si>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</si>
  <si>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</si>
  <si>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</si>
  <si>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</si>
  <si>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</si>
  <si>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</si>
  <si>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</si>
  <si>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</si>
  <si>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</si>
  <si>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</si>
  <si>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</si>
  <si>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</si>
  <si>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</si>
  <si>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</si>
  <si>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</si>
  <si>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</si>
  <si>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</si>
  <si>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</si>
  <si>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</si>
  <si>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</si>
  <si>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</si>
  <si>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</si>
  <si>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</si>
  <si>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</si>
  <si>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</si>
  <si>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</si>
  <si>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</si>
  <si>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</si>
  <si>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</si>
  <si>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</si>
  <si>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</si>
  <si>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</si>
  <si>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</si>
  <si>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</si>
  <si>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</si>
  <si>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</si>
  <si>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</si>
  <si>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</si>
  <si>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</si>
  <si>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</si>
  <si>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</si>
  <si>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</si>
  <si>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</si>
  <si>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</si>
  <si>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</si>
  <si>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</si>
  <si>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</si>
  <si>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</si>
  <si>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</si>
  <si>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</si>
  <si>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</si>
  <si>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</si>
  <si>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</si>
  <si>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</si>
  <si>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</si>
  <si>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</si>
  <si>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</si>
  <si>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</si>
  <si>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</si>
  <si>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</si>
  <si>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</si>
  <si>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</si>
  <si>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</si>
  <si>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</si>
  <si>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</si>
  <si>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</si>
  <si>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</si>
  <si>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</si>
  <si>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</si>
  <si>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</si>
  <si>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</si>
  <si>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</si>
  <si>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</si>
  <si>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</si>
  <si>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</si>
  <si>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</si>
  <si>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</si>
  <si>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</si>
  <si>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</si>
  <si>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</si>
  <si>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</si>
  <si>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</si>
  <si>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</si>
  <si>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</si>
  <si>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</si>
  <si>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</si>
  <si>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</si>
  <si>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</si>
  <si>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</si>
  <si>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</si>
  <si>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</si>
  <si>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</si>
  <si>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</si>
  <si>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</si>
  <si>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</si>
  <si>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</si>
  <si>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</si>
  <si>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</si>
  <si>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</si>
  <si>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</si>
  <si>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</si>
  <si>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</si>
  <si>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</si>
  <si>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</si>
  <si>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</si>
  <si>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</si>
  <si>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</si>
  <si>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</si>
  <si>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</si>
  <si>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</si>
  <si>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</si>
  <si>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</si>
  <si>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</si>
  <si>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</si>
  <si>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</si>
  <si>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</si>
  <si>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</si>
  <si>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</si>
  <si>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</si>
  <si>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</si>
  <si>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</si>
  <si>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</si>
  <si>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</si>
  <si>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</si>
  <si>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</si>
  <si>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</si>
  <si>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</si>
  <si>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</si>
  <si>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</si>
  <si>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</si>
  <si>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</si>
  <si>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</si>
  <si>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</si>
  <si>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</si>
  <si>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</si>
  <si>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</si>
  <si>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</si>
  <si>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</si>
  <si>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</si>
  <si>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</si>
  <si>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</si>
  <si>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</si>
  <si>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</si>
  <si>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</si>
  <si>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</si>
  <si>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</si>
  <si>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</si>
  <si>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</si>
  <si>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</si>
  <si>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</si>
  <si>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</si>
  <si>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</si>
  <si>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</si>
  <si>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</si>
  <si>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</si>
  <si>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</si>
  <si>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</si>
  <si>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</si>
  <si>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</si>
  <si>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</si>
  <si>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</si>
  <si>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</si>
  <si>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</si>
  <si>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</si>
  <si>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</si>
  <si>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</si>
  <si>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</si>
  <si>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</si>
  <si>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</si>
  <si>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</si>
  <si>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</si>
  <si>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</si>
  <si>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</si>
  <si>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</si>
  <si>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</si>
  <si>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</si>
  <si>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</si>
  <si>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</si>
  <si>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</si>
  <si>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</si>
  <si>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</si>
  <si>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</si>
  <si>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</si>
  <si>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</si>
  <si>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</si>
  <si>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</si>
  <si>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</si>
  <si>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</si>
  <si>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</si>
  <si>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</si>
  <si>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</si>
  <si>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</si>
  <si>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</si>
  <si>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</si>
  <si>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</si>
  <si>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</si>
  <si>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</si>
  <si>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</si>
  <si>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</si>
  <si>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</si>
  <si>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</si>
  <si>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</si>
  <si>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</si>
  <si>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</si>
  <si>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</si>
  <si>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</si>
  <si>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</si>
  <si>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</si>
  <si>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</si>
  <si>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</si>
  <si>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</si>
  <si>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</si>
  <si>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</si>
  <si>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</si>
  <si>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</si>
  <si>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</si>
  <si>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</si>
  <si>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</si>
  <si>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</si>
  <si>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</si>
  <si>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</si>
  <si>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</si>
  <si>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</si>
  <si>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</si>
  <si>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</si>
  <si>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</si>
  <si>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</si>
  <si>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</si>
  <si>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</si>
  <si>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</si>
  <si>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</si>
  <si>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</si>
  <si>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</si>
  <si>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</si>
  <si>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</si>
  <si>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</si>
  <si>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</si>
  <si>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</si>
  <si>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</si>
  <si>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</si>
  <si>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</si>
  <si>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</si>
  <si>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</si>
  <si>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</si>
  <si>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</si>
  <si>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</si>
  <si>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</si>
  <si>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</si>
  <si>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</si>
  <si>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</si>
  <si>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</si>
  <si>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</si>
  <si>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</si>
  <si>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</si>
  <si>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</si>
  <si>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</si>
  <si>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</si>
  <si>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</si>
  <si>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</si>
  <si>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</si>
  <si>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</si>
  <si>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</si>
  <si>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</si>
  <si>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</si>
  <si>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</si>
  <si>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</si>
  <si>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</si>
  <si>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</si>
  <si>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</si>
  <si>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</si>
  <si>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</si>
  <si>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</si>
  <si>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</si>
  <si>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</si>
  <si>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</si>
  <si>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</si>
  <si>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</si>
  <si>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</si>
  <si>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</si>
  <si>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</si>
  <si>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</si>
  <si>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</si>
  <si>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</si>
  <si>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</si>
  <si>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</si>
  <si>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</si>
  <si>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</si>
  <si>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</si>
  <si>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</si>
  <si>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</si>
  <si>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</si>
  <si>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</si>
  <si>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</si>
  <si>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</si>
  <si>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</si>
  <si>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</si>
  <si>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</si>
  <si>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</si>
  <si>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</si>
  <si>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</si>
  <si>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</si>
  <si>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</si>
  <si>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</si>
  <si>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</si>
  <si>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</si>
  <si>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</si>
  <si>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</si>
  <si>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</si>
  <si>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</si>
  <si>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</si>
  <si>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</si>
  <si>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</si>
  <si>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</si>
  <si>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</si>
  <si>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</si>
  <si>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</si>
  <si>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</si>
  <si>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</si>
  <si>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</si>
  <si>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</si>
  <si>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</si>
  <si>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</si>
  <si>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</si>
  <si>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</si>
  <si>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</si>
  <si>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</si>
  <si>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</si>
  <si>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</si>
  <si>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</si>
  <si>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</si>
  <si>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</si>
  <si>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</si>
  <si>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</si>
  <si>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</si>
  <si>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</si>
  <si>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</si>
  <si>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</si>
  <si>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</si>
  <si>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</si>
  <si>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</si>
  <si>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</si>
  <si>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</si>
  <si>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</si>
  <si>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</si>
  <si>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</si>
  <si>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</si>
  <si>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</si>
  <si>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</si>
  <si>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</si>
  <si>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</si>
  <si>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</si>
  <si>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</si>
  <si>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</si>
  <si>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</si>
  <si>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</si>
  <si>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</si>
  <si>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</si>
  <si>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</si>
  <si>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</si>
  <si>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</si>
  <si>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</si>
  <si>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</si>
  <si>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</si>
  <si>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</si>
  <si>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</si>
  <si>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</si>
  <si>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</si>
  <si>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</si>
  <si>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</si>
  <si>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</si>
  <si>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</si>
  <si>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</si>
  <si>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</si>
  <si>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</si>
  <si>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</si>
  <si>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</si>
  <si>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</si>
  <si>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</si>
  <si>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</si>
  <si>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</si>
  <si>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</si>
  <si>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</si>
  <si>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</si>
  <si>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</si>
  <si>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</si>
  <si>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</si>
  <si>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</si>
  <si>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</si>
  <si>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</si>
  <si>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</si>
  <si>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</si>
  <si>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</si>
  <si>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</si>
  <si>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</si>
  <si>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</si>
  <si>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</si>
  <si>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</si>
  <si>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</si>
  <si>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</si>
  <si>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</si>
  <si>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</si>
  <si>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</si>
  <si>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</si>
  <si>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</si>
  <si>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</si>
  <si>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</si>
  <si>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</si>
  <si>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</si>
  <si>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</si>
  <si>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</si>
  <si>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</si>
  <si>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</si>
  <si>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</si>
  <si>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</si>
  <si>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</si>
  <si>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</si>
  <si>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</si>
  <si>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</si>
  <si>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</si>
  <si>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</si>
  <si>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</si>
  <si>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</si>
  <si>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</si>
  <si>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</si>
  <si>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</si>
  <si>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</si>
  <si>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</si>
  <si>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</si>
  <si>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</si>
  <si>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</si>
  <si>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</si>
  <si>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</si>
  <si>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</si>
  <si>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</si>
  <si>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</si>
  <si>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</si>
  <si>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</si>
  <si>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</si>
  <si>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</si>
  <si>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</si>
  <si>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</si>
  <si>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</si>
  <si>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</si>
  <si>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</si>
  <si>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</si>
  <si>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</si>
  <si>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</si>
  <si>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</si>
  <si>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</si>
  <si>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</si>
  <si>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</si>
  <si>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</si>
  <si>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</si>
  <si>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</si>
  <si>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</si>
  <si>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</si>
  <si>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</si>
  <si>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</si>
  <si>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</si>
  <si>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</si>
  <si>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</si>
  <si>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</si>
  <si>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</si>
  <si>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</si>
  <si>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</si>
  <si>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</si>
  <si>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</si>
  <si>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</si>
  <si>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</si>
  <si>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</si>
  <si>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</si>
  <si>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</si>
  <si>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</si>
  <si>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</si>
  <si>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</si>
  <si>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</si>
  <si>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</si>
  <si>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</si>
  <si>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</si>
  <si>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</si>
  <si>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</si>
  <si>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</si>
  <si>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</si>
  <si>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</si>
  <si>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</si>
  <si>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</si>
  <si>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</si>
  <si>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</si>
  <si>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</si>
  <si>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</si>
  <si>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</si>
  <si>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</si>
  <si>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</si>
  <si>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</si>
  <si>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</si>
  <si>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</si>
  <si>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</si>
  <si>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</si>
  <si>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</si>
  <si>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</si>
  <si>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</si>
  <si>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</si>
  <si>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</si>
  <si>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</si>
  <si>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</si>
  <si>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</si>
  <si>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</si>
  <si>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</si>
  <si>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</si>
  <si>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</si>
  <si>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</si>
  <si>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</si>
  <si>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</si>
  <si>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</si>
  <si>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</si>
  <si>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</si>
  <si>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</si>
  <si>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</si>
  <si>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</si>
  <si>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</si>
  <si>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</si>
  <si>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</si>
  <si>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</si>
  <si>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</si>
  <si>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</si>
  <si>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</si>
  <si>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</si>
  <si>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</si>
  <si>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</si>
  <si>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</si>
  <si>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</si>
  <si>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</si>
  <si>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</si>
  <si>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</si>
  <si>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</si>
  <si>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</si>
  <si>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</si>
  <si>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</si>
  <si>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</si>
  <si>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</si>
  <si>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</si>
  <si>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</si>
  <si>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</si>
  <si>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</si>
  <si>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</si>
  <si>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</si>
  <si>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</si>
  <si>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</si>
  <si>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</si>
  <si>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</si>
  <si>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</si>
  <si>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</si>
  <si>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</si>
  <si>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</si>
  <si>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</si>
  <si>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</si>
  <si>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</si>
  <si>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</si>
  <si>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</si>
  <si>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</si>
  <si>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</si>
  <si>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</si>
  <si>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</si>
  <si>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</si>
  <si>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</si>
  <si>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</si>
  <si>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</si>
  <si>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</si>
  <si>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</si>
  <si>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</si>
  <si>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</si>
  <si>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</si>
  <si>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</si>
  <si>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</si>
  <si>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</si>
  <si>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</si>
  <si>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</si>
  <si>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</si>
  <si>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</si>
  <si>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</si>
  <si>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</si>
  <si>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</si>
  <si>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</si>
  <si>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</si>
  <si>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</si>
  <si>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</si>
  <si>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</si>
  <si>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</si>
  <si>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</si>
  <si>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</si>
  <si>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</si>
  <si>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</si>
  <si>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</si>
  <si>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</si>
  <si>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</si>
  <si>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</si>
  <si>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</si>
  <si>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</si>
  <si>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</si>
  <si>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</si>
  <si>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</si>
  <si>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</si>
  <si>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</si>
  <si>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</si>
  <si>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</si>
  <si>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</si>
  <si>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</si>
  <si>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</si>
  <si>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</si>
  <si>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</si>
  <si>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</si>
  <si>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</si>
  <si>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</si>
  <si>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</si>
  <si>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</si>
  <si>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</si>
  <si>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</si>
  <si>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</si>
  <si>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</si>
  <si>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</si>
  <si>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</si>
  <si>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</si>
  <si>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</si>
  <si>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</si>
  <si>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</si>
  <si>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</si>
  <si>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</si>
  <si>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</si>
  <si>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</si>
  <si>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</si>
  <si>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</si>
  <si>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</si>
  <si>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</si>
  <si>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</si>
  <si>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</si>
  <si>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</si>
  <si>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</si>
  <si>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</si>
  <si>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</si>
  <si>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</si>
  <si>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</si>
  <si>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</si>
  <si>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</si>
  <si>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</si>
  <si>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</si>
  <si>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</si>
  <si>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</si>
  <si>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</si>
  <si>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</si>
  <si>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</si>
  <si>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</si>
  <si>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</si>
  <si>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</si>
  <si>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</si>
  <si>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</si>
  <si>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</si>
  <si>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</si>
  <si>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</si>
  <si>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</si>
  <si>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</si>
  <si>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</si>
  <si>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</si>
  <si>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</si>
  <si>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</si>
  <si>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</si>
  <si>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</si>
  <si>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</si>
  <si>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</si>
  <si>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</si>
  <si>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</si>
  <si>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</si>
  <si>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</si>
  <si>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</si>
  <si>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</si>
  <si>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</si>
  <si>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</si>
  <si>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</si>
  <si>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</si>
  <si>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</si>
  <si>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</si>
  <si>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</si>
  <si>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</si>
  <si>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</si>
  <si>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</si>
  <si>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</si>
  <si>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</si>
  <si>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</si>
  <si>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</si>
  <si>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</si>
  <si>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</si>
  <si>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</si>
  <si>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</si>
  <si>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</si>
  <si>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</si>
  <si>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</si>
  <si>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</si>
  <si>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</si>
  <si>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</si>
  <si>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</si>
  <si>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</si>
  <si>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</si>
  <si>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</si>
  <si>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</si>
  <si>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</si>
  <si>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</si>
  <si>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</si>
  <si>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</si>
  <si>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</si>
  <si>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</si>
  <si>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</si>
  <si>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</si>
  <si>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</si>
  <si>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</si>
  <si>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</si>
  <si>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</si>
  <si>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</si>
  <si>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</si>
  <si>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</si>
  <si>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</si>
  <si>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</si>
  <si>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</si>
  <si>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</si>
  <si>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</si>
  <si>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</si>
  <si>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</si>
  <si>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</si>
  <si>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</si>
  <si>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</si>
  <si>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</si>
  <si>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</si>
  <si>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</si>
  <si>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</si>
  <si>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</si>
  <si>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</si>
  <si>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</si>
  <si>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</si>
  <si>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</si>
  <si>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</si>
  <si>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</si>
  <si>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</si>
  <si>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</si>
  <si>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</si>
  <si>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</si>
  <si>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</si>
  <si>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</si>
  <si>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</si>
  <si>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</si>
  <si>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</si>
  <si>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</si>
  <si>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</si>
  <si>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</si>
  <si>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</si>
  <si>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</si>
  <si>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</si>
  <si>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</si>
  <si>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</si>
  <si>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</si>
  <si>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</si>
  <si>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</si>
  <si>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</si>
  <si>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</si>
  <si>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</si>
  <si>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</si>
  <si>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</si>
  <si>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</si>
  <si>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</si>
  <si>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</si>
  <si>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</si>
  <si>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</si>
  <si>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</si>
  <si>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</si>
  <si>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</si>
  <si>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</si>
  <si>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</si>
  <si>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</si>
  <si>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</si>
  <si>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</si>
  <si>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</si>
  <si>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</si>
  <si>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</si>
  <si>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</si>
  <si>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</si>
  <si>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</si>
  <si>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</si>
  <si>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</si>
  <si>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</si>
  <si>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</si>
  <si>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</si>
  <si>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</si>
  <si>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</si>
  <si>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</si>
  <si>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</si>
  <si>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</si>
  <si>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</si>
  <si>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</si>
  <si>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</si>
  <si>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</si>
  <si>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</si>
  <si>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</si>
  <si>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</si>
  <si>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</si>
  <si>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</si>
  <si>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</si>
  <si>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</si>
  <si>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</si>
  <si>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</si>
  <si>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</si>
  <si>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</si>
  <si>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</si>
  <si>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</si>
  <si>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</si>
  <si>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</si>
  <si>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</si>
  <si>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</si>
  <si>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</si>
  <si>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</si>
  <si>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</si>
  <si>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</si>
  <si>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</si>
  <si>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</si>
  <si>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</si>
  <si>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</si>
  <si>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</si>
  <si>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</si>
  <si>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</si>
  <si>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</si>
  <si>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</si>
  <si>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</si>
  <si>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</si>
  <si>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</si>
  <si>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</si>
  <si>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</si>
  <si>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</si>
  <si>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</si>
  <si>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</si>
  <si>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</si>
  <si>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</si>
  <si>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</si>
  <si>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</si>
  <si>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</si>
  <si>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</si>
  <si>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</si>
  <si>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</si>
  <si>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</si>
  <si>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</si>
  <si>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</si>
  <si>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</si>
  <si>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</si>
  <si>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</si>
  <si>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</si>
  <si>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</si>
  <si>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</si>
  <si>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</si>
  <si>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</si>
  <si>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</si>
  <si>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</si>
  <si>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</si>
  <si>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</si>
  <si>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</si>
  <si>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</si>
  <si>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</si>
  <si>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</si>
  <si>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</si>
  <si>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</si>
  <si>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</si>
  <si>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</si>
  <si>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</si>
  <si>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</si>
  <si>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</si>
  <si>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</si>
  <si>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</si>
  <si>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</si>
  <si>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</si>
  <si>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</si>
  <si>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</si>
  <si>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</si>
  <si>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</si>
  <si>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</si>
  <si>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</si>
  <si>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</si>
  <si>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</si>
  <si>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</si>
  <si>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</si>
  <si>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</si>
  <si>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</si>
  <si>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</si>
  <si>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</si>
  <si>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</si>
  <si>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</si>
  <si>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</si>
  <si>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</si>
  <si>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</si>
  <si>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</si>
  <si>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</si>
  <si>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</si>
  <si>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</si>
  <si>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</si>
  <si>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</si>
  <si>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</si>
  <si>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</si>
  <si>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</si>
  <si>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</si>
  <si>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</si>
  <si>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</si>
  <si>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</si>
  <si>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</si>
  <si>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</si>
  <si>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</si>
  <si>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</si>
  <si>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</si>
  <si>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</si>
  <si>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</si>
  <si>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</si>
  <si>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</si>
  <si>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</si>
  <si>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</si>
  <si>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</si>
  <si>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</si>
  <si>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</si>
  <si>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</si>
  <si>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</si>
  <si>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</si>
  <si>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</si>
  <si>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</si>
  <si>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</si>
  <si>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</si>
  <si>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</si>
  <si>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</si>
  <si>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</si>
  <si>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</si>
  <si>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</si>
  <si>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</si>
  <si>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</si>
  <si>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</si>
  <si>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</si>
  <si>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</si>
  <si>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</si>
  <si>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</si>
  <si>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</si>
  <si>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</si>
  <si>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</si>
  <si>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</si>
  <si>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</si>
  <si>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</si>
  <si>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</si>
  <si>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</si>
  <si>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</si>
  <si>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</si>
  <si>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</si>
  <si>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</si>
  <si>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</si>
  <si>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</si>
  <si>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</si>
  <si>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</si>
  <si>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</si>
  <si>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</si>
  <si>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</si>
  <si>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</si>
  <si>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</si>
  <si>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</si>
  <si>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</si>
  <si>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</si>
  <si>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</si>
  <si>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</si>
  <si>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</si>
  <si>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</si>
  <si>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</si>
  <si>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</si>
  <si>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</si>
  <si>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</si>
  <si>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</si>
  <si>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</si>
  <si>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</si>
  <si>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</si>
  <si>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</si>
  <si>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</si>
  <si>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</si>
  <si>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</si>
  <si>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</si>
  <si>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</si>
  <si>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</si>
  <si>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</si>
  <si>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</si>
  <si>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</si>
  <si>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</si>
  <si>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</si>
  <si>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</si>
  <si>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</si>
  <si>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</si>
  <si>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</si>
  <si>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</si>
  <si>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</si>
  <si>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</si>
  <si>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</si>
  <si>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</si>
  <si>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</si>
  <si>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</si>
  <si>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</si>
  <si>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</si>
  <si>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</si>
  <si>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</si>
  <si>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</si>
  <si>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</si>
  <si>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</si>
  <si>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</si>
  <si>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</si>
  <si>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</si>
  <si>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</si>
  <si>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</si>
  <si>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</si>
  <si>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</si>
  <si>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</si>
  <si>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</si>
  <si>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</si>
  <si>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</si>
  <si>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</si>
  <si>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</si>
  <si>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</si>
  <si>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</si>
  <si>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</si>
  <si>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</si>
  <si>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</si>
  <si>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</si>
  <si>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</si>
  <si>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</si>
  <si>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</si>
  <si>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</si>
  <si>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</si>
  <si>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</si>
  <si>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</si>
  <si>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</si>
  <si>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</si>
  <si>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</si>
  <si>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</si>
  <si>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</si>
  <si>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</si>
  <si>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</si>
  <si>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</si>
  <si>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</si>
  <si>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</si>
  <si>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</si>
  <si>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</si>
  <si>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</si>
  <si>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</si>
  <si>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</si>
  <si>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</si>
  <si>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</si>
  <si>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</si>
  <si>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</si>
  <si>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</si>
  <si>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</si>
  <si>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</si>
  <si>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</si>
  <si>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</si>
  <si>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</si>
  <si>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</si>
  <si>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</si>
  <si>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</si>
  <si>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</si>
  <si>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</si>
  <si>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</si>
  <si>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</si>
  <si>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</si>
  <si>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</si>
  <si>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</si>
  <si>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</si>
  <si>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</si>
  <si>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</si>
  <si>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</si>
  <si>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</si>
  <si>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</si>
  <si>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</si>
  <si>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</si>
  <si>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</si>
  <si>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</si>
  <si>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</si>
  <si>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</si>
  <si>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</si>
  <si>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</si>
  <si>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</si>
  <si>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</si>
  <si>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</si>
  <si>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</si>
  <si>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</si>
  <si>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</si>
  <si>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</si>
  <si>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</si>
  <si>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</si>
  <si>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</si>
  <si>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</si>
  <si>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</si>
  <si>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</si>
  <si>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</si>
  <si>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</si>
  <si>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</si>
  <si>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</si>
  <si>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</si>
  <si>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</si>
  <si>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</si>
  <si>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</si>
  <si>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</si>
  <si>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</si>
  <si>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</si>
  <si>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</si>
  <si>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</si>
  <si>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</si>
  <si>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</si>
  <si>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</si>
  <si>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</si>
  <si>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</si>
  <si>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</si>
  <si>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</si>
  <si>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</si>
  <si>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</si>
  <si>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</si>
  <si>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</si>
  <si>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</si>
  <si>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</si>
  <si>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</si>
  <si>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</si>
  <si>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</si>
  <si>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</si>
  <si>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</si>
  <si>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</si>
  <si>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</si>
  <si>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</si>
  <si>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</si>
  <si>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</si>
  <si>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</si>
  <si>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</si>
  <si>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</si>
  <si>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</si>
  <si>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</si>
  <si>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</si>
  <si>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</si>
  <si>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</si>
  <si>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</si>
  <si>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</si>
  <si>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</si>
  <si>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</si>
  <si>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</si>
  <si>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</si>
  <si>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</si>
  <si>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</si>
  <si>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</si>
  <si>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</si>
  <si>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</si>
  <si>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</si>
  <si>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</si>
  <si>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</si>
  <si>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</si>
  <si>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</si>
  <si>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</si>
  <si>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</si>
  <si>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</si>
  <si>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</si>
  <si>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</si>
  <si>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</si>
  <si>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</si>
  <si>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</si>
  <si>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</si>
  <si>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</si>
  <si>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</si>
  <si>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</si>
  <si>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</si>
  <si>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</si>
  <si>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</si>
  <si>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</si>
  <si>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</si>
  <si>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</si>
  <si>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</si>
  <si>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</si>
  <si>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</si>
  <si>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</si>
  <si>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</si>
  <si>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</si>
  <si>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</si>
  <si>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</si>
  <si>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</si>
  <si>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</si>
  <si>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</si>
  <si>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</si>
  <si>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</si>
  <si>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</si>
  <si>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</si>
  <si>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</si>
  <si>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</si>
  <si>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</si>
  <si>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</si>
  <si>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</si>
  <si>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</si>
  <si>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</si>
  <si>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</si>
  <si>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</si>
  <si>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</si>
  <si>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</si>
  <si>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</si>
  <si>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</si>
  <si>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</si>
  <si>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</si>
  <si>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</si>
  <si>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</si>
  <si>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</si>
  <si>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</si>
  <si>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</si>
  <si>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</si>
  <si>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</si>
  <si>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</si>
  <si>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</si>
  <si>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</si>
  <si>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</si>
  <si>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</si>
  <si>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</si>
  <si>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</si>
  <si>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</si>
  <si>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</si>
  <si>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</si>
  <si>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</si>
  <si>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</si>
  <si>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</si>
  <si>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</si>
  <si>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</si>
  <si>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</si>
  <si>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</si>
  <si>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</si>
  <si>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</si>
  <si>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</si>
  <si>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</si>
  <si>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</si>
  <si>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</si>
  <si>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</si>
  <si>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</si>
  <si>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</si>
  <si>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</si>
  <si>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</si>
  <si>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</si>
  <si>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</si>
  <si>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</si>
  <si>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</si>
  <si>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</si>
  <si>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</si>
  <si>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</si>
  <si>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</si>
  <si>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</si>
  <si>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</si>
  <si>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</si>
  <si>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</si>
  <si>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</si>
  <si>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</si>
  <si>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</si>
  <si>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</si>
  <si>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</si>
  <si>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</si>
  <si>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</si>
  <si>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</si>
  <si>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</si>
  <si>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</si>
  <si>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</si>
  <si>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</si>
  <si>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</si>
  <si>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</si>
  <si>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</si>
  <si>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</si>
  <si>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</si>
  <si>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</si>
  <si>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</si>
  <si>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</si>
  <si>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</si>
  <si>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</si>
  <si>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</si>
  <si>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</si>
  <si>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</si>
  <si>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</si>
  <si>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</si>
  <si>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</si>
  <si>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</si>
  <si>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</si>
  <si>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</si>
  <si>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</si>
  <si>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</si>
  <si>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</si>
  <si>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</si>
  <si>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</si>
  <si>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</si>
  <si>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</si>
  <si>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</si>
  <si>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</si>
  <si>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</si>
  <si>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</si>
  <si>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</si>
  <si>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</si>
  <si>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</si>
  <si>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</si>
  <si>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</si>
  <si>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</si>
  <si>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</si>
  <si>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</si>
  <si>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</si>
  <si>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</si>
  <si>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</si>
  <si>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</si>
  <si>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</si>
  <si>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</si>
  <si>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</si>
  <si>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</si>
  <si>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</si>
  <si>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</si>
  <si>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</si>
  <si>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</si>
  <si>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</si>
  <si>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</si>
  <si>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</si>
  <si>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</si>
  <si>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</si>
  <si>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</si>
  <si>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</si>
  <si>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</si>
  <si>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</si>
  <si>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</si>
  <si>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</si>
  <si>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</si>
  <si>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</si>
  <si>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</si>
  <si>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</si>
  <si>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</si>
  <si>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</si>
  <si>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</si>
  <si>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</si>
  <si>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</si>
  <si>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</si>
  <si>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</si>
  <si>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</si>
  <si>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</si>
  <si>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</si>
  <si>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</si>
  <si>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</si>
  <si>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</si>
  <si>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</si>
  <si>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</si>
  <si>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</si>
  <si>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</si>
  <si>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</si>
  <si>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</si>
  <si>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</si>
  <si>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</si>
  <si>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</si>
  <si>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</si>
  <si>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</si>
  <si>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</si>
  <si>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</si>
  <si>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</si>
  <si>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</si>
  <si>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</si>
  <si>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</si>
  <si>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</si>
  <si>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</si>
  <si>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</si>
  <si>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</si>
  <si>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</si>
  <si>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</si>
  <si>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</si>
  <si>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</si>
  <si>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</si>
  <si>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</si>
  <si>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</si>
  <si>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</si>
  <si>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</si>
  <si>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</si>
  <si>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</si>
  <si>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</si>
  <si>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</si>
  <si>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</si>
  <si>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</si>
  <si>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</si>
  <si>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</si>
  <si>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</si>
  <si>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</si>
  <si>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</si>
  <si>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</si>
  <si>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</si>
  <si>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</si>
  <si>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</si>
  <si>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</si>
  <si>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</si>
  <si>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</si>
  <si>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</si>
  <si>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</si>
  <si>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</si>
  <si>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</si>
  <si>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</si>
  <si>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</si>
  <si>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</si>
  <si>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</si>
  <si>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</si>
  <si>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</si>
  <si>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</si>
  <si>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</si>
  <si>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</si>
  <si>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</si>
  <si>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</si>
  <si>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</si>
  <si>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</si>
  <si>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</si>
  <si>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</si>
  <si>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</si>
  <si>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</si>
  <si>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</si>
  <si>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</si>
  <si>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</si>
  <si>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</si>
  <si>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</si>
  <si>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</si>
  <si>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</si>
  <si>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</si>
  <si>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</si>
  <si>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</si>
  <si>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</si>
  <si>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</si>
  <si>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</si>
  <si>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</si>
  <si>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</si>
  <si>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</si>
  <si>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</si>
  <si>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</si>
  <si>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</si>
  <si>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</si>
  <si>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</si>
  <si>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</si>
  <si>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</si>
  <si>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</si>
  <si>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</si>
  <si>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</si>
  <si>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</si>
  <si>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</si>
  <si>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</si>
  <si>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</si>
  <si>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</si>
  <si>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</si>
  <si>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</si>
  <si>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</si>
  <si>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</si>
  <si>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</si>
  <si>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</si>
  <si>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</si>
  <si>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</si>
  <si>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</si>
  <si>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</si>
  <si>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</si>
  <si>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</si>
  <si>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</si>
  <si>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</si>
  <si>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</si>
  <si>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</si>
  <si>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</si>
  <si>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</si>
  <si>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</si>
  <si>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</si>
  <si>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</si>
  <si>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</si>
  <si>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</si>
  <si>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</si>
  <si>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</si>
  <si>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</si>
  <si>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</si>
  <si>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</si>
  <si>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</si>
  <si>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</si>
  <si>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</si>
  <si>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</si>
  <si>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</si>
  <si>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</si>
  <si>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</si>
  <si>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</si>
  <si>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</si>
  <si>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</si>
  <si>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</si>
  <si>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</si>
  <si>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</si>
  <si>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</si>
  <si>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</si>
  <si>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</si>
  <si>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</si>
  <si>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</si>
  <si>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</si>
  <si>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</si>
  <si>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</si>
  <si>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</si>
  <si>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</si>
  <si>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</si>
  <si>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</si>
  <si>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</si>
  <si>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</si>
  <si>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</si>
  <si>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</si>
  <si>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</si>
  <si>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</si>
  <si>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</si>
  <si>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</si>
  <si>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</si>
  <si>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</si>
  <si>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</si>
  <si>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</si>
  <si>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</si>
  <si>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</si>
  <si>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</si>
  <si>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</si>
  <si>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</si>
  <si>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</si>
  <si>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</si>
  <si>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</si>
  <si>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</si>
  <si>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</si>
  <si>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</si>
  <si>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</si>
  <si>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</si>
  <si>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</si>
  <si>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</si>
  <si>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</si>
  <si>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</si>
  <si>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</si>
  <si>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</si>
  <si>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</si>
  <si>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</si>
  <si>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</si>
  <si>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</si>
  <si>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</si>
  <si>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</si>
  <si>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</si>
  <si>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</si>
  <si>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</si>
  <si>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</si>
  <si>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</si>
  <si>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</si>
  <si>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</si>
  <si>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</si>
  <si>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</si>
  <si>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</si>
  <si>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</si>
  <si>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</si>
  <si>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</si>
  <si>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</si>
  <si>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</si>
  <si>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</si>
  <si>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</si>
  <si>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</si>
  <si>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</si>
  <si>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</si>
  <si>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</si>
  <si>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</si>
  <si>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</si>
  <si>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</si>
  <si>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</si>
  <si>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</si>
  <si>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</si>
  <si>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</si>
  <si>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</si>
  <si>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</si>
  <si>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</si>
  <si>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</si>
  <si>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</si>
  <si>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</si>
  <si>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</si>
  <si>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</si>
  <si>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</si>
  <si>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</si>
  <si>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</si>
  <si>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</si>
  <si>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</si>
  <si>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</si>
  <si>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</si>
  <si>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</si>
  <si>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</si>
  <si>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</si>
  <si>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</si>
  <si>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</si>
  <si>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</si>
  <si>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</si>
  <si>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</si>
  <si>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</si>
  <si>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</si>
  <si>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</si>
  <si>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Count of TX ID</t>
  </si>
  <si>
    <t>Sum of Quantity</t>
  </si>
  <si>
    <t>Sum of Amount</t>
  </si>
  <si>
    <t>Average of Rating C</t>
  </si>
  <si>
    <t>Average of Days to Deliver</t>
  </si>
  <si>
    <t>values for display</t>
  </si>
  <si>
    <t>orders</t>
  </si>
  <si>
    <t>Qty</t>
  </si>
  <si>
    <t>avg rating</t>
  </si>
  <si>
    <t>avg days</t>
  </si>
  <si>
    <t>Sum of Sum of Quantity</t>
  </si>
  <si>
    <t>Sum of Sum of Amount</t>
  </si>
  <si>
    <t>Row Labels</t>
  </si>
  <si>
    <t>(blank)</t>
  </si>
  <si>
    <t>Grand Total</t>
  </si>
  <si>
    <t>Column Labels</t>
  </si>
  <si>
    <t>Female</t>
  </si>
  <si>
    <t>Male</t>
  </si>
  <si>
    <t>Other</t>
  </si>
  <si>
    <t>Unknown</t>
  </si>
  <si>
    <t>for matrix</t>
  </si>
  <si>
    <t>de</t>
  </si>
  <si>
    <t>6 to 10</t>
  </si>
  <si>
    <t>more than 10</t>
  </si>
  <si>
    <t>&lt;01-01-2025</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</si>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</sst>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quot;₹&quot;\ #,##0"/>
    <numFmt numFmtId="166" formatCode="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s>
  <borders count="4">
    <border>
      <left/>
      <right/>
      <top/>
      <bottom/>
      <diagonal/>
    </border>
    <border>
      <left/>
      <right/>
      <top/>
      <bottom style="thin">
        <color theme="4" tint="0.39997558519241921"/>
      </bottom>
      <diagonal/>
    </border>
    <border diagonalUp="1">
      <left/>
      <right/>
      <top/>
      <bottom/>
      <diagonal style="thick">
        <color auto="1"/>
      </diagonal>
    </border>
    <border>
      <left style="thick">
        <color theme="0"/>
      </left>
      <right style="thick">
        <color theme="0"/>
      </right>
      <top style="thick">
        <color theme="0"/>
      </top>
      <bottom style="thick">
        <color theme="0"/>
      </bottom>
      <diagonal/>
    </border>
  </borders>
  <cellStyleXfs count="1">
    <xf numFmtId="0" fontId="0" fillId="0" borderId="0"/>
  </cellStyleXfs>
  <cellXfs count="14">
    <xf numFmtId="0" fontId="0" fillId="0" borderId="0" xfId="0"/>
    <xf numFmtId="0" fontId="0" fillId="2" borderId="0" xfId="0" applyFill="1"/>
    <xf numFmtId="15" fontId="0" fillId="0" borderId="0" xfId="0" applyNumberFormat="1"/>
    <xf numFmtId="0" fontId="0" fillId="0" borderId="0" xfId="0" applyNumberFormat="1"/>
    <xf numFmtId="0" fontId="1" fillId="3" borderId="1" xfId="0" applyFont="1" applyFill="1" applyBorder="1"/>
    <xf numFmtId="0" fontId="0" fillId="0" borderId="0" xfId="0" pivotButton="1"/>
    <xf numFmtId="0" fontId="0" fillId="0" borderId="0" xfId="0" applyAlignment="1">
      <alignment horizontal="left"/>
    </xf>
    <xf numFmtId="165" fontId="0" fillId="0" borderId="0" xfId="0" applyNumberFormat="1"/>
    <xf numFmtId="10" fontId="0" fillId="0" borderId="0" xfId="0" applyNumberFormat="1"/>
    <xf numFmtId="0" fontId="0" fillId="0" borderId="2" xfId="0" applyBorder="1"/>
    <xf numFmtId="0" fontId="0" fillId="0" borderId="3" xfId="0" applyBorder="1"/>
    <xf numFmtId="166" fontId="0" fillId="0" borderId="3" xfId="0" applyNumberFormat="1" applyBorder="1"/>
    <xf numFmtId="0" fontId="1" fillId="0" borderId="0" xfId="0" applyFont="1"/>
    <xf numFmtId="0" fontId="1" fillId="0" borderId="1" xfId="0" applyFont="1" applyBorder="1"/>
  </cellXfs>
  <cellStyles count="1">
    <cellStyle name="Normal" xfId="0" builtinId="0"/>
  </cellStyles>
  <dxfs count="5">
    <dxf>
      <numFmt numFmtId="0" formatCode="General"/>
    </dxf>
    <dxf>
      <numFmt numFmtId="0" formatCode="General"/>
    </dxf>
    <dxf>
      <numFmt numFmtId="0" formatCode="General"/>
    </dxf>
    <dxf>
      <numFmt numFmtId="164" formatCode="d\-mmm\-yy"/>
    </dxf>
    <dxf>
      <numFmt numFmtId="164"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59679089682203"/>
          <c:y val="7.407407407407407E-2"/>
          <c:w val="0.81892869641294841"/>
          <c:h val="0.8416746864975212"/>
        </c:manualLayout>
      </c:layout>
      <c:barChart>
        <c:barDir val="col"/>
        <c:grouping val="clustered"/>
        <c:varyColors val="0"/>
        <c:ser>
          <c:idx val="0"/>
          <c:order val="0"/>
          <c:tx>
            <c:v>1</c:v>
          </c:tx>
          <c:spPr>
            <a:solidFill>
              <a:schemeClr val="accent1"/>
            </a:solidFill>
            <a:ln>
              <a:noFill/>
            </a:ln>
            <a:effectLst/>
          </c:spPr>
          <c:invertIfNegative val="0"/>
          <c:cat>
            <c:strLit>
              <c:ptCount val="3"/>
              <c:pt idx="0">
                <c:v>Jan</c:v>
              </c:pt>
              <c:pt idx="1">
                <c:v>Feb</c:v>
              </c:pt>
              <c:pt idx="2">
                <c:v>Mar</c:v>
              </c:pt>
            </c:strLit>
          </c:cat>
          <c:val>
            <c:numLit>
              <c:formatCode>General</c:formatCode>
              <c:ptCount val="3"/>
              <c:pt idx="0">
                <c:v>0</c:v>
              </c:pt>
              <c:pt idx="1">
                <c:v>0</c:v>
              </c:pt>
              <c:pt idx="2">
                <c:v>0</c:v>
              </c:pt>
            </c:numLit>
          </c:val>
          <c:extLst>
            <c:ext xmlns:c16="http://schemas.microsoft.com/office/drawing/2014/chart" uri="{C3380CC4-5D6E-409C-BE32-E72D297353CC}">
              <c16:uniqueId val="{00000000-FE75-49D8-8887-72F5B4140F89}"/>
            </c:ext>
          </c:extLst>
        </c:ser>
        <c:ser>
          <c:idx val="1"/>
          <c:order val="1"/>
          <c:tx>
            <c:v>2</c:v>
          </c:tx>
          <c:spPr>
            <a:solidFill>
              <a:schemeClr val="accent2"/>
            </a:solidFill>
            <a:ln>
              <a:noFill/>
            </a:ln>
            <a:effectLst/>
          </c:spPr>
          <c:invertIfNegative val="0"/>
          <c:cat>
            <c:strLit>
              <c:ptCount val="3"/>
              <c:pt idx="0">
                <c:v>Jan</c:v>
              </c:pt>
              <c:pt idx="1">
                <c:v>Feb</c:v>
              </c:pt>
              <c:pt idx="2">
                <c:v>Mar</c:v>
              </c:pt>
            </c:strLit>
          </c:cat>
          <c:val>
            <c:numLit>
              <c:formatCode>General</c:formatCode>
              <c:ptCount val="3"/>
              <c:pt idx="0">
                <c:v>0</c:v>
              </c:pt>
              <c:pt idx="1">
                <c:v>0</c:v>
              </c:pt>
              <c:pt idx="2">
                <c:v>0</c:v>
              </c:pt>
            </c:numLit>
          </c:val>
          <c:extLst>
            <c:ext xmlns:c16="http://schemas.microsoft.com/office/drawing/2014/chart" uri="{C3380CC4-5D6E-409C-BE32-E72D297353CC}">
              <c16:uniqueId val="{00000001-FE75-49D8-8887-72F5B4140F89}"/>
            </c:ext>
          </c:extLst>
        </c:ser>
        <c:ser>
          <c:idx val="2"/>
          <c:order val="2"/>
          <c:tx>
            <c:v>3</c:v>
          </c:tx>
          <c:spPr>
            <a:solidFill>
              <a:schemeClr val="accent3"/>
            </a:solidFill>
            <a:ln>
              <a:noFill/>
            </a:ln>
            <a:effectLst/>
          </c:spPr>
          <c:invertIfNegative val="0"/>
          <c:cat>
            <c:strLit>
              <c:ptCount val="3"/>
              <c:pt idx="0">
                <c:v>Jan</c:v>
              </c:pt>
              <c:pt idx="1">
                <c:v>Feb</c:v>
              </c:pt>
              <c:pt idx="2">
                <c:v>Mar</c:v>
              </c:pt>
            </c:strLit>
          </c:cat>
          <c:val>
            <c:numLit>
              <c:formatCode>General</c:formatCode>
              <c:ptCount val="3"/>
              <c:pt idx="0">
                <c:v>0</c:v>
              </c:pt>
              <c:pt idx="1">
                <c:v>0</c:v>
              </c:pt>
              <c:pt idx="2">
                <c:v>0</c:v>
              </c:pt>
            </c:numLit>
          </c:val>
          <c:extLst>
            <c:ext xmlns:c16="http://schemas.microsoft.com/office/drawing/2014/chart" uri="{C3380CC4-5D6E-409C-BE32-E72D297353CC}">
              <c16:uniqueId val="{00000002-FE75-49D8-8887-72F5B4140F89}"/>
            </c:ext>
          </c:extLst>
        </c:ser>
        <c:ser>
          <c:idx val="3"/>
          <c:order val="3"/>
          <c:tx>
            <c:v>4</c:v>
          </c:tx>
          <c:spPr>
            <a:solidFill>
              <a:schemeClr val="accent4"/>
            </a:solidFill>
            <a:ln>
              <a:noFill/>
            </a:ln>
            <a:effectLst/>
          </c:spPr>
          <c:invertIfNegative val="0"/>
          <c:cat>
            <c:strLit>
              <c:ptCount val="3"/>
              <c:pt idx="0">
                <c:v>Jan</c:v>
              </c:pt>
              <c:pt idx="1">
                <c:v>Feb</c:v>
              </c:pt>
              <c:pt idx="2">
                <c:v>Mar</c:v>
              </c:pt>
            </c:strLit>
          </c:cat>
          <c:val>
            <c:numLit>
              <c:formatCode>General</c:formatCode>
              <c:ptCount val="3"/>
              <c:pt idx="0">
                <c:v>0</c:v>
              </c:pt>
              <c:pt idx="1">
                <c:v>0</c:v>
              </c:pt>
              <c:pt idx="2">
                <c:v>0</c:v>
              </c:pt>
            </c:numLit>
          </c:val>
          <c:extLst>
            <c:ext xmlns:c16="http://schemas.microsoft.com/office/drawing/2014/chart" uri="{C3380CC4-5D6E-409C-BE32-E72D297353CC}">
              <c16:uniqueId val="{00000004-FE75-49D8-8887-72F5B4140F89}"/>
            </c:ext>
          </c:extLst>
        </c:ser>
        <c:ser>
          <c:idx val="4"/>
          <c:order val="4"/>
          <c:tx>
            <c:v>5</c:v>
          </c:tx>
          <c:spPr>
            <a:solidFill>
              <a:schemeClr val="accent5"/>
            </a:solidFill>
            <a:ln>
              <a:noFill/>
            </a:ln>
            <a:effectLst/>
          </c:spPr>
          <c:invertIfNegative val="0"/>
          <c:cat>
            <c:strLit>
              <c:ptCount val="3"/>
              <c:pt idx="0">
                <c:v>Jan</c:v>
              </c:pt>
              <c:pt idx="1">
                <c:v>Feb</c:v>
              </c:pt>
              <c:pt idx="2">
                <c:v>Mar</c:v>
              </c:pt>
            </c:strLit>
          </c:cat>
          <c:val>
            <c:numLit>
              <c:formatCode>General</c:formatCode>
              <c:ptCount val="3"/>
              <c:pt idx="0">
                <c:v>0</c:v>
              </c:pt>
              <c:pt idx="1">
                <c:v>0</c:v>
              </c:pt>
              <c:pt idx="2">
                <c:v>0</c:v>
              </c:pt>
            </c:numLit>
          </c:val>
          <c:extLst>
            <c:ext xmlns:c16="http://schemas.microsoft.com/office/drawing/2014/chart" uri="{C3380CC4-5D6E-409C-BE32-E72D297353CC}">
              <c16:uniqueId val="{00000005-FE75-49D8-8887-72F5B4140F89}"/>
            </c:ext>
          </c:extLst>
        </c:ser>
        <c:dLbls>
          <c:showLegendKey val="0"/>
          <c:showVal val="0"/>
          <c:showCatName val="0"/>
          <c:showSerName val="0"/>
          <c:showPercent val="0"/>
          <c:showBubbleSize val="0"/>
        </c:dLbls>
        <c:gapWidth val="219"/>
        <c:overlap val="-27"/>
        <c:axId val="2060147984"/>
        <c:axId val="1590353680"/>
      </c:barChart>
      <c:catAx>
        <c:axId val="206014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353680"/>
        <c:crosses val="autoZero"/>
        <c:auto val="1"/>
        <c:lblAlgn val="ctr"/>
        <c:lblOffset val="100"/>
        <c:noMultiLvlLbl val="0"/>
      </c:catAx>
      <c:valAx>
        <c:axId val="1590353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147984"/>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1.xlsx]pivot table!pivot table trend</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Last 13 week trends-</a:t>
            </a:r>
            <a:r>
              <a:rPr lang="en-IN" b="1" baseline="0"/>
              <a:t> Qty &amp; Amt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054465359128404E-2"/>
          <c:y val="7.3333335739282662E-2"/>
          <c:w val="0.77972801320964114"/>
          <c:h val="0.77573424461070362"/>
        </c:manualLayout>
      </c:layout>
      <c:lineChart>
        <c:grouping val="standard"/>
        <c:varyColors val="0"/>
        <c:ser>
          <c:idx val="0"/>
          <c:order val="0"/>
          <c:tx>
            <c:strRef>
              <c:f>'pivot table'!$H$11</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table'!$G$12:$G$26</c:f>
              <c:strCach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(blank)</c:v>
                </c:pt>
              </c:strCache>
            </c:strRef>
          </c:cat>
          <c:val>
            <c:numRef>
              <c:f>'pivot table'!$H$12:$H$26</c:f>
              <c:numCache>
                <c:formatCode>General</c:formatCode>
                <c:ptCount val="14"/>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6883-405B-A62B-EE48D98BA09E}"/>
            </c:ext>
          </c:extLst>
        </c:ser>
        <c:dLbls>
          <c:showLegendKey val="0"/>
          <c:showVal val="0"/>
          <c:showCatName val="0"/>
          <c:showSerName val="0"/>
          <c:showPercent val="0"/>
          <c:showBubbleSize val="0"/>
        </c:dLbls>
        <c:marker val="1"/>
        <c:smooth val="0"/>
        <c:axId val="1800570736"/>
        <c:axId val="1692633040"/>
      </c:lineChart>
      <c:lineChart>
        <c:grouping val="standard"/>
        <c:varyColors val="0"/>
        <c:ser>
          <c:idx val="1"/>
          <c:order val="1"/>
          <c:tx>
            <c:strRef>
              <c:f>'pivot table'!$I$11</c:f>
              <c:strCache>
                <c:ptCount val="1"/>
                <c:pt idx="0">
                  <c:v>Sum of Amount</c:v>
                </c:pt>
              </c:strCache>
            </c:strRef>
          </c:tx>
          <c:spPr>
            <a:ln w="28575" cap="rnd">
              <a:solidFill>
                <a:schemeClr val="accent2"/>
              </a:solidFill>
              <a:round/>
            </a:ln>
            <a:effectLst/>
          </c:spPr>
          <c:marker>
            <c:symbol val="none"/>
          </c:marker>
          <c:cat>
            <c:strRef>
              <c:f>'pivot table'!$G$12:$G$26</c:f>
              <c:strCach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(blank)</c:v>
                </c:pt>
              </c:strCache>
            </c:strRef>
          </c:cat>
          <c:val>
            <c:numRef>
              <c:f>'pivot table'!$I$12:$I$26</c:f>
              <c:numCache>
                <c:formatCode>"₹"\ #,##0</c:formatCode>
                <c:ptCount val="14"/>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6883-405B-A62B-EE48D98BA09E}"/>
            </c:ext>
          </c:extLst>
        </c:ser>
        <c:dLbls>
          <c:showLegendKey val="0"/>
          <c:showVal val="0"/>
          <c:showCatName val="0"/>
          <c:showSerName val="0"/>
          <c:showPercent val="0"/>
          <c:showBubbleSize val="0"/>
        </c:dLbls>
        <c:marker val="1"/>
        <c:smooth val="0"/>
        <c:axId val="1707998512"/>
        <c:axId val="1692632560"/>
      </c:lineChart>
      <c:catAx>
        <c:axId val="180057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633040"/>
        <c:crosses val="autoZero"/>
        <c:auto val="1"/>
        <c:lblAlgn val="ctr"/>
        <c:lblOffset val="100"/>
        <c:noMultiLvlLbl val="0"/>
      </c:catAx>
      <c:valAx>
        <c:axId val="1692633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570736"/>
        <c:crosses val="autoZero"/>
        <c:crossBetween val="between"/>
      </c:valAx>
      <c:valAx>
        <c:axId val="1692632560"/>
        <c:scaling>
          <c:orientation val="minMax"/>
        </c:scaling>
        <c:delete val="0"/>
        <c:axPos val="r"/>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998512"/>
        <c:crosses val="max"/>
        <c:crossBetween val="between"/>
      </c:valAx>
      <c:catAx>
        <c:axId val="1707998512"/>
        <c:scaling>
          <c:orientation val="minMax"/>
        </c:scaling>
        <c:delete val="1"/>
        <c:axPos val="b"/>
        <c:numFmt formatCode="General" sourceLinked="1"/>
        <c:majorTickMark val="out"/>
        <c:minorTickMark val="none"/>
        <c:tickLblPos val="nextTo"/>
        <c:crossAx val="1692632560"/>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1.xlsx]pivot table!pvt product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a:t>
            </a:r>
            <a:r>
              <a:rPr lang="en-US" b="1" baseline="0"/>
              <a:t> many they buy?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table'!$B$15</c:f>
              <c:strCache>
                <c:ptCount val="1"/>
                <c:pt idx="0">
                  <c:v>Total</c:v>
                </c:pt>
              </c:strCache>
            </c:strRef>
          </c:tx>
          <c:spPr>
            <a:solidFill>
              <a:schemeClr val="accent1"/>
            </a:solidFill>
            <a:ln>
              <a:noFill/>
            </a:ln>
            <a:effectLst/>
          </c:spPr>
          <c:invertIfNegative val="0"/>
          <c:cat>
            <c:strRef>
              <c:f>'pivot table'!$A$16:$A$23</c:f>
              <c:strCache>
                <c:ptCount val="7"/>
                <c:pt idx="0">
                  <c:v>1</c:v>
                </c:pt>
                <c:pt idx="1">
                  <c:v>2</c:v>
                </c:pt>
                <c:pt idx="2">
                  <c:v>3</c:v>
                </c:pt>
                <c:pt idx="3">
                  <c:v>4</c:v>
                </c:pt>
                <c:pt idx="4">
                  <c:v>5</c:v>
                </c:pt>
                <c:pt idx="5">
                  <c:v>6 to 10</c:v>
                </c:pt>
                <c:pt idx="6">
                  <c:v>more than 10</c:v>
                </c:pt>
              </c:strCache>
            </c:strRef>
          </c:cat>
          <c:val>
            <c:numRef>
              <c:f>'pivot table'!$B$16:$B$23</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711E-48B7-A65F-D26FA47A1BA4}"/>
            </c:ext>
          </c:extLst>
        </c:ser>
        <c:dLbls>
          <c:showLegendKey val="0"/>
          <c:showVal val="0"/>
          <c:showCatName val="0"/>
          <c:showSerName val="0"/>
          <c:showPercent val="0"/>
          <c:showBubbleSize val="0"/>
        </c:dLbls>
        <c:gapWidth val="10"/>
        <c:overlap val="-27"/>
        <c:axId val="1792009664"/>
        <c:axId val="1578047984"/>
      </c:barChart>
      <c:catAx>
        <c:axId val="179200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047984"/>
        <c:crosses val="autoZero"/>
        <c:auto val="1"/>
        <c:lblAlgn val="ctr"/>
        <c:lblOffset val="100"/>
        <c:noMultiLvlLbl val="0"/>
      </c:catAx>
      <c:valAx>
        <c:axId val="1578047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00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1.xlsx]pivot table!pivottable gender</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Which</a:t>
            </a:r>
            <a:r>
              <a:rPr lang="en-IN" b="1" baseline="0"/>
              <a:t> product are popular ? Breakdown by gender.</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table'!$B$26:$B$27</c:f>
              <c:strCache>
                <c:ptCount val="1"/>
                <c:pt idx="0">
                  <c:v>Female</c:v>
                </c:pt>
              </c:strCache>
            </c:strRef>
          </c:tx>
          <c:spPr>
            <a:solidFill>
              <a:schemeClr val="accent1"/>
            </a:solidFill>
            <a:ln>
              <a:noFill/>
            </a:ln>
            <a:effectLst/>
          </c:spPr>
          <c:invertIfNegative val="0"/>
          <c:cat>
            <c:strRef>
              <c:f>'pivot table'!$A$28:$A$48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table'!$B$28:$B$48</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1FAD-409D-B047-7A9FC7F19608}"/>
            </c:ext>
          </c:extLst>
        </c:ser>
        <c:ser>
          <c:idx val="1"/>
          <c:order val="1"/>
          <c:tx>
            <c:strRef>
              <c:f>'pivot table'!$C$26:$C$27</c:f>
              <c:strCache>
                <c:ptCount val="1"/>
                <c:pt idx="0">
                  <c:v>Male</c:v>
                </c:pt>
              </c:strCache>
            </c:strRef>
          </c:tx>
          <c:spPr>
            <a:solidFill>
              <a:schemeClr val="accent2"/>
            </a:solidFill>
            <a:ln>
              <a:noFill/>
            </a:ln>
            <a:effectLst/>
          </c:spPr>
          <c:invertIfNegative val="0"/>
          <c:cat>
            <c:strRef>
              <c:f>'pivot table'!$A$28:$A$48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table'!$C$28:$C$48</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14-1FAD-409D-B047-7A9FC7F19608}"/>
            </c:ext>
          </c:extLst>
        </c:ser>
        <c:ser>
          <c:idx val="2"/>
          <c:order val="2"/>
          <c:tx>
            <c:strRef>
              <c:f>'pivot table'!$D$26:$D$27</c:f>
              <c:strCache>
                <c:ptCount val="1"/>
                <c:pt idx="0">
                  <c:v>Other</c:v>
                </c:pt>
              </c:strCache>
            </c:strRef>
          </c:tx>
          <c:spPr>
            <a:solidFill>
              <a:schemeClr val="accent3"/>
            </a:solidFill>
            <a:ln>
              <a:noFill/>
            </a:ln>
            <a:effectLst/>
          </c:spPr>
          <c:invertIfNegative val="0"/>
          <c:cat>
            <c:strRef>
              <c:f>'pivot table'!$A$28:$A$48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table'!$D$28:$D$48</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15-1FAD-409D-B047-7A9FC7F19608}"/>
            </c:ext>
          </c:extLst>
        </c:ser>
        <c:ser>
          <c:idx val="3"/>
          <c:order val="3"/>
          <c:tx>
            <c:strRef>
              <c:f>'pivot table'!$E$26:$E$27</c:f>
              <c:strCache>
                <c:ptCount val="1"/>
                <c:pt idx="0">
                  <c:v>Unknown</c:v>
                </c:pt>
              </c:strCache>
            </c:strRef>
          </c:tx>
          <c:spPr>
            <a:solidFill>
              <a:schemeClr val="accent4"/>
            </a:solidFill>
            <a:ln>
              <a:noFill/>
            </a:ln>
            <a:effectLst/>
          </c:spPr>
          <c:invertIfNegative val="0"/>
          <c:cat>
            <c:strRef>
              <c:f>'pivot table'!$A$28:$A$48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table'!$E$28:$E$48</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16-1FAD-409D-B047-7A9FC7F19608}"/>
            </c:ext>
          </c:extLst>
        </c:ser>
        <c:dLbls>
          <c:showLegendKey val="0"/>
          <c:showVal val="0"/>
          <c:showCatName val="0"/>
          <c:showSerName val="0"/>
          <c:showPercent val="0"/>
          <c:showBubbleSize val="0"/>
        </c:dLbls>
        <c:gapWidth val="15"/>
        <c:overlap val="100"/>
        <c:axId val="1939308352"/>
        <c:axId val="1692653200"/>
      </c:barChart>
      <c:catAx>
        <c:axId val="1939308352"/>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653200"/>
        <c:crosses val="autoZero"/>
        <c:auto val="1"/>
        <c:lblAlgn val="ctr"/>
        <c:lblOffset val="100"/>
        <c:noMultiLvlLbl val="0"/>
      </c:catAx>
      <c:valAx>
        <c:axId val="1692653200"/>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30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1.xlsx]pivot table!PivotTable11</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1.092169644250901E-2"/>
              <c:y val="6.19810404286940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840094208745869"/>
                  <c:h val="0.24339720831023706"/>
                </c:manualLayout>
              </c15:layout>
            </c:ext>
          </c:extLst>
        </c:dLbl>
      </c:pivotFmt>
      <c:pivotFmt>
        <c:idx val="9"/>
        <c:spPr>
          <a:solidFill>
            <a:schemeClr val="accent1"/>
          </a:solidFill>
          <a:ln w="19050">
            <a:solidFill>
              <a:schemeClr val="lt1"/>
            </a:solidFill>
          </a:ln>
          <a:effectLst/>
        </c:spPr>
        <c:dLbl>
          <c:idx val="0"/>
          <c:layout>
            <c:manualLayout>
              <c:x val="-4.9717476524885409E-2"/>
              <c:y val="0.163108001128142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4293774500904557"/>
              <c:y val="6.524320045125690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23305067121040024"/>
              <c:y val="1.3877787807814457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192060177720407"/>
                  <c:h val="0.23687288826511141"/>
                </c:manualLayout>
              </c15:layout>
            </c:ext>
          </c:extLst>
        </c:dLbl>
      </c:pivotFmt>
      <c:pivotFmt>
        <c:idx val="12"/>
        <c:spPr>
          <a:solidFill>
            <a:schemeClr val="accent1"/>
          </a:solidFill>
          <a:ln w="19050">
            <a:solidFill>
              <a:schemeClr val="lt1"/>
            </a:solidFill>
          </a:ln>
          <a:effectLst/>
        </c:spPr>
      </c:pivotFmt>
    </c:pivotFmts>
    <c:plotArea>
      <c:layout>
        <c:manualLayout>
          <c:layoutTarget val="inner"/>
          <c:xMode val="edge"/>
          <c:yMode val="edge"/>
          <c:x val="0.12988236797734859"/>
          <c:y val="6.3041004701590769E-2"/>
          <c:w val="0.7957776356501709"/>
          <c:h val="0.8354258249026616"/>
        </c:manualLayout>
      </c:layout>
      <c:doughnutChart>
        <c:varyColors val="1"/>
        <c:ser>
          <c:idx val="0"/>
          <c:order val="0"/>
          <c:tx>
            <c:strRef>
              <c:f>'pivot table'!$H$28</c:f>
              <c:strCache>
                <c:ptCount val="1"/>
                <c:pt idx="0">
                  <c:v>Total</c:v>
                </c:pt>
              </c:strCache>
            </c:strRef>
          </c:tx>
          <c:explosion val="5"/>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6A-43B8-8561-469D6BA61D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36A-43B8-8561-469D6BA61D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36A-43B8-8561-469D6BA61D5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36A-43B8-8561-469D6BA61D5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36A-43B8-8561-469D6BA61D53}"/>
              </c:ext>
            </c:extLst>
          </c:dPt>
          <c:dLbls>
            <c:dLbl>
              <c:idx val="0"/>
              <c:layout>
                <c:manualLayout>
                  <c:x val="1.092169644250901E-2"/>
                  <c:y val="6.19810404286940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840094208745869"/>
                      <c:h val="0.24339720831023706"/>
                    </c:manualLayout>
                  </c15:layout>
                </c:ext>
                <c:ext xmlns:c16="http://schemas.microsoft.com/office/drawing/2014/chart" uri="{C3380CC4-5D6E-409C-BE32-E72D297353CC}">
                  <c16:uniqueId val="{00000001-B36A-43B8-8561-469D6BA61D53}"/>
                </c:ext>
              </c:extLst>
            </c:dLbl>
            <c:dLbl>
              <c:idx val="1"/>
              <c:layout>
                <c:manualLayout>
                  <c:x val="-4.9717476524885409E-2"/>
                  <c:y val="0.1631080011281422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36A-43B8-8561-469D6BA61D53}"/>
                </c:ext>
              </c:extLst>
            </c:dLbl>
            <c:dLbl>
              <c:idx val="2"/>
              <c:layout>
                <c:manualLayout>
                  <c:x val="-0.14293774500904557"/>
                  <c:y val="6.5243200451256906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36A-43B8-8561-469D6BA61D53}"/>
                </c:ext>
              </c:extLst>
            </c:dLbl>
            <c:dLbl>
              <c:idx val="3"/>
              <c:layout>
                <c:manualLayout>
                  <c:x val="0.23305067121040024"/>
                  <c:y val="1.3877787807814457E-17"/>
                </c:manualLayout>
              </c:layout>
              <c:showLegendKey val="0"/>
              <c:showVal val="0"/>
              <c:showCatName val="1"/>
              <c:showSerName val="0"/>
              <c:showPercent val="1"/>
              <c:showBubbleSize val="0"/>
              <c:extLst>
                <c:ext xmlns:c15="http://schemas.microsoft.com/office/drawing/2012/chart" uri="{CE6537A1-D6FC-4f65-9D91-7224C49458BB}">
                  <c15:layout>
                    <c:manualLayout>
                      <c:w val="0.28192060177720407"/>
                      <c:h val="0.23687288826511141"/>
                    </c:manualLayout>
                  </c15:layout>
                </c:ext>
                <c:ext xmlns:c16="http://schemas.microsoft.com/office/drawing/2014/chart" uri="{C3380CC4-5D6E-409C-BE32-E72D297353CC}">
                  <c16:uniqueId val="{00000007-B36A-43B8-8561-469D6BA61D5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table'!$G$29:$G$34</c:f>
              <c:strCache>
                <c:ptCount val="5"/>
                <c:pt idx="0">
                  <c:v>Female</c:v>
                </c:pt>
                <c:pt idx="1">
                  <c:v>Male</c:v>
                </c:pt>
                <c:pt idx="2">
                  <c:v>Other</c:v>
                </c:pt>
                <c:pt idx="3">
                  <c:v>Unknown</c:v>
                </c:pt>
                <c:pt idx="4">
                  <c:v>(blank)</c:v>
                </c:pt>
              </c:strCache>
            </c:strRef>
          </c:cat>
          <c:val>
            <c:numRef>
              <c:f>'pivot table'!$H$29:$H$34</c:f>
              <c:numCache>
                <c:formatCode>General</c:formatCode>
                <c:ptCount val="5"/>
                <c:pt idx="0">
                  <c:v>6272</c:v>
                </c:pt>
                <c:pt idx="1">
                  <c:v>4672</c:v>
                </c:pt>
                <c:pt idx="2">
                  <c:v>317</c:v>
                </c:pt>
                <c:pt idx="3">
                  <c:v>736</c:v>
                </c:pt>
              </c:numCache>
            </c:numRef>
          </c:val>
          <c:extLst>
            <c:ext xmlns:c16="http://schemas.microsoft.com/office/drawing/2014/chart" uri="{C3380CC4-5D6E-409C-BE32-E72D297353CC}">
              <c16:uniqueId val="{0000000A-B36A-43B8-8561-469D6BA61D53}"/>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1.xlsx]pivot table!pivot table duration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How</a:t>
            </a:r>
            <a:r>
              <a:rPr lang="en-IN" b="1" baseline="0"/>
              <a:t> long we take to ship?</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81714716629178"/>
          <c:y val="0.29004192184310296"/>
          <c:w val="0.76112270341207344"/>
          <c:h val="0.46953813065033539"/>
        </c:manualLayout>
      </c:layout>
      <c:barChart>
        <c:barDir val="col"/>
        <c:grouping val="stacked"/>
        <c:varyColors val="0"/>
        <c:ser>
          <c:idx val="0"/>
          <c:order val="0"/>
          <c:tx>
            <c:strRef>
              <c:f>'pivot table'!$B$116</c:f>
              <c:strCache>
                <c:ptCount val="1"/>
                <c:pt idx="0">
                  <c:v>Total</c:v>
                </c:pt>
              </c:strCache>
            </c:strRef>
          </c:tx>
          <c:spPr>
            <a:solidFill>
              <a:schemeClr val="accent1"/>
            </a:solidFill>
            <a:ln>
              <a:noFill/>
            </a:ln>
            <a:effectLst/>
          </c:spPr>
          <c:invertIfNegative val="0"/>
          <c:cat>
            <c:strRef>
              <c:f>'pivot table'!$A$117:$A$133</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(blank)</c:v>
                </c:pt>
              </c:strCache>
            </c:strRef>
          </c:cat>
          <c:val>
            <c:numRef>
              <c:f>'pivot table'!$B$117:$B$133</c:f>
              <c:numCache>
                <c:formatCode>General</c:formatCode>
                <c:ptCount val="16"/>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170D-4244-A3BE-5F5C873DF2CE}"/>
            </c:ext>
          </c:extLst>
        </c:ser>
        <c:dLbls>
          <c:showLegendKey val="0"/>
          <c:showVal val="0"/>
          <c:showCatName val="0"/>
          <c:showSerName val="0"/>
          <c:showPercent val="0"/>
          <c:showBubbleSize val="0"/>
        </c:dLbls>
        <c:gapWidth val="15"/>
        <c:overlap val="100"/>
        <c:axId val="2054404960"/>
        <c:axId val="1577997104"/>
      </c:barChart>
      <c:catAx>
        <c:axId val="205440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997104"/>
        <c:crosses val="autoZero"/>
        <c:auto val="1"/>
        <c:lblAlgn val="ctr"/>
        <c:lblOffset val="100"/>
        <c:noMultiLvlLbl val="0"/>
      </c:catAx>
      <c:valAx>
        <c:axId val="1577997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404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1.xlsx]pivot table!PivotTable rating</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How</a:t>
            </a:r>
            <a:r>
              <a:rPr lang="en-IN" b="1" baseline="0"/>
              <a:t> satisfied are our customers ?</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table'!$D$173:$D$174</c:f>
              <c:strCache>
                <c:ptCount val="1"/>
                <c:pt idx="0">
                  <c:v>1</c:v>
                </c:pt>
              </c:strCache>
            </c:strRef>
          </c:tx>
          <c:spPr>
            <a:solidFill>
              <a:schemeClr val="accent1"/>
            </a:solidFill>
            <a:ln>
              <a:noFill/>
            </a:ln>
            <a:effectLst/>
          </c:spPr>
          <c:invertIfNegative val="0"/>
          <c:cat>
            <c:strRef>
              <c:f>'pivot table'!$C$175:$C$179</c:f>
              <c:strCache>
                <c:ptCount val="4"/>
                <c:pt idx="0">
                  <c:v>&lt;01-01-2025</c:v>
                </c:pt>
                <c:pt idx="1">
                  <c:v>Jan</c:v>
                </c:pt>
                <c:pt idx="2">
                  <c:v>Feb</c:v>
                </c:pt>
                <c:pt idx="3">
                  <c:v>Mar</c:v>
                </c:pt>
              </c:strCache>
            </c:strRef>
          </c:cat>
          <c:val>
            <c:numRef>
              <c:f>'pivot table'!$D$175:$D$179</c:f>
              <c:numCache>
                <c:formatCode>General</c:formatCode>
                <c:ptCount val="4"/>
                <c:pt idx="1">
                  <c:v>7</c:v>
                </c:pt>
                <c:pt idx="2">
                  <c:v>8</c:v>
                </c:pt>
                <c:pt idx="3">
                  <c:v>6</c:v>
                </c:pt>
              </c:numCache>
            </c:numRef>
          </c:val>
          <c:extLst>
            <c:ext xmlns:c16="http://schemas.microsoft.com/office/drawing/2014/chart" uri="{C3380CC4-5D6E-409C-BE32-E72D297353CC}">
              <c16:uniqueId val="{00000000-2B64-48CA-BC3B-6D2EB4601D0D}"/>
            </c:ext>
          </c:extLst>
        </c:ser>
        <c:ser>
          <c:idx val="1"/>
          <c:order val="1"/>
          <c:tx>
            <c:strRef>
              <c:f>'pivot table'!$E$173:$E$174</c:f>
              <c:strCache>
                <c:ptCount val="1"/>
                <c:pt idx="0">
                  <c:v>2</c:v>
                </c:pt>
              </c:strCache>
            </c:strRef>
          </c:tx>
          <c:spPr>
            <a:solidFill>
              <a:schemeClr val="accent2"/>
            </a:solidFill>
            <a:ln>
              <a:noFill/>
            </a:ln>
            <a:effectLst/>
          </c:spPr>
          <c:invertIfNegative val="0"/>
          <c:cat>
            <c:strRef>
              <c:f>'pivot table'!$C$175:$C$179</c:f>
              <c:strCache>
                <c:ptCount val="4"/>
                <c:pt idx="0">
                  <c:v>&lt;01-01-2025</c:v>
                </c:pt>
                <c:pt idx="1">
                  <c:v>Jan</c:v>
                </c:pt>
                <c:pt idx="2">
                  <c:v>Feb</c:v>
                </c:pt>
                <c:pt idx="3">
                  <c:v>Mar</c:v>
                </c:pt>
              </c:strCache>
            </c:strRef>
          </c:cat>
          <c:val>
            <c:numRef>
              <c:f>'pivot table'!$E$175:$E$179</c:f>
              <c:numCache>
                <c:formatCode>General</c:formatCode>
                <c:ptCount val="4"/>
                <c:pt idx="1">
                  <c:v>37</c:v>
                </c:pt>
                <c:pt idx="2">
                  <c:v>51</c:v>
                </c:pt>
                <c:pt idx="3">
                  <c:v>39</c:v>
                </c:pt>
              </c:numCache>
            </c:numRef>
          </c:val>
          <c:extLst>
            <c:ext xmlns:c16="http://schemas.microsoft.com/office/drawing/2014/chart" uri="{C3380CC4-5D6E-409C-BE32-E72D297353CC}">
              <c16:uniqueId val="{00000001-2B64-48CA-BC3B-6D2EB4601D0D}"/>
            </c:ext>
          </c:extLst>
        </c:ser>
        <c:ser>
          <c:idx val="2"/>
          <c:order val="2"/>
          <c:tx>
            <c:strRef>
              <c:f>'pivot table'!$F$173:$F$174</c:f>
              <c:strCache>
                <c:ptCount val="1"/>
                <c:pt idx="0">
                  <c:v>3</c:v>
                </c:pt>
              </c:strCache>
            </c:strRef>
          </c:tx>
          <c:spPr>
            <a:solidFill>
              <a:schemeClr val="accent3"/>
            </a:solidFill>
            <a:ln>
              <a:noFill/>
            </a:ln>
            <a:effectLst/>
          </c:spPr>
          <c:invertIfNegative val="0"/>
          <c:cat>
            <c:strRef>
              <c:f>'pivot table'!$C$175:$C$179</c:f>
              <c:strCache>
                <c:ptCount val="4"/>
                <c:pt idx="0">
                  <c:v>&lt;01-01-2025</c:v>
                </c:pt>
                <c:pt idx="1">
                  <c:v>Jan</c:v>
                </c:pt>
                <c:pt idx="2">
                  <c:v>Feb</c:v>
                </c:pt>
                <c:pt idx="3">
                  <c:v>Mar</c:v>
                </c:pt>
              </c:strCache>
            </c:strRef>
          </c:cat>
          <c:val>
            <c:numRef>
              <c:f>'pivot table'!$F$175:$F$179</c:f>
              <c:numCache>
                <c:formatCode>General</c:formatCode>
                <c:ptCount val="4"/>
                <c:pt idx="1">
                  <c:v>150</c:v>
                </c:pt>
                <c:pt idx="2">
                  <c:v>182</c:v>
                </c:pt>
                <c:pt idx="3">
                  <c:v>163</c:v>
                </c:pt>
              </c:numCache>
            </c:numRef>
          </c:val>
          <c:extLst>
            <c:ext xmlns:c16="http://schemas.microsoft.com/office/drawing/2014/chart" uri="{C3380CC4-5D6E-409C-BE32-E72D297353CC}">
              <c16:uniqueId val="{00000002-2B64-48CA-BC3B-6D2EB4601D0D}"/>
            </c:ext>
          </c:extLst>
        </c:ser>
        <c:ser>
          <c:idx val="3"/>
          <c:order val="3"/>
          <c:tx>
            <c:strRef>
              <c:f>'pivot table'!$G$173:$G$174</c:f>
              <c:strCache>
                <c:ptCount val="1"/>
                <c:pt idx="0">
                  <c:v>4</c:v>
                </c:pt>
              </c:strCache>
            </c:strRef>
          </c:tx>
          <c:spPr>
            <a:solidFill>
              <a:schemeClr val="accent4"/>
            </a:solidFill>
            <a:ln>
              <a:noFill/>
            </a:ln>
            <a:effectLst/>
          </c:spPr>
          <c:invertIfNegative val="0"/>
          <c:cat>
            <c:strRef>
              <c:f>'pivot table'!$C$175:$C$179</c:f>
              <c:strCache>
                <c:ptCount val="4"/>
                <c:pt idx="0">
                  <c:v>&lt;01-01-2025</c:v>
                </c:pt>
                <c:pt idx="1">
                  <c:v>Jan</c:v>
                </c:pt>
                <c:pt idx="2">
                  <c:v>Feb</c:v>
                </c:pt>
                <c:pt idx="3">
                  <c:v>Mar</c:v>
                </c:pt>
              </c:strCache>
            </c:strRef>
          </c:cat>
          <c:val>
            <c:numRef>
              <c:f>'pivot table'!$G$175:$G$179</c:f>
              <c:numCache>
                <c:formatCode>General</c:formatCode>
                <c:ptCount val="4"/>
                <c:pt idx="1">
                  <c:v>312</c:v>
                </c:pt>
                <c:pt idx="2">
                  <c:v>373</c:v>
                </c:pt>
                <c:pt idx="3">
                  <c:v>351</c:v>
                </c:pt>
              </c:numCache>
            </c:numRef>
          </c:val>
          <c:extLst>
            <c:ext xmlns:c16="http://schemas.microsoft.com/office/drawing/2014/chart" uri="{C3380CC4-5D6E-409C-BE32-E72D297353CC}">
              <c16:uniqueId val="{00000003-2B64-48CA-BC3B-6D2EB4601D0D}"/>
            </c:ext>
          </c:extLst>
        </c:ser>
        <c:ser>
          <c:idx val="4"/>
          <c:order val="4"/>
          <c:tx>
            <c:strRef>
              <c:f>'pivot table'!$H$173:$H$174</c:f>
              <c:strCache>
                <c:ptCount val="1"/>
                <c:pt idx="0">
                  <c:v>5</c:v>
                </c:pt>
              </c:strCache>
            </c:strRef>
          </c:tx>
          <c:spPr>
            <a:solidFill>
              <a:schemeClr val="accent5"/>
            </a:solidFill>
            <a:ln>
              <a:noFill/>
            </a:ln>
            <a:effectLst/>
          </c:spPr>
          <c:invertIfNegative val="0"/>
          <c:cat>
            <c:strRef>
              <c:f>'pivot table'!$C$175:$C$179</c:f>
              <c:strCache>
                <c:ptCount val="4"/>
                <c:pt idx="0">
                  <c:v>&lt;01-01-2025</c:v>
                </c:pt>
                <c:pt idx="1">
                  <c:v>Jan</c:v>
                </c:pt>
                <c:pt idx="2">
                  <c:v>Feb</c:v>
                </c:pt>
                <c:pt idx="3">
                  <c:v>Mar</c:v>
                </c:pt>
              </c:strCache>
            </c:strRef>
          </c:cat>
          <c:val>
            <c:numRef>
              <c:f>'pivot table'!$H$175:$H$179</c:f>
              <c:numCache>
                <c:formatCode>General</c:formatCode>
                <c:ptCount val="4"/>
                <c:pt idx="1">
                  <c:v>224</c:v>
                </c:pt>
                <c:pt idx="2">
                  <c:v>247</c:v>
                </c:pt>
                <c:pt idx="3">
                  <c:v>250</c:v>
                </c:pt>
              </c:numCache>
            </c:numRef>
          </c:val>
          <c:extLst>
            <c:ext xmlns:c16="http://schemas.microsoft.com/office/drawing/2014/chart" uri="{C3380CC4-5D6E-409C-BE32-E72D297353CC}">
              <c16:uniqueId val="{00000013-2B64-48CA-BC3B-6D2EB4601D0D}"/>
            </c:ext>
          </c:extLst>
        </c:ser>
        <c:ser>
          <c:idx val="5"/>
          <c:order val="5"/>
          <c:tx>
            <c:strRef>
              <c:f>'pivot table'!$I$173:$I$174</c:f>
              <c:strCache>
                <c:ptCount val="1"/>
                <c:pt idx="0">
                  <c:v>(blank)</c:v>
                </c:pt>
              </c:strCache>
            </c:strRef>
          </c:tx>
          <c:spPr>
            <a:solidFill>
              <a:schemeClr val="accent6"/>
            </a:solidFill>
            <a:ln>
              <a:noFill/>
            </a:ln>
            <a:effectLst/>
          </c:spPr>
          <c:invertIfNegative val="0"/>
          <c:cat>
            <c:strRef>
              <c:f>'pivot table'!$C$175:$C$179</c:f>
              <c:strCache>
                <c:ptCount val="4"/>
                <c:pt idx="0">
                  <c:v>&lt;01-01-2025</c:v>
                </c:pt>
                <c:pt idx="1">
                  <c:v>Jan</c:v>
                </c:pt>
                <c:pt idx="2">
                  <c:v>Feb</c:v>
                </c:pt>
                <c:pt idx="3">
                  <c:v>Mar</c:v>
                </c:pt>
              </c:strCache>
            </c:strRef>
          </c:cat>
          <c:val>
            <c:numRef>
              <c:f>'pivot table'!$I$175:$I$179</c:f>
              <c:numCache>
                <c:formatCode>General</c:formatCode>
                <c:ptCount val="4"/>
              </c:numCache>
            </c:numRef>
          </c:val>
          <c:extLst>
            <c:ext xmlns:c16="http://schemas.microsoft.com/office/drawing/2014/chart" uri="{C3380CC4-5D6E-409C-BE32-E72D297353CC}">
              <c16:uniqueId val="{00000014-2B64-48CA-BC3B-6D2EB4601D0D}"/>
            </c:ext>
          </c:extLst>
        </c:ser>
        <c:dLbls>
          <c:showLegendKey val="0"/>
          <c:showVal val="0"/>
          <c:showCatName val="0"/>
          <c:showSerName val="0"/>
          <c:showPercent val="0"/>
          <c:showBubbleSize val="0"/>
        </c:dLbls>
        <c:gapWidth val="219"/>
        <c:overlap val="-27"/>
        <c:axId val="1644962416"/>
        <c:axId val="1577999984"/>
      </c:barChart>
      <c:catAx>
        <c:axId val="164496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999984"/>
        <c:crosses val="autoZero"/>
        <c:auto val="1"/>
        <c:lblAlgn val="ctr"/>
        <c:lblOffset val="100"/>
        <c:noMultiLvlLbl val="0"/>
      </c:catAx>
      <c:valAx>
        <c:axId val="1577999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962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Where do our customers live</a:t>
            </a:r>
            <a:r>
              <a:rPr lang="en-US" sz="1400" b="0" i="0" u="none" strike="noStrike" baseline="0">
                <a:solidFill>
                  <a:sysClr val="windowText" lastClr="000000">
                    <a:lumMod val="65000"/>
                    <a:lumOff val="35000"/>
                  </a:sysClr>
                </a:solidFill>
                <a:latin typeface="Calibri" panose="020F0502020204030204"/>
              </a:rPr>
              <a:t>?</a:t>
            </a:r>
          </a:p>
        </cx:rich>
      </cx:tx>
    </cx:title>
    <cx:plotArea>
      <cx:plotAreaRegion>
        <cx:plotSurface>
          <cx:spPr>
            <a:ln>
              <a:solidFill>
                <a:sysClr val="windowText" lastClr="000000">
                  <a:lumMod val="25000"/>
                  <a:lumOff val="75000"/>
                </a:sysClr>
              </a:solidFill>
            </a:ln>
          </cx:spPr>
        </cx:plotSurface>
        <cx:series layoutId="regionMap" uniqueId="{00000000-D940-4E1E-B554-B018D6DA424B}">
          <cx:tx>
            <cx:txData>
              <cx:f>_xlchart.v5.2</cx:f>
              <cx:v>Sum of Quantity</cx:v>
            </cx:txData>
          </cx:tx>
          <cx:spPr>
            <a:solidFill>
              <a:schemeClr val="tx1"/>
            </a:solidFill>
            <a:ln>
              <a:solidFill>
                <a:sysClr val="windowText" lastClr="000000">
                  <a:lumMod val="25000"/>
                  <a:lumOff val="75000"/>
                </a:sysClr>
              </a:solidFill>
            </a:ln>
          </cx:spPr>
          <cx:dataId val="0"/>
          <cx:layoutPr>
            <cx:geography cultureLanguage="en-US" cultureRegion="IN" attribution="Powered by Bing">
              <cx:geoCache provider="{E9337A44-BEBE-4D9F-B70C-5C5E7DAFC167}">
                <cx:binary>5H1rc9s4Eu1fSeXzpYcASALY2tmqAfXy24mdZDJfWIqtkOCbBPj89bdpOxmLkrN01ahura5mtnYS
qqkmD4DuPt1o/Pu+/dd9vFmX79okTtW/7tvf3wda5//67Td1H2yStTpJ5H2Zqey7PrnPkt+y79/l
/ea3h3LdyNT/DZvI+u0+WJd6077/z7/hbv4mu8ju11pm6YdqU3YfN6qKtfrFtb2X3q0fEpnOpNKl
vNfo9/fuOpbfszKV6/fb1/Dv7/+I18nmYf3OzapUd+/fbVItdXfX5Zvf32/dB79/99v453ZUexeD
9rp6AGFCT5hpMcwcwh8/9P27OEv958sGwvgEU2xRB+789KtXoMqbNHrUZ/3wUG6Ugid7/P/dG2w9
BryNP/77W7gf3sYAgA9Y/P7+Uyr15uHdrV7rjXr/Tqrs8XWVnZsNj/rp9vHd/LYN4X/+PfoLeFuj
v3mB8vjV/rdL20D+F5DdDJ5mwFjpQyDNTkzEOCeEPiHNdpFGxGI2RXDlJdRv1Ws/3nvvMgH0vXJH
hvxtsD4I5pZ5YlPLIYxQ8/EDk3g8uwlDJmPY2cZ8ukb70R7JT8B5JHFkCP+RrB+y8gDrNzshsDib
mFljaM0TSjHmxOSP0KNtgKcrtB/gkfwEgEcSRwbw1yzODgKvQ6nFLdMew4sAXosi5IyAnarIfli3
pCeAuvX9I4P0dp2+m8mNfwhc8QlFNrU5HlthRE8QLNiIEfvJTG9P2zfptB/i3VtMwHlX6MjA/iPO
Zbo5zAzmxHaQbe13uxCHiUypDYZ6G+rpGu3HeSQ/AeSRxJEhLCqtDwEwP7ERJrBCvwIwRie2bTkI
4dFKPVmh/fhui0+Ad1vgyNCF6Hldb8q1OsgURtzBCNPXvGjzxGEmh0Ew8qLfpNR+lHdvMQHpXaFj
QzuLK3WIIJmf4AFIWK5fDZhMkxGHW+CQbQfJUzV6BeftJ5oC8rbEkSF8vinTA0xl+4TQx7XaecIX
luStgBis8cCSIIKBCHuJ71R99qO7JT0B263vHxmys0387ioDPvWfh9eCoMi2IOwdiK7hs8NmWjC/
LQJs5ojOfJNS+zHevcUEoHeFjgztefxulpVAfvzzaBN2QjF3bPxMXXM+mswYKBDOEXCaT7N95H+9
SbX9mO/eYgLmu0JHhvlNvL7fHIbsYpwOgD5RWiYZA45OTGoRZOKn6Q8D4uUaPl2v/WiP5CdAPZI4
MpwXkNFJDzGxnRNKkGPbCP3EcWylKbPhHzTywqZrtB/hkfwEhEcSR4bwMt6kh3DDIGbGpo34kHbY
QhbSjYgzRIk9MtCTNdkP7Lb4BFy3BY4M1lWVfMviB/3P22TIOFHmIMvaRdYCYhMRE3LNT5N6e21+
i0r7Id65wwSUd2SODOjTJN+Uch3/80ATYLCBvbYHa/v4GdtiZJ/YsITbCLJTw2fkfL1Fs/1479xh
At47MseGd9odxh4zE8OKDZmoH3N3a9VGDFZt7jiMjUoHTifq8wrCL6WnoPvy+0eG7OX6AdjNA8xj
5wS4TTC39JnxGjMiEESZDtSFWGjkTU/XaD+6I/kJ+I4kjgzhcyg3OwR77ZwAmQUlXNZzQnEcJQPl
5cA1SE+MKa+pCu3Hd/t5JsC7LfA/gO6vVdx64qH0648fHs+eur23l+1hyCk5HD1HwuNZO4CKKKYI
pu3j58dvP1XvQYLgZ63hU4S8T6f9uL6U3XrGp0f89Uv5nyvKu8wesvt/ftkFptLiJodp5zzhsxMI
QemWBRgDFb0N3WSF9qO3Lb4Hv62/gtLTbYEjQ/diHR2AhiaQRAC/mJpQfPX42VN2x5GNHEZHCcOp
+uzHdkt6C8f99bRb3z8yZO8qSI8lB6nooCecYW5ZMIEfP+O1FzwmwjBCDI+m7lt02o/wzh0moLwj
c2RIX6yV2hyApAIqw4KqHcbxE8y7bDOk/eGyxZyR4zRdo/0oj+QnYDySODKEoaI/lSpeV4dwjymA
aALf6Ly2VkNOwcQWlM2PYtu3abUf6T33mID2HqkjQ/yjhFoeJR8OYZwJLN+mTchzBcBATG2TGRRq
BKgJ4dAo4H2TUvvx3r3FBLh3hY4M7YtMvfsj9Tfx5hAT3DoxbYwJ+xH/7lTcspNhekMt9VN5F4yH
l0nDNyq3H/d9N5mA/D6xI8P+Bry0gxTt8RNOHArFAc8B8E4piHkCphsiMDLKIU7XaD/WI/kJMI8k
jgzhy3UpD+Cewc5FTi2ooTefyz/G8xpSiTZB4JzxkeGerNB+fLfFJ8C7LXBk6A4bA8QGdl4eKO9g
46G6+hXqEkqrLRObkG8cxdFv02o/znvuMQHsPVJHhvgwnPPsINW39ATyDJCJYM8h145rBou6Y1GG
gVrZw2q+RbP9mO/cYQLiOzLHhvcmBQpUHqTQh5+gIaVI6XMSeQw4JlCvSR1ChkrOl17Z5VuUegXr
nVtMAXtH6OjQLu9hE717gEYDxHS4w5zn8o8dcw10C0McvHDrB6u2DfhUvV5De0t+EtRbEkeG82Cn
LqFRwiHM9uMyTil41k+r9I7rDT0lMIOZb41irTcptR/n3VtMgHpX6MjQvlrnh6gdgMiZQ2YZUsdP
FOm4BmhoHgIEqQkGfXv5nqrPfoy3pCfAu/X9I0P2MjuIYQZkYUfqz8V6ZyMF5JdhCkM1tjkiyabq
sx/ZLekJyG59//iQ1Zty0x3AFjsnDoW+AsR83tC4M2/RiWM70Dhk3PUH3vdknV5FePsO01Deljky
pAfzc5ati+pQPAmwJBa2noOqPWBjDuVBnD9VgO2xyW9Qbj/q+55wAvD7xI4M++tyDcz3AeY4gfpc
2CnDnFe2pUOjCWZDcxhnXJk7XaP9WI/kJ8A8kjgyhK829fogrdvABDuYMmI+V27umdgmgo3KFh+x
Y9M12o/wSH4CwiOJI0P4Fnyw5DD+tUW4Ay72a3b6sY2MYwFrtu1fT9doP8Ij+QkIjySODeH1fQlt
D9ODsNwMmrQ5HEqsn0nNnXB5qBUc/oGN68Nnx0C/RbdX8N59vimY70odHe5DdqNM1+XDYQhQ2BQF
7SSg29Nz9cl4DQcrDaVmJux6HU3wx7TLWxR7Dfi9DzgJ/L2SRzgAFuCi3Ut1n/2AYE+tNPAbb+27
SplpUtgx88SRjavygToBhx3ZjOxB/qdGU/zG14Hfvc1E3HcFjxD2i0qqd9ffpMoPwZHawIxhB9wz
GAXPi/pWFRIUkTpQoQRdo/bg/0bVXh8B+240cQzsEz2+UQCdeMW6/LY+yNYra5jiQ4HC69vcHc6I
haDf0OPnxwL0tIkDouO3qffqONhzm2mjYI/gUY4BNz7MCIBSQyg8g20CryXF0AlYCAQx3KhI6Qn7
yWr9Cvntm0zGfVvsOFEvq36KhX2j6Ycdl9RClvlj689OJhSfQD9fsAvjuP0Z9Ila/RLzl/eYDvlL
qSND/A6K1KCl/j8P99ARATZgAgX7vIjvhHcYChGhGQY0ndte39+g0n6sxzeYAPRY5MhQvpWb8iCm
HBqaOCbs+mFPIfq+vSJwEYw920+yT9ZrP9Kj55oA9Eji6HBWkeyy6gDTGVrMEQjL8I8DM/YEbg7s
JrFh0/z2dL6V03V6DeXRHSbhPJI5NqSzeH2wDDjkT4Ys6f4ADay0xWE679SeTtboFZS35adgvC1x
bAgPfZsP0U0Oig8JxtDX9zn82vHDIAsO1ceQGR3lT24na/QKwtvyUxDeljgyhO8qCK8OkQOF1hfE
RJD3fmWn7lDFwocAyx6t1dM12o/wSH4CwiOJY0N4E6wPkSED5xr6SzmwwesVCmWoQAMCBdqvP1U/
jF3syXq9gvO2/BSctyWODOfPkCKrDuJgQ+NecJ+J+drpVY9TGXqROeZot88bVNqP8fgGE0AeixwZ
yl+rb4fIdg+bARA0jIOiwsfPTtcMOEgBOmYwqEvb9qyn6rMf3y3pCeBuff//BbKvH0/386S/2Vqv
549nBL44oe7XVx9fDpxtOBJ93nWxP+X1VKB/+vD7eygAJhDZvkyDDTfa2rPxeP7ED+S2hTZw/tnv
7+G0waGBL7Q1GiY6uGYOOF7N5vkS+NvQzohCKpQShwwH56TQRTz4/f1gBGDUAL0CjBmw6Q6EZCqr
hkvQiQVzG5pAQzUrgU0m3Pp5huNNFnd+lv58Kc9/fpdWyU0mU60GaTAX+dP3Bn1t04adKkDYM9CO
QgOQQb/8fv1xaJQF7+D/1Hmr7NQPyLVqLdPt2/q06axihkJCROkUi4zgSpS6+0JxT2bKt+5Lwi40
76KZbXrJImw9a6nL4Fw3mSlSM700QrMUrM+rWavqq7Z01MziJZxsmFXfOp5+DaQ/75L4Y2SFy7TT
Z5jgj0WehyIsukrwHCtRInyRJpEtfIN+UhHP3JgnetU33qc+C7/YfkBFlvWt67TJte2Ta9Q4c15k
ZzQuTiO7J6d97ZVuFWHm1kG79KN+jln+3cqDj1Xj22ep7y3zrvzGZCe46j+3KslEhBMsCI4i4VhJ
OiO555ptVrk0Dz43qPoramvLDaJghassFbmipUgCUgpd69SVObmKkuIsjiwimrL8XtQBEq2RabeP
2bVMytxt/OI6tOv8rE10tKik589okkUiCkrf5abvXSknM2cBr3pHFFb/neE6uqotet9LeLm5lwQf
sNeZIlDlJtAmvwyz+NTmBhYezrtlkCp2rWSbzCltALUqsETpa9+NkrYRoZ8Gog6Rs5R16wunrO2V
1VL/g+kTtOzz0BeFL2ORpMQXpGkyIRPiz80uDleEtPHckBIvwyDuXdJbgjitDUMgy1aJ56EZajtz
GVtKLiwz9xZWQ+J5mWi81BlJ5ikJL1BanPc6vI5SdKo7v5/JhH33+tARIU2suaEkmXVVF86RR7tl
VPnx3AwDBi8CdXNaFnypQ8cXYVtWS45VLRK/zGemRPJj2lC2rHI7mIM9DVem6Xmzuo6JUIQYH2LI
WYqkhyctWscR0jGdBfMN7YZdw0SX+fncSCokoiiSZ7ZSzdLHwV2H1U1Vmek8MFgnMp1D/1mlhAwc
W3QFt85yrojwUSdF1w+vSOL0r0bZ4ac0kEiogKerrko9gVs/E7GXomubBb4I8t4TEt67IKVRrVhD
pQgaq6lmtJIPUSKpMEPqzWs/MVamDheVHc89L+WiSZxcJDwtBbFIIpgVVsIIGzYr8yR2nTp0PvSo
/RC21UenSaK5wiGSbozjqwiKoFd2VHzXaf9NozpY6BxVIuZxeSlRS1zSOrO4LJxTp2u8C8eg9ZJ5
qfURG9VnyTNtzExdtd4ywC1CQlb5fQNa0d6IhBeEsVAsKJaG7O6Q0aBFG/iOa9b8LE2wM2+aDgle
V6dw3Egnctr3ro79uUxT48ywzJUk5FOtQu0qP7hLivCMhulNQ5VrGPRS2X95FJ9XmVP/2UXxpnH0
RWsZhkhLFM5YUzUXlaLpinMdClnKSPiReYHh14I8OK9r63sRMeyiPr40GxOJmtPPPUstIcOeCa2S
B0WVL7wkOc3C7gNs/7mobJm4WVCTWZqwbBlJVIu2DuxZ22WtqCWlooSvpwrnLlXEXnQdQIiK5Loy
/Nu49f4ys+prbsHywMy8ntGoPJcNWreR48xVRHy3Vpm/QBVaIklEEVnlvA4VFrRHiYhVfalY86UC
Pm5GDeuGt5SJLKHpKbNt+KY2Q1FFce3mOjuvQnMVszp1a8tbhGZWXEuuOxHGoSmMls90Cw3PPScS
di1nXoCdr5FXJfY8S9vLFOv7zKKnaWX/GXuJfSoTJMKy/9aiuhRV1q7goeNFgM1KJKifxQ69CkJY
ZXhmCFw2bsSNTNQZWhmFs+qaYhZiGQpDNh/AIl3EWBHXk/E3zfiKpuQK+fnSsIql3wQzwNRtYwR/
ttcBk9JVsvquJL2Ji0bP66w71YkVzCsau4YVffASzwBbULkx6c4DHX9IuDFDMriLI38eOOmKVnE6
qxJ5F0vtVtgpReopKpKuX3kMXcjYZaZqheLYJdjceFXaCbBjRrdUDCt2I5Modn0n/WjKspy/PHV3
y+jeZ2A0pB88n53884//ucsS+PfxGN6//3I4evnvPy032ZAEV+MvDb7Rz2/9fZTv4Iv8PNd35OE8
nd/8ivvzy4tv8o1syOD+LBHa8Y2GcxR3XaNB5oVrBA4WH/qwwukm1sBYvHCNLAz91M3hJFAK//nT
NYIjMsD1ARbThhIzBEeUQfLph2sEJ4dCO26HEcahxxVs9nmLawQHRu+4Rsx0oI8KVDJSzKA39LZr
pMsmTGMctte5huGXMz2jXnmncRK4Ie70rEdpdidrFF9jnSS3qvLKlWGialX1HnJR1QqfZ54GA0au
COwRnes4ad2OhhvSO7WroQ3AeVDU33jV5HdZl6l5VMTtDff93E2SlLq88rI7CxaE0qyo0Cmf1TLI
rhO/KETTpP5H5NN0WUHHkLlfgw1WCH1KehSv4phUy5CTZW5Xp6Rjd35RlYvWCvHMqXN5HYOP4FoO
/8swnWbFG/Y57bH8VFhNdhngLl3onleuEaWti+AVXEvEvEVrar4qssy+9hvsCJ3wZNXklM9in/BV
nvZa+D79M1N5I6wcjMKwClQFmHJufG3gZAShwZnimR26dpCfmZU1j6hvzrFfn0WlcV5n7DO8zcss
83Jh6kyLzKkSkUbBX3ZtrVuHtyJrsi9+EX0p7TSe54HfCM+Xt9pSsSCx4QiSIuo6vr+K+rpYGU6y
IX4QizZ1zpwSS6H7FFxMOwwX2rD9ReA14LPa/VcAOnS5k99mhndlxd031ssV8eIcnoQ8eJ26MVRa
X0SMleAM9+a8aNgV6Xkseq+/sjOAVOftrOiamygh3zApv/RNdG94eSmyIDiL4vbaabxA0BxpgXxT
CaPBp0MPYzeuWjVrfA7uAdMuTqyVo5yLrE3YPKPEEzYKvuZ+/wG89/OwoAEs7L0h6jTiAsYH+MAM
TNw16cyQfDOxY3enVKtoTgP/3PCsPnFLVPqz2C6VCKi9MVS0kBWzBDK6hdN7hfB4aF+adXxWh7IU
1E5DgRN0QagdiriuQ+GZKJj5NpPLzo7mrEBMKKPHH0vbrt2alalr+dF9gXNLdIHs5jLpqnkW8oVp
RqFwoh5eslTeqdGpwvXtCLkNTHDXhJFK/PxjnKYtjGzrtGVciTxKzLs08JTwLGuFwFKJ0g4bAVFS
MsNe4/aWmQrSeZuuwytpMBs8fvuu1N5fOE21SyPiwk7eK0vZ8Wlj2Y5ImsoUNHZODVZa11R3mWhZ
qd0cSWfRltZtHWWZ62n7wpRN7vK0465p2GdlXMkz1GXnhRWj0yKTgJLmYIP+VMi7Nhp/0fS0BVdX
LnUBrofLk3KpuigXfhfMWBF/C2J7wbIcpjpMkzynLbzY5K88UGctbfLTyKBsFkuEroMmJzOvMoKP
oSz8s9RikaiYd1UXYGJD7sxxx3sRpzWM8zpJhZe3HzqkGvBE8+is6MCXqTD2VmahrTlTmbXsfI/P
TKNQp3mRnvuBSeedX5Ez5fj9WREiY2llhTnPivyDY/By0UfdmWH6f+ZGQm5wKFsXVr/o1JAWh5gn
PzNI4/qt782dMP9a0ND/rtJkxgOYxh9oGG76sNdYpJzoUvz/aD9fmkIb3Mhfmc6X/Yj/JiSepH4Y
TwR11kMHMBMO/rLh4Bi44U/jCVV4ww4a6ALIoJ/ysCX9B68AjAMa9sCaQxNlOFMMKIcfxnPoLQQ3
BCaAweHqcGDcW4wn2qEVOPDT0A7WgWQjgZ16YPZf0gq6J1leVFV7lTaEz2tY+nKRkZBGbkSbGoac
3Z2FLSxic1gj9FedWfWnyFJtAT5aWnx58fb2sBxD2+9tkgN6rMAhiHAorWVaQ5HqtjZW2uURD6r6
ChcpugI2AMKyimZO4La1zrioG6v6SuvckODaM124RVhGEBX0iloubBlOH7jW5jXcI6hmOI7Rp942
GFp2ju1tUGegdvFrjTHsdtnRGHa0ghsDZA+cMGKONJY0AGw7fUVa2/dnTtvHn2pI3pKFpl1mi7pr
If6R1GOip84Qg0YmWSZ12aFZWWf6IWiVQq40cnumtMxqsNeBWQta2uAy+1kY3EQVP0sUD9QM2Ev+
WQXFeRQ3djuXynAuZRnUyfLXT7ULAxxlZYIjBafVwZHQjw/9gmuineE3Rh6rq1R7/HPmM4SFFWEY
GnlatTdNW/Lb3EPxn7/+2WGsvaS4oAEHcFyUwCmY0FkLk0GtFz9rm61v5cpPr1LWoysUBdVVqkpX
Mi/4/Otfgumz80sc2jdR6KAKpC8bjbM8tbq+KIPsiuWmtS6arIyXnmYdFlEezM2iGrgTs2OZGxK7
Sf7boBkGxfaDwkCBUy0sOLYVDqYZ/zwk/mXgp4m8okVkr5OwstdRPOhg94maO2WWic4E6JcNhFkY
Is+MbnTM1WnDO+uidUhpuqQJs8gNaZp8ImWOySxgXbfJjRqoFqNPqGvzzCpXNnH66mmhh/gFSNib
J0VfkpHDUVdj/emwbIDHjeHMQwvWtJdAmU5lp7btGZeo8pK1LDVE5siINITrpOtS/6wJZPTNZzy/
aPsiWDiZ1UoXo5p+10ArZG4X+NS1srDeyJLQh9rOA3r2a4gtewdkYFdgEA21b9Dww6YQtrzU0imZ
NMtAk8vQKnKPs5nmQb9sdUv4QtdV5ZZtYX6ok86uRBAEFPyvdKlwmQM9lmM3iovkYx7bSQs+SeN/
acIkO+2U1iK3i/yToyI284rUc6ssDKWQmoDz44UqvWpyQ10XRg/evo84RNq9lyYuroNkZTs6/ohD
/8bvUtKKuKLFlfaKIVgxCPj8GF6k7DCsDVbV98JsWHgRBzb76oH9PgsciJF7v62525iBBexH3MnB
W+oS0XSsn6HGNmZ92N7nqtC3lWmAF9okmi48VVSnlofxXRGgJlp61EBS9EHkfYMS4bIWMi2Mv6qE
JuD+KHwKRFR+igoeP8g6BzYrJ0l0K7nXUlEXln9WemXldvAelsjC/LpoknZuNWWxQAhYiXlsUwT0
SeOzwq1x4M0TRcpZlfPrwDN8c4ZQpldganDjpiYQi0zT+M82MYNzXPL81ibaXlY8NPBCOUm/Zk5W
zpXZhv2ijpi/MNrWXGMVN9+Vn+e222MN3Efq49pftDrMYHI0DbhRdcUWZeYFs1iTZJXCVwUYoDKD
F53UVIQqDA2Xeg0VNLPbXlg69lyijTRZlk40962qMz80BFkzqUozFiGMJL0guuFq2RLaXoDL3Mfe
h6opILAUnYy7tHwIgL/B/VfVGC1NAsFLWMqze9wloQYSutJVlZtXOtJJ1J5xWfTLmlfaO01KKXMR
4ji7NalBTsOOkMqtAAMPvEcTgqo+SBibpZ4H9lDHUVPMnajxTbeMNfi5QWE6NFtFHQXepmtjri8c
pQmMqMbLwAV1K7CFC8cIQu+6hqnj+G7BcgYDjkQqWaSxLLmICzBe3rytpeMaHuweAA7VM1PLzRRQ
by4w3o23aGIaJ3PlgVewgJxE0rust2HFTHFkVW4SlEYsatX56kZJI0nmmS/Zd6OqqTRnZob1Ulqs
Yle24fneWUqohgDGTVtV9N1KQXFbGcxzyBwkc0/VfbHgpUrlooudpFuZSiW5a+Muli5t7S5elrKQ
BoSEFv5i5BBUz4AniJIZ/M80roFeMxS88jT9EiYQB5+Skut4HgXa+dhXmpBFaGQYnQdNAOSkoAEO
9NIr6zy9BWNMzkK/x5AAyEGDeQZkaD9nqO25y8Iuby4T1sHQNmCqlDMPoeqsJLYdz3yP+EASpzXA
KakC/yTtQ9Jv4gh23M4YKJDMSJcExSkypbXyJY0cF7IZBZnJTHqzvvIgo2I0Zc5vQq8JLZfIIuxF
koe9cW56sbVAuefboC6n+Rx1QZ+dApXd+POIW0Ejhu8JxCVPYfj4pHDbRhq90K00/irhIKPOEBLm
Eb5CfSp7KVhtGeSuixtcXTk577JZygt9aVcpmCRf0QgEeELgbXkyQOlXYC7SAIKZJG4XqrF7eY60
r++AtbDXdgscoGAIBu+iSltK5srpJShfoTCZxaSIlMsabw7ZgOJr3DTgWYR+WN8q22m+5WVAVjVt
IHphkW1CmMI8uI8dZ2G7SMsaXfVtTqwPStvoDmkDvtE4hmKuRh1t5zVOQrkqW4yb05T6CvgQg/LP
qVkMgzMMC7WksQrUTdtZmrlm0QA2QZOCYpmCRfccLBj/TJgJozuBVbKcQdewNjvVinv4JiyrKPqI
WcohALbCprrUrR6cz6Brb+zIcNp51iTw05Dw6oGJxonul2ZEh4cfVAceaNArT9CVZafwFFVhw6sK
oizqXR7VMHXy2I/kh7SkMOXLCrwCH67Bmop1GlwXyOpKCKjzwAS4m7KtLhMjyCHTYVZFC6wPNcm8
qws8LBowmVx4IlhAWo4GP1mnyWcPjrM9Y7WUTLAAsgxu2/nOukkJqNGWYfeR6NZU5z64ueF5lqdR
eMvAWixVaqKrgvvFV2iJ6RQisAKJzzLm8+rcCzK/nnUlLRpwcDtgsjC8VtekRXcfxZF901bKzFaF
2dXRl8ZJfAVpKCP53gEnA2uILOJgBnEAI3OJu0AtcifhX4whYZk0uV8IasEy15VN8FFmWp3zJAoh
m4VL7MOyB6SjqAPMP5ehUfvzGKcwTXrDI/zUSjNUbBJYkLszOPQR5kYzrNjz0DbgjbZ1X8/ByDTF
OSqBhnY9HusaLC2pgYEoi/Cvktf8zujATT/ruS7Rg1Zpp4BfR7Q+lQ2GW7UJCnrXanzHP80BlgaI
OO4s+qyu9WXb0fg2rFUhGFUrK2khidc3DoATmUj1yzwGLuMydVrrwtCmlc2DIk3qc79r8sBltkqC
O/BE1IPJU1hGYOmEPFoUqEYJ3tSsACvQFbexXyD5J8p6wmrRgwfWfco1MTjcTHnlPKBG5J8Bt9V8
C3zTqN2YKic6ldxEH1pleP2yrAol57KvYJBKrENy00Zxb19BAiuORZHXpnNpocACNhS8GzVvghxQ
a1gqfVH2NIG1Q6l4DpmptpzVMWblsmcFjP7Ian066yAHqlwvV07xpbE7dBcGJYw1sHT8M4z1RN2k
PEWwwOKchwuWBE4j2uorZlXDhjRfTT/ZOC2aWWP72rq0PEihfCw8xUsw7jCi57kkgCYEDl17IYmO
sgta5gHwIq0JNJLXZkDGyLY1/EsgLvNmligP1gzwxip9GUMuBcJIHvkLFbAomDWtaZ52hQXzvoNk
vxSWF9DLR6/0uS7i2Xd+Suy/zAW8TA1MyTFcyvsyU9l3PU4ybN3ofy0TMbSDeeHE72Qi/oghr/Kw
fsnADMUdT2I/+JSh8e7QypGBSWdwnjrEJj/5FHxCKFAjJoHcEEEYLj3zKUPHZiiZhub61rD9CWpr
/+ZToGUgHCUJ1T3Q3hU6HUAK40dCZgvOV0KjXQpjKPlwoMcgBZcDjuEZhZas9QtesaC6DqXOz1jM
rcsybc9ZGheuXZWfnSSZFaGOVmlG434TZKowPlRdBz5eL11wL+IPPMhToaPug/atswwqHhZFrCBz
2XfAC0TACMq4toDwDhZ+VAen4Hyarp97loDlwQ9cXhfpIqF5XN12fv6VB8CjGtCvXFDwAEIX6jas
s7o1+jM7T9vAczvWybMqjmYd9oyVNsrvPk97oCRMb9mhDIIjFHFICvv15xxKWs/x/2XvzJokxbFt
/YtoE4hBPF4Gx4eYIzKmFyxyCIlRgAQI/fqzqOrqzqo+XcfK7N6HY7ffqszTwwccae+1vrVVhc01
oz1q/+pxmKkYctZt5DC4rMqWyYEdusR9Jik4lLatvMQLYywXbnxpoknnI3fTQHv6EJjhhgViSRYq
48PSWpM4pUZJIfr1OK3qxlUqTnU/vk0rv9rcNRdkyzzlXROfX1arRaLrYU4qLIVJzVi6zmrOe1zh
hJeOBoqg+We5yvB9s/VSHsZgFAl6IpSrQrnHeJofREMfWU36+TSEwtH3FdiHI7qatB9FeByDTfWP
oSbxlIi5jJaERoBoqLtCaw/K4BMe7XrawyDF3DdNZrv+bqvVTegP574VNyPxLkw7B6nWs9OFmbRY
asYe2IBNg2r4vvbeQ6Xjt/8nS8z/tsUjAJj354vHUPU//rh2/Pqs39YOkJqYRkZB7e7Di7BG/LR2
4KzJCAJtEPyquGKh+m3tgJGJ2hazjiiMHQilsBd/02JhZHo4SivCKP8YI0Wh4P6VteNfFAtke2Aw
4A0CC/ehvP3ByORTtNY1Ze2t445vvNIoqeb2q7sFp9aFmVCHNlXTnEdBl5AlOljKr+JtvFlZhzJ0
7cZTV41dMnMnnaLZO/CAHIikj2u1eDmLYOotfLsiusxCR6I3cfVzxQBHtG57JYKxTRdnOraN+uhC
cEez638vvUqlcBo43CBzMWz53szumLIGNyJW4TzcliBxt97mZHbabOoCk2H3hrkzw5f0NxKmWvbb
oZfbnbcFQebx9jKbgCbYv18ptJgMZdV3ScIzZLohG00PU2ZRDZghmgQC0lUfxXc2dl+W0oIpYgBH
hHDWpI00/jesq9TywUu6jpdJVJ4o14ctkmUyorBJvNU8W8GvddRfhnK4CHymRG4wzzrPe1irJls4
7/Km965L13sqt1ZjHYKXCacZQqxaoPU0Dkt8nx47ulVpyYYXFkxOGhKYNDwNlrHij9qrh3d0E8+b
9deLZup2oFoVrbtCMhind8NRMvZN0Q1rmPhzIBN/xZo809JLRMmuBfee6QhIaa7WWwfDEfOmmW3m
BZbnNka1zqfYKRw5P1BHfA/aUhboXGBcN81Fhh/afKBpO/hD+KE2Kot5AuA1K55Pw9rJ59gV/WNL
2qH5UXH7fTXiwVKC5XEeZJQ0k2DsA4zOTYnf94nonhyN9uStN5Xxrd+V6rzFZerHWFnXKDzqaasT
IkiVCj/ebmhtUShVslsLaD4va79mUdWJa2rkD9SB3pFIHo8AFJmw/1/aTbjF/+kc/R1lRcnw73GN
/9N9fJfTf/+s39a5/eBcDMf1Aoy0x0HZLoCJf9RIwFwBkIb7oPvfl0jsb5ioShBa2fPA0OF/spww
ktXFHEfI5b9irtFfWeawzv5BPgbwgcNDofXvUC3O8cbb+1mYlUNgm2Ar1S1p6VMj1aOngkvnq/vG
gC5dF1+cOYFu6frHetvqrGua8lAu4ZpqM5cJGQf0hRtAPCgZD8QHpyaGyE1WX4eJsu69JiP8ihh/
q4+kyNt6cE8xn7xkEO3jFME2t71kiSvNtTMSCZCyBvNpFyd1TFBm0KPqvF08BwTBOt6QvnvCSNPg
Olpsf1V73s47eCNqDNxiXhsVvkJ5wxa5pqEAN2in/kn0DLWP04GPmNRpHIJDyTQHVAa5I/K7HxDF
nyEoOknrBUdJnUfHNm5Sjura7tqBDfhXGIZ1Mgbzlk5yzfvpVLtXLqffF/Ex0VTH/Aj+gmfrMsMg
sHONb6Rps741TeZZNeTDVn+sFsu80dP3Wa9nV4P3iAk+0LSUJzWxu82JhmTrc8dezdo9G5+9B3V4
kqT2k3gD1hZHwdXEJ1BXxiT+wmANGve2Cac24WTOXUZwSWikEs25OkWTTxLIhA8eX/372BHfjNff
q55BJWhpm1aucA/eKL1ERYt7oCG2sqGUOm+bqc7KZnWTibArrxKnba78JJhEVrP+wTQKS46d3Xyk
8DWYQrEcxhCcQSSNOR/18sg1AcPmxi/ckXUiq6EYSX1WTfTkx/bDdXhfdFuTaCx79SLiTHqigaY9
iWTwh+NKFi8N9XimLj6LncYipl2dNqXbk7vB1/0jK0e8MMCMoZG31p++VQBcTt7i3OEH/hHLSiYT
sN2zaNzXaQQHBKE0cwB+ZtVKf5h1/rFE23ZQ2gzJqFh5hHb5tcMtCjraE2mDivpQrfNj4HF16RgB
4VG/DTa+2NFFrShFIVfnaty2IVGEkYPmpZvIplyTSakbXVvcPsuT4OXXUUTs2FOoxbXTPZaWCihR
88tIo1Mzan5kgTyjYm2xDYbdgan+FPLgyySIOIOODpOmto/4m+vVuIAZMbGUuebhlP4iFC4TFF83
3i+eoVtKwjLM3NJ/UbKe0sXOc6JU35+VN5vUOOAvxVaNICVbsNVGyVdOSn7shZju6jAAJ0vHzPSb
e2Bz98w8WydcC2gzNahcT1a4QEOfl209QydqKtzt2jupSopE1qHIJm8+EcvIaWTiFLllW4R4L8kY
0i3BsqgTBn0BuKpN5NgffT0eayfMagn8qa41+qDWcXGn+TqFjmiSzRdRFnOVad+FEoz/APN4V/M4
kWr54pr6EkzzWdLtJvanxyVa5sSqrhBO2SR9V1rwT+7NYuYvlQz6pN3EXefP9w1fn1ljrlVnX1UJ
uaqBj510sn6G13P2DTluSj1pFpJknHuSANOmSdyaq0aNeUQmeeg2pkBxmutyovdNv7W5Wd088oaz
N899sqn50w/K94q7tzDUbuD/3Y11hBptUV/LMjBgUO1rK1Bd+CNjOcTOd9VFEEE2UE7aA9Am/Itx
BpkvLX41MHy35pnOdXCs/LCnBXLIXi4krIqgktl/WhVCkEahf9qq/Hro1r9u4fuzft7CY/QdOBtu
z5Xsu/FPW7gPzzqCgf1LE4Ny4TdsBAdZ4CEXdEiA6CHiKv9sVdD6YJpnECOv+Hfd5C+0KjT6lz3c
j/aUDN4FxvxiUNT++E9evQ//uqflBla+XSFmVMuCbQiA23Vdtqlv1T0KvpdSgaofdVuAmntxKgH9
VICTk7yId2SvasyXScNwp3K6DxdZYFjJZS55GnbmRAHb2fkY1M6b5PxcAgJk/NatY34tK0j+4Ofi
LHIhGjQKsmG42e+tD7N1m4MGyh17iyAX5ow6GuCXfrMSEKRHeUaD5a5aNc3H3qnwOLnYxWyJR+n1
jukAN2mfe2feoFKSH9WgPlfrfWfOgPVnbkQ6eeaxYwZQtfHf1s15mawfJnC5sVWFCLHY+KYPt+0C
GvohdCHYmL6ziSnrDFNa8A9L9RmUs49/qL7BFchcT3o7j10lZel7GcyzMbGSfiPNa7DdCZgnWPHT
KlinY1jHO5Ctp2ylyP6kQUMMsEtBqc4Guq2nSVEdf7iVXy55ZabuKPoFcpDpmyOpthGFkDMn2jdD
TsppTQCTGGQPWHsg29acqLdMbhpWMIM3vup7sY3Ixdh2ul8ABCG1sYwIBbT4qlTJE7Vv9mJEFqXr
G/RfY/gqLUqsdW7W3J98oPAScKOeRZBgF4GXF5dBEUbrdg9Nz09qEPFZvS6pkKE8x63tkrLxq+sy
IHW2xrM6C75EhZn4lvQ+2plsRGGQOIKWhdvMn14sWTGKcU7HBpuKGzpfFyyjCQ6FGPNfIiXuiEIP
iIw8QhD8AQQ+SOYRtnA/4Kc6wcRpyaxSUK7tHaO8yV21b3/OVuWx2/uF3yJT0ywqKBCZ+NEZNy5g
N4pkhLt5F1nJz/jmbAKDrv9gEj67t1XkWEKawgVzAFIiEpRQV0NNBvaChnZy+q8D4AjsJ9DEVKCw
/DJnuqyRXC98nacC1BI2PURRi0GHbY6L5yelCj4rP4Lct4lP1/FpocjmCNRDHQU5PIhkYsz/Srq9
MUbuCGUzgim8mxBMGvwlL/nqOniXPba+HmIC7jm497VHjqttep2LmoGSNZSZQ7wEU/3ZdnI7MgwH
vIeBMqKbj9RFl5ZMFzpU6UTME/ZNYKqkDRLUGc1BtuPz5sQ8JRYMtYxXmSth0BqrN4ePLxg9aJOS
xVDvOguPrgPcUpOoQ71aPwPMvoMtV72DmowST3Bxtc0MDfeAztvO9wjLsSQIYfbKPhpP8Rz+EO3y
PhOY0JyBCoudz7XWKg366o069bn1wRGEa1RQsFFp2037IhJf46s4zU38KXGfOjN+F7pjT4QFd6Mr
zoMbRIipyJuI+N+8MH5ZWsdk7mTutJ3YiU3TUVr1qGz8BapgmRMQWik4bYRBwHNVZbUVFMVLWvfG
R9HRX1au0omJB04miK4clPQM4/MSEPth4EIm0P2OKGPOTVTeMrpeOwaF0EZjhjsF2kSPH9vOEvSJ
38fVV5TA/XvY6PrI6VKhfZhpYvZcE8KMQeKHUiV+0H2NVYA1i8x9HtLxDuXiY7gnpOo9K8V7pKbM
np9q9iRVtGeqNkeHh2HPWZVy5ffdnr1SuF3u5z2PZfdk1rS/qN7TWnVZxQVRQ/XQcmS5EMUAMbLn
u9Se9HICExfDnv6yew6s/iURtmfDzJ4SK/e8WLUnx+I9QxZOwSfYAJs1vj1tiJkRxM06xM6CGXk4
uhKvoHsmje7pNJCG1QEwNASNPbvm7yk2b8+z1UA5qj3hVu5ZN29PvTEUdUexJ+G8PRPX7um4UMDG
2vbEHBlLt4A8we+DPU8n9mTdvGfsnLoRSb3n7sY9gdd3rZ9gmfo7M/V/2/j5X6jKgoj892oFCKRZ
/YujA1V2nxr+8Y/kbYQDIFzgpyDfYMX8VOpgyjjm3CBEApngF2/mt1IH8VroUXgIUkLACMbZ/rPU
2ZMnyOkCJMQfhZQR/xW5wtv13d/RbkjeEpRUKKfwFtgvBwr9XOqYteRw90v/trFDtJ1sKJEcWATV
5S2cY9p1SNI63pGVewhqFo+bz/2kgQmQ9R6AdrcMqwQgX5PPsfYzFXTkSNYGoThDEX1d5Ie7WZ4i
zfZhR2WyjoL0nFR4aZEfSceyxgoJu5SXOh865ScLg2XLNotAXozILgTZElRTsySr0y25mHSbiVBf
5n6IEzeqXhY3vK9oX4RYDVNpsn6xRTVCW15IR9DvyXuLJgW78EkBxU+qVoJG0Q6CrjCREdWzH3GN
8iwcyXFGTBDdiXfnEd1ez76VB3AaPWj/VgKRGj9pyT/mGvpv50S53n6sxgsyYGL54qD0arv+2nj+
y9Bz9LFsHY4+2PR0ooD5m8EVCZUQWy2Lp9RdzIXaqs69yf4AYH+Y5XJx47VwAfJjbG6hqMonkFyI
TiKhA3EznRb6QyM31qxoxmKSIAZ91SNXZgPwXTMv4eFEOl2QPWN7CK1th2MHxNbI+qlFSk3r/n6Y
yEUgvQZjGHhB0N0vuKTzHnAjppr6QjsuO7BwOLtYcHsloGlE5RVZ4ivAPghXIDwanlGzT/euwfL1
Xk8t93JFJe/vHau3oehcBNo4acgrPKlYJuHSfPMCiiQmCrLKm7/FShwiD7vpyvBwNa8/EKtVaa1M
nHSLOepN3Ph9yXJnNdth1OJzdcIJwvj2FpL4SVtz7y7uO5DQM5H2rVrqGKWyonnE/e+VZ84r4dt7
K8YGxOIACJP2aBVR8wUEDXIw3YOEOEYTc66AJj5tFT4WjESoXZzdlkbBoRQWDWeQzUIjrdiEca7D
jRxt9OnW0gfXo58XDaijG1DOtoCMGo58U+BUYAZBX2KzhU2wTKkjxTfejBaxms0e2AoJrt544Tnq
rVrlUeK2SXuGUAkgK9SdykKHgDngAmAwq19CjXHuttJ5nTQ5hwN1UUTXX4JScCBaXgQdCioAmE8g
Ccc2ahA20vLcB0hiCABk88iCRITNpxL6duj8j0UhTdtCgWi2+ga6zGWgMCZDGV960G57d7CkNdr3
SaAIrfWyFqMByaAFdRMvxpywhr3ZSOZdG5yI4m+0ocOjdcK9YmXgPL3gS+SIRwNRkcTr6yj86jSI
+GTNeCk5Gy6lVK8hgrvgox+dMDwJym6dWN0L1K6Db2+6bjo2Er9Ni04nG9x+zgCLPizomhrwNXyu
iqkWcd6YuE9w94TvalEn4dXzQ8kWAb6zPWCTu4R75Og/XfwvXbwPf/Dfb22PAvvXf7O17c/6aWvD
IeDAl5D9wCT93w2VoH9DAhJ7Ch7BWTk/D5Vw/4btBlkRNIxoOX+xKf9uOGLeBPR8YNeg5DH9Dfvi
X9nacObOH7c2H7lNFoFVCDBWAiGG33fxmBNO6NCO7R1pI1ja/qwS11+flyjkiEo5t2DNJkjq1XXT
QiKbNnYcgRTkwPNVthj2Q87VNc45f/Kbvk17d2R7GYu1nUN0Y/TI2vkQatC/xj2ugP66Djl0bFNg
NN03FWh0mytWfSNyBEo+RFRfb3r+EdUiX2OaYw9CO+8O16PxvyE3UvAtrhKqgL07VTcf62E6TnF8
UTXPpRccrFfnzq7pusFyFXryCwIsN6snACpPflUI6320EzlgWtMrEhbBISpLIHdjtxWT22K7Q+of
5bQ6B0YvBwa7UHvOMaY1cNH6sVz0kBpK13xBpKt39zaPDQcQbeTY4c1dEE31UstWmzk9BESni25j
2n5H0zoUmwdNouINTZytfJpa+dkOs8lIvyIfr+pr0FLYP7nXoOcb2t3NCEC3yg09EsvRkp5FoPuM
r+0XDfPx3I3IUDN5LyYxApGMz+7icOQB9XXc74D3XHja3FfAPfPZOiBL4M5BKUX7iCrXgSZvRN8l
OKH+ra7dh00NTjKWMkrRpXTpFtIn21VvTT9ma9vRpGJNlNCquoJxjlwj+VTKhsfaGj/zqnnLoVGA
IS7pPcaivIga759vCLJbLm0aDv5xDmFCDAAeAYHPP2SNrJpqkdCbEr+CR7tpFzMIkK+viFGAjbF8
yV68llv3gMifSSUDDGMRk0VmtUnGHql5vcVBtqJ4R8RPx5nbNX7RyflWSvYSuCWuu5qTxkVGiXTD
mztXV7qurgCdgZXnLksB4VeZ76EvjYF9olahkIT1UJRU3vQivhqrIDq1CJImXFU3pJZvYz1WgHAa
mOvVlBm/T8MVb3RdbJO47XIcXXLnebDKERY5Nm55mfh8Uv3wZXaWQqr+Wkh58EPs4ayDo87VEud+
uE5J2AqSMbK82rH6oWBDOLUp1mrY0K2PSOaG8hYxlJdgi+4kEveI8i+PrGkP2PRGe6OX69IBGk3i
Ezf9rRv0d95SHtvA3jpziBTythQe2PdknlFpSgFP2cK7CWt0RU5XlSlocFjlcYivHH+074IhZaHX
IfY5h1lHlk/RwE8yHY1yb9hv1UZ9NXWYrZJ9RphfcZLOWKflHMeF2wcn4Y5BZku/m6CGUMCBfWwK
xzE8DwwtU6gk6yF2kI1CYCXhRuizLJv60C3+9znQ/mEWzXdJl1f4Wd8sWIhcqrZLOF3vtnmvDyqk
sTcd6hzL0UKBU/XedAFSoC9Ye3YFbojQlo5w//pOn4K+q8MDnYcw+LIQRIIL4U9uMfvbgHsJAbPE
RGYC0j1z4+asd3yTjItH2RGnBcNpAc1tqxuEAbb5MSadqx/XeHIo+IVZXlYEm8UrxD9vuW30cJRc
u+lQQ56XfuMfqirAlBY0/Ij0PqgS1YMG7e/7/XyYnMkUzAkvQWSqDBauD3kg/IbAtkoaDby2q/1X
NBwsFXum1yU2PFOJH3PTI2yKf06SLZDv4L0+RD15mWZ1lwCD/ES8ZUmpwAAav0dqiBAIUJOewG7C
gNgGlZkKlGUzONd+P9075QynSb4v1fppHZqinKwThbo14UPQpoqas9hOAVm7BGTGR9XIh7CC4aS9
fXpL6CLnrtdH4gEcUPGVU29vrfA+rYupF4oDjVo6gNdVBszM20yd+RiJUfLpoYEeuvMDiTGZaS8t
CEvStLAajfxYuUXdg6bIOCZMx8r2CX6MN2HU2Ax+EUbcOM49jjXwsjUKMJYGBLQl2yUGc57iWxgw
vQJ0lZJEF9RfsLajBYviKsrttOFeKp0nDUgr4C/epJx9LEuZCWdvxJp4xYtPSJw38RFpcRd2Vcsy
uqINWJlBkt8Maw6d7mpg2ksYWzgGykS31dpfz23UpWYobwHqJqpTKMX0RxivWw4B8HFrnTG3HUbk
lDE2kKCev5QzxMx57V8wl+FcOw3e42xfkfMQB9x16By1lajGPUA8Uv9QcfwFC/SBDO1V0wmdeJwe
aS2/jEuFQS6RAdMDC2yld7BnH+JAfq2w0aHxIzc+0RcMcyjTpffLorTulAZkOnFnwZagV57ALajB
nzenONhYsvA+rZk3Fiqo1rTy1W1TzXeoRA4YQPK8dO5xaEaR+jNcy232Td4Q9JvonMcsbsqogNgn
0mipka5plqJ3HLcIPcFOGl9oil7plgzwcVmkz3OP0ThjGJ8jZb60vST5JrEJYsk6OJXlBUbTXNo+
DtNtxfSdfYTAhbveXeiC+HMUzH9AKt3JetCpFshCyUbHEkk4evL96k7M9bMD6uTgoHtIsMhhgQvW
owXxk+C04DtvWiy4foqIiDTfeslfaDDeqh6zm3z6zYTgGBW07Ia/Qi8LM02rU9kNr0SyI4XxtzLv
QpEaot4Gyr3dA0vrB+/aYo68H3Fjz6jEMd0nGpNYk8fe3xdxJzhgrRfpf8ruX80zSDl/Unbj+Kmf
DoD5b1w0PP23+hvAH3wqTCCJsSxggAlUp59cNIoTcDBiGdDLryzgb8BfgPMr8RyGBxCyDjC57R/A
n/83pIjxNIKBbuyXUXB/wUXD3/m9sITwNvQktAD7aTsw5n5ffU8eRWMeRvyWt6gmvUvli+Snr+bv
ePLPSU0MG/3dazCw0wyz4WmAKLkL7Gb3EX8WrzpXknhoN4MwNSYIiTk+GM+rp0PUmWtQ+yF4LeQa
CqDFdR46w4QNR7Pg0dMD3F6m4/A6miIkTzGIbbyeJweBvm6m4Xgdhg5B5k/NG8/I4EY2VyvGFAwr
GY6NQOprwsyowhjk2yYJFWR1Q7eYhD/mSq51QcMBHskS3iHByot9lkQ2Sz4VlcNbL+eTrJ2i7wCw
PPaTFZ/Izi0H6lYYQwYAhDh53G6+h1EgLf4vdwe/c3MEIgl91P3QwNwfzXivISgjHmYP1nERqDLi
lQ7IekFrScDeYEON4XotY4F252qdQxeAtHMzi+U5aOjTGKvHqbFXvF+ewwD0JQtHjJ6r/Ktx8hEN
HK+EqE8u580JEZIq4ya8rG6LUVLdvpbKglTYS0mJlKXczlNA3oa63tK2jUK4/OPtVIX1Me7F1WzI
V0gRmJc0UOgxmASSsNaFzyHbbItjrI0h/IoYnhHHNLGDNiYoYL3ay7gNl6V0CtM1oLYrXkB8mDIk
IlJuBww+qa67NaB5SX3IN+hCrJ1O5VQ97KhnUffQ7bjTnCYLWpIrF3OyzJRPonvE6MOLoHurAH7z
G3I7Cg0UX1Nkfw4GsY3EuFXu++AvHdZnHWAiM4zXq4/9z63RkTTIVqG5Re3C6+Ax8IE6UuPPR6Ah
sIzKGC5nCeqCbPp6DAFd8Xg6LY3ZCtmSH344f3e7gBUT8n4XGnfIEoomqO6HnnUYXudXQeqiDgdb
5pzjpnYLxci3xhHQZZ0b7UZftHCKVpQIlW4oORqWzhSh2Y7dL31/iDFZp57KXLlO2oVrc1xbr2Cr
9rKR4osP+uioyPLiWlAaQ4Cxf3H8jhlA16gp0KFM5hy05M7ijy5uj/yfSKyPinJwkEZ1f6DSPUnf
XlFg9BhfhgFjktlz1Fl2CNCjTlHwZbRuAu/h6zJjbohm2KC75gpxxjte1i42lQZ2TBO/QTZ824/n
zKbVvYr9HmWIfzuK4wYtMgUVCzYWuZdIOE/MqC9+s+SGNyYLBL/zF9TWsHthBi3VRcvmFESIrtrF
fR4c8cRY9wWwBwi49RDx4RNBpvMYO2ckauE01yFGjsRFG7bznlvKqHQRG559/eCv9Rmf7xLU5J3O
Dhpz2lZJLCdx8OhQ33S+aY7G6bw3ubLoVTFZoY7btvJLp8vmwZQgqwwmicEbhhLrVFpkowNmvm5h
ugiNgZKjh+TAitviahmC6gbqMlrXFqyaSlHC73cYfDqJbkUvGG1Tsq82ZDwTQfjsKC/MFxXeIFFc
AhgawO76MfRhQRsMYJjby8agZ3MveNAEggYdMQONLwMQQLfGOKPtsRuaNalXNKoLBhAcEKN8DcPH
Glc+G2fHZpFRPYTdNrwuB4Ev2w4VFH751ec15uaMm8Ath0y2HzwRPjT4HrcGagW/qjGPDRMfyvtG
y6+zidMaIACrQQ+WDnksQ1xlOryruckxLvO41PozmtZb9G/1gZdA1OjavkHCO4gwet9jmzPD+Dkf
I+yAe9cDCOUedlu0XakSMjv45LqN8nr0vnehNsWAZqzul7cFljkwpyGx1fyu0GYNEy5zsx68Mnpx
e/WMPgp9s0Shb+pH025Xfbwe9ejiBl/rF442oFpxixpzvZRdwbsSEYY2fNDa3gYqfDMiuJFIqTJ/
eVkttPsViFlklwOixFgsyJTiauR92LyjyUV+rQ4Lvw6ABbQjBj2x6sQVFCBBe0xbCMJH1+KqqdbF
hMA+ekKZe9Y0xNDBirxhJ7hAqWjw++nvqsrqo6w5muMRAgXBrIOO5lhu4PCaa9rj03ciumJzdMSM
EOCPwVuMKX8lxg8MrLkF7H9sOnieIBaBgzcfDnOyYK2OmP0AL3AuP4huzvius8qaPsH8j7M/b/dq
IHibvjojWXycgvC9JMNpQXvhA0ME4JUxFtgD1HpQXpW4I775LMmKFLXt34lfU9gSu2TWFiNS/12v
4YP28rhwTMFicbdduS6Fku1dzVP1HpbyQiaKKU+e1OjOMRZR+v56Rzx4JWziNG/Y9NoTgWKXsFsI
yxLe8jhelBvxVAvTHcCcfKsAomYj4c7rOoT4vSC+m2+wJxLqV+13o6so8yiyd9m6edcIQpeff16E
IFv1U5mzlyCxj3EeIaoQeNiYJ/L7EsRtAhdT0krnpq6/hM1zE3/1g/9hYMn/9BJ7pfUTjbThVxw2
M16CjGBDo9t5uDX13Z9/jJ1K/ufQjt8+Bga+ozak0Ev/8DE8b4aOFlf8lgDrZ9GtxYBL8+Q42Z+/
zD47448vg9wq6G0aYrgG+cMQFEx82WjULPx27mw+1gKFIe7D8cvs362Lm4RqQvv/66yM/5jT++SS
f99KXP0Xe2eyHEdyLdFf0Q8kLedhW1nzBBRmYJMGkGDOU+ScX/9OgCJFstUta3vbXkgmUzdIoFAV
eeO6+/HX9P2P9wf5Nd/vDzD8sbZptikX8uSnma5/3B/Y3zO5a7ynDZXsIP/o+/0Bqx0aEw58XHje
r2FDl2pN7AoO44lN9R40qL9xfwD79MubxVJpb7bIonBNITqAwPDbdO8ZRLzVurCu0j6DIhfmdXA7
jqxut7Yep5uB4MpickxJerCWMIOznSmsgcWZYm3TAJ5JPun5aRhUL4VFirFYOjYWuAuThQFZzpWI
uUHC5lLMzYrEzzkSRDdm6pooN9hn8Mje7L5bJJ150g7hEhcbJDsbpl2B2gSub618yE9SiGpRpHQp
TWVSpGqkXDVoySZDv5qNajOgZ9VS2FKlxAUUt8eNIbYtLCCv8d6dAD8QqthcuztcSbexKzMxzZMi
5bOCo7JGT+OCEe/QiZ/kWOGiuOUob+AnxgUsStb7UpbT0OdAOu4Mt1olasCglb12UsgjPB8wvSLu
NVLmw3a1IBfW+0KwV3TQAmspCqZCP6RNdq5BTi7gq51q9EM4M1cwC7+2Ulj02tKfywHoW1Dtcyk+
5uBOLNRIdWLnLOVJby5wl6FYOlK6NJxpP6NluiK6TFLcjNpk10m5s5bCp4cCWkoptJKiKGPKVh/q
5xS1FEWw9C1DzOtwwgwTVtHnRoqrk5RZC23a2OiumRRgMZufCynJDlKcjYV4qILIXBniayflW1sK
uQHExkVowahwtK+KFHs5269qKf/OUgjuUYRdKQ0raMQpWnFGmt+T4rHZ81CUcrIVFimPfCRmQmF7
F83ZkeJzImVocurPJrq0FZovTJuX2lXusBw+DxUTIbj1r3iEpnU5pN6KTdE5d6ZtKmVv8SGAo4SD
HSTJqlkMjFW4TlDLJymb89hZO+jo8A7454moxJqIavPWY6A9jpYFVzLvRgQtUncID9Zkbvj57W0+
aTzYAyvuPGwBYmKj6ToK2TBOgyUhmsJb1QFfnMpXHFIGEk7Q8rhuY5bYTNhM6kyVRRUxl/fq1cyH
4TK5ibMhMjZcKmmmGAd9bxiJ4Zv4yI2ar5njSrlKQtJtzqiWMAh6PPxWzciTapO6Mo143OWOYi0s
OIZ71x3njdNbw6qM4xZoI1s7te/XQ5t/dtXwquaiidldOxkdm08uK5epccJlkyXn2mZG1bXHwbWm
WwEb4LmAFY8dF1e8oeFvCwRCXssbUtgGwhMgmN4EbkQCz8C3iGTMboT3jY43wim4HGgDXLbcNLlq
QGJzlOmU6j3EkULHV4nqxhIb00XcvIlO2WgGt5DeELvC5rICu2nP2t/aayFr1bJKEM3dQrzoTk3M
o3CHFeFionHYUvCzOhnEcVGtIZDl/tzO6uda05/gtwRrD9fIahCDuynmkVMpzaxNmXNXa4DZb/qU
G7qmy99vYOdczYIDW9UNlJFzzCeKiE+3TzxxiQZ+asCRay0sD5BKNnGOuab0sobhSJwMphh/jMjG
GG7Hb2jO/AoWZ5tE0zov8ktkxeZSJI6HNmUdXHKAi6FSN7GVPqu92HRKczunfb/IMpGDFxErEAen
phPheupwDsaO2ARVtbW75mtoACeyEH+XFfFJ/r1soZ/cMb/LmyQ7ss+/LnhFmfpib5WXlliEuHCs
pH2c7GI9mBVuafd9hGCzyMp836bDuAq1cUM0/fbjwfjPhCAzwH8+IQB4fO3fxWvzxzFBfuGPMYG8
nWwBYgz4Pgv8GBPUT55nMTF6mq1qloz0fh8T3E94AmiOAKIGA86WvrPvuWLnEy4h0naklCUYUrX/
n2OCyxzigcsHgqB7BAR+HY+L0MUR3btoiWoWbrGSbaIQpxXGq0Pn9BPBeb05jp1ebgx1JvIxdtdF
YoLAK/I3YerlslGaLZEWa+UZYvLDwTYWiRnVPsUFWKAh5C4jvMwLp7aRv4cxv64x/EcWl8FeGIbP
aX+A5HMUlrl1S8RbS4k2rK8eAzfkUVm7JxQaEqll2nP9avdhjks2Na397Mbof6ZzYlS+Dy3C/m3s
XrzBSZeFiC+tKl51CzXWtUIUCqtaDID1QEk5vZ/288kunMcxYH+lGcaTl5WP9tgfvFQ7Dk52p1j5
qcWE5gOXuS9EAIhdAxIWDAdnNm+KIuF4UJ51AKthHSK4kgBrRHWsnPIJRPXZiHLEE2vc9CN5H94Z
ry27yEUx4hFXnHYV2zNOhDHLloYYbUaBelq5btFhTkd/CZL8SuCOA1pmbMsI4jEhsfOQkSoK50Hb
WGm7Tuya7FsPhTnVCl/R52sjsD+zmb1Lu2k9uBqyX1hcj6a9nqJ8FwMcWrBmubY75z6qg3BVmdOT
LTX2eLBQmTQz9bMiLtdGPDV4E51NK+aLGAtnrUXZftSy92jOAda0+r0dkQUQmY5EXHpXSe/o5yxw
tqMb3tZnM9rZBA6B0x3sKUl86pPWsdPzJKqBybRzsmp5rgGXcZ8iG3MAzyadAyreEGIvFmlefk4d
u1wmLbOmXmvrzAUVo4arqZ22MYto0tzJmxDGu2Pp77SVhNuwNs8SszP2dQgasc9XKK3mg0EEgpnK
JVQZSIt4vc8te5dZGuyqaC3ckLQaWLPVNI66r4f2tHE/Qs+F1bWroVcucTV88eZ0kMoYaAyV6N9c
mw2L4HpvKrXu18QDPVtGzvSAOKkLB9g03a0uE4WlGF/ZFN3FarnsmxxfOBgO3rq8j7xHZGzDj2Q2
Ef9evYq9EMHMIVZC7Mqh5oA0I65Fxmwru/F6wKF6wGOX6CO61zHoG22Ry1RkFiZ8Lpysw95cEbuT
6UmbT/pakYlKFXLPYcLQERC2NGTqsiV+CTwZeRWM2q7C0bmI2gEy0UyIziT2F6ozPgk+KVieGYqj
6jog5BnlqrqsZO7TJgCaFfZLSyC0KS+xaSKEkxVlb8ie1y7PY5BhHSVP6unlF3jezKgkTXMzr1ZO
2qRLZVTSJd59Lg6WjOHWbFGjWdmQF0zmF9TLL704JskOFWAVl/WEw5W3QZ8Hr5OMvupTfQpkGLYg
FTtiHym0SIGNEj0oYfqednxkdES7FSy/deNBPJAhW+5BBvih7A4c41dPJnHZxoeQxgnnlgzaJvmc
hVKR/OvDujgq+midNGK92Ijq89izWANAmKwcbw6Wo8wBd0FQ+qEgGxwN/akXKSBtmRvOvPg2Eryb
LTPUdiLDqWQG/MaBnoEOneYLSHQbUAuXCebw2a8IKBu14ErD37SIZu4XSk+OGVpIsO5xvy/LujW3
Ug6XqecURiBYgPqSm8YhIxitBuodA2pJTKjfBzKJZ8zziM5cCpFcVaMmnlLPaoaVTXgl8ZsuOXRd
D16k7Y1cJ1IaFMBm4ubZ9cLIPP4zE3wTIP9yJqAK/V+Ldxq7/0trglwK/TQUWB57InY5dEB+FDr9
GAqo98Sngd2dAQBbLuuq70OB/QmEDo0KP1J6P2YC+xNOQhBGlq0RMWSU+FszgSP3SP/ZM7E6oHhB
wz5vQaEFlSSjgj+vzNDtLAsIoHKGJpL4WbnrpbujyOxiUWhtuU65fimNafhJlF9w6HNHigUPWKD+
w9SWyyxpd7PQ4IUS5SIKbJfgNqZgWdfugBe8eQMJ+gC376VS69PU0fSEE/FIAY5YmSWg1Mq4R/jB
EJ0nyxAo6qgnAJJq47NNFw6KHNwwQ714KiLA4AYW+WrxqI7OVx534zoZKm723J41dL8ZRt6iU1Ag
c69+MjsKrWKtghqgDOsEPuiyLpV1UafdQlME5AwUJRNHzqLp8n2EzQgTTlCS2x/IGi6D0Xypsl6Z
LoTT3H6djdqACa5s2vKuqxO1GhENzHDpcb8py8GDeoRm2jdTvtLVzvHryVj1VjGQJEuuu2RqFx7W
yLx0MZKryZfWcd7JiHmLIGZRYLTnrL/XGzgcwTQgIHhdjOpW3joj628t11+SDKfK6AmdZxhG9wYX
vB00zb5Wi7dax/9D4h/Hz8qaetb1dm7qlzoNSSQTmmGfm96pyBUfz51m5Fk5quZTYZYPZMTKq2oe
y6NaxJMPJXEFZ+UKyP+uyMpzozWbHGUn85w9RIQnoqhatUiNaYcWCdbRVHfAR7jc8HNzQeLhGtg8
W9RsNny+n0c3bOM9BTwc07x80CADxQ8GI78KXPUuc7N+nVdgQzzbQf+K8ZHDWYgf0kbR6aLKbOp3
tIGZUJ8uaoPDTrUbzF1Z6UI0UW/DfroENSTEWRhXzJnQYPVt3dgXK3F2QTZv0r7jRJ1xqLYh0er8
avSwwY36tEjV3jdzfvNDtYgSKjfMPHlEVLoDE7EZaNfIFSAznmi2Yxfe0ZRxFEN8K/LuKW61rUYZ
AVuyqPLtmqvYHBubsR+sNcK7vh5RYWysLAd+5ZzhXfKekAbrBd+bMoXWCueoxVIO0OJMOG22XnRB
JrJQ8ZB32WkOg5sc7tRustrwaCjmLc7/t0Jp8EzeiU7TCGN4lzBKlhXJq6Ka98LWHlQvGQi0J5sm
FgxOCek7Uqx0gb/kXYg7yCHg1bLWMOpqycYk9jUFghDdF69eoJUrNR+Wsz2fwR9cRar7CDbzUDbK
smQ7gAv5zahUe6kGye0cRleDZj7WYoATpD1ktaqtVJ34AYhIP06Vc6B6myQvzl1MXi/yirceEyBh
ruDoQTRcGD1Or4x/DQfp0HYtvWv5jovzEeTAgX9zXo1Ya/dAeNtF6iLJrrW4nXx7xnx3E3Gt0gGY
hc9JrK8KLFQsTFQ8a802jfvnxhvWg9evJpdvwXBfWhdhtjMVH1zA0tA6v22NrQirp8mRIc184rZu
2kdX725crc6QlIeMDZ/xFHdiNzTCz5Q+YN1mXowk3BFYuuik8Pxp7k9WPxA5tIpNUJAL9ES1jVJn
gz/2MdHTY6g2906BqwHo7E0b4Y6tslNEuC1Vu0eUplsR87vIq/6zmfNRU2n06vWrMcu7XThR8pXE
/TbTa1YW+g1vkn3Z4X0kznMFs3DdO2weebQ/5Xq9nCMzW/eNel1mw0HxtINCWG5RD8rOnMytKsx1
K5iM5mE79NaS+fY4eu2mzeZL26ftwslrdhziMFa8ZV3mkrzJ7oH8vqRDfMW8tmuF+d7AMCOau9OM
6KFv4lvLbe5gVmWkMZlcLIgLvfuWon1peQdzk1VyoIvj1BZ7Gmr4hGkDntf0gIfvZcyMW4/uGWY7
dHvKLPzEVjdmH68hMl9ZeXmIHfeb5vTPvkLj7v7n+4pdXr2L+DX747pCft33yYRKChMEoupplqU7
xs+uKI0pQ8W8SR7hY/Pwk6phfDINOADk7fjCX6su9U9EHChIhbD4Dcv4d0YTzfhVzUMdMSzTYgYy
LN3mD5Tj0c+jiRNxuo9KPWFQqrj0aCnjx6ly6Hn8qs5zYUG8huSCWG/EqjNvSztNBxa5Y8IcbJO7
D/RoWLrc5LdC651pgdD2mU8nYW8veBVaepsGaX49pQQ/69nW10xb2OdNtTmVtv01qtxkmeY679VC
pk+7jvAUJ+yqJVfMRUWzjnPX5DulyNp6oaUwOfzRbuiaSkJxrogk0j3nHRO7TQ+eHRfLphqmtbDI
RbQ1D80sV6mN8jRp/ta8s9lPe/wtR7dsg0MeZ+k6VVBj2NnrYHp1m+U1sKT16DnR8uNRWxtjigXm
g5aW4Up3u2KpmspzZmtXlT0Weyfq7jQbX3mQm6CcY7vCYjMpZ5HYn4eCQ6UuHW1D8P3rnCQvzD8N
YYBey3dDQJqtMpPpXmDaWLLUPYWE13ZdlLy3kLCfdTgxlzljOuztrF46TcbiYirx/ECM9A69Emgr
e1CVvVmN6tEivb2JIx2ZSHT2UTjOxeU+e5tr9P1E0x2VF3j9TbL2qlteHJu7jxfQUUQpir2EOFLu
5tTRFqY64NSeUuWoRaDZnElE1nNfwdwNVCMlmz5pLaYEZWJVP7PXF1cRv7seoHZ8mqBM4/wKNaQN
VHuVGcv1FCJfUALoxtNZtO94ROp3it5lMeIUBk7RF95V3E/4TMvZZTAECmNg72VG9Kk18L72mpce
9ZLgQZjPtyYSxvhNA/7n9FL/kv+6yd6L4o9Hl/yi70cX9FfXQmw1CU6xNv0Fi6LDaXSJD5v/Ptb+
c6nyPuHYJO3nsSZU9Y8D7/um1fuEPZI/i//Svu1n/4YgizD8+60KmZgyOv5MqAt0Vv0WqMJK6ehj
53pXOoLSIrG0udqIj/ynoRSRvrIiEMQvfLbFxfhIi2LSKvyZBCl0j6MovNSv8vQNIWM/YR3u9RbV
wDRZQFVGRhecMOZdAS5g1fXehVHpq4QY++Q1X71OZ+LTyZbglLLqDUakjUub41gpW4V2R0tQH+ok
5TFMhksqCyBtSCIhOpijgulLsBMZAt+3LI2Mk2lD7fFZn9VlzLVmMUQUTHbqtJ1k5WShaG84m6AQ
9NZO4PaqaKecxfAZnuyJ9G5myR5U+9ljgdXKUsvKKt8Jjy1TWXeZeER4yCzWV7OirEfoq77ea9ua
lsxe1mUOsjgzNRSxqmSZJh5dftoCb1hTzo85JXukz6i7SHBCiZRKTp3sUGRSeGt04VrI2k4yF9ig
aPJ0afRkJ4WJy3QEo0f3nGPK65LkNirKKxDd3LbywFrnsiKUSuTdEAOt8mIaKDUlt5bqYPZUelIu
iuvLWHaUGfjUjRzJeVxyK901bIYXZCy/THnvLlSX/hPqJh7czNRYzU6v5L9R9zTtK0kyQlrdbmin
Y0IDGVVu3BJ6dkqU+lGNWsqS1MmkLnWkN3WmPzVXiuGJ3+ehtV7mHAo3sSE2XPRuJnvVDm4HWcQq
iJE3S03z6oilVtHNK1TKMFwA7y4j9lBt6rHfCmWaqXEZia0+Ylx1xQhes/ZOHH/R3klLbkdQ6He8
LhUKpAo9DSqldxuAt6VF7UMlrUsyX72UTiuW+NmSLrxwQ+UaZ65TCP3oZFn36Ja2u4Vkpz79s2j6
WDSh6/zFMLd8z/51xmz7Xzwq8gt/HInGJ4t5jKnt30zsnzwqJh3kOuoS/qtveNrveyZT/4RhBLSC
Let75Jn4Q3wyNY5E6Iw4tmzD+uj0/BtH4u+zHFEp1C+PrCosbHZev0lPbdAlTTYX+nVBT62axkcn
TH2jn1Y/vTLcY2Rf+s9Gd5Kpv5y8/CSo+5JPidKG2cz6XeOiVSYlwJkO15ZFRLwNVddcWQi+eQzl
vdTZiSiDQxltW155U3es0+re0QUhIaB8/oC/fJUyGh56BjVsrx4FS1PL8WBVEq0rnoamYmpzsY5H
sm88arLbir/Q55J3XaoxmWsH/7Nbcz1z6SLwDcwMdFm7h5oqUS/BBFmA/V96lr01jLRYB3a/po2t
XXbEjZZNirnDMR8VBl3P7DxMIsYTt7zSR126Zbt9o+TjWVGscxurPcqLPL5d7C4eCdcgD9l8affk
yNnBhH2/1KV9pevbi6XMyMTdo+eKdz10XsJ8wkTJlS/tHBAIU3xtieBgA/JfAzne2sxfeF8EvyEh
7ks73MYu5qEsig4sMd+KIUrXPeMr/TmYTbNyrPBa4kDI2LKvtXZ+wejX0/uYXJmuWLsTiCCFvsQa
62fnaPeigd015t2i1KYbp+427Ci3yDrKAmdQzjdKZBCsP93tunWrTCRJc/w0vuO9eC3yijEuO4hP
7O1McnDgKQloOPz+kg0Lrq/uhNCl2tZJ6Tsy+AXF8DUkC82ZzvpADcYEOmOItHidatk1rRPJmpXM
Zs7NUxjCs2o1c+P1vLbRwLVAsa1+WdXeSwErBiDeDRCjaWnMzUNsA2QMaSBgeZfdNkO30yweMMJQ
P6u8ixfhMD1kpP82ozFf6fSZUjCe9JQliC9apn/RWW6ADtO2Zebt4GBp4CqGDRP+JadOanRK++gY
M/HSrPg8J9VT5HCxyO3yDlAEIbrawbHeGRvHGXzdCNY8cehC4C0G5dEcopU2RvVrkRCkWM+uwgrF
srFJaOrIpmQx6QK/jknycak6w1pzB9mGjac9yywQg5PmqwGihml8wQ+2iy1t3c9oXPiXq/4htQwe
W+FAHHFhxZL/QApgmSb6zkCk0fr03EoFz61fwZ3caKnyTu6FvC4Ig5J3492k93dj2LT+6A1LPD7a
jgcsffNDf3QJRC8VKtutOMVk1PSxhM0Pz3biNJhNqlMYq4HfVCOIFVk+0vD8hdzcNtthaJ/o1kJ/
8RK/T1Q6WspTavORNYr0GujCIVOU3ZxF5gK0VLSaxylfJ338xR5YRSQDfpix026i1t6MZO1SQCj+
2JHJtqsnfBtwX3dERqmFUbaT7QBvUl9mi9wXFDSiytlLZt72Q0N7fLevuChkmIeSQvg6farLyDNb
FB9jNRjmttfJvGoRQI+56jeGk7RsDVNez958KRgW2rEcloEiyEQP1abTiqupHJ4JwdDuMpkPbau6
p0qhfeqOzjQ/dDHRb0udi9T/OkZ/BQLIU5THhYkkwegKkgd0zi9X76ZpDDOY7Ol6mHxnYW6C/Xhb
nnasFpXX4hF+1A7O6iI4EMbtlqR4dn99jP/msf3218NJ4OZv6BbN6b/+9SLorF6xu/m6d16rYOep
rM/HFwVr+t//e3Q8kw42TdtUfzfZei3PrJgSmGstPlLAiFXn3Qt39Af8j7/n16fft5eT15NnIJcL
Bxbsrz9PjXxsdVqkXtvWQdhXlYGgaD7+9c9i/rff2c8/zG9/SRepaqMDDL/u180DMNlVv1W/uEtJ
6z3lvMcWN+R6Fvla396fqbFdnPtTvH5oVsHqkuyHxVYsxRFf2yJclmv+s3r46+9P/1Vp+vYiyCoM
1jrAMOBa/PoiZBTZQb1RtWsWAefgoq7Uk/YY7nVUab9bTov9s7YZ/XO9HraW5ecHYuaXiu8XyLv/
8a38c69WeeP9+VYQ50MrXv9FR9t/45XIr/0xS2qUy5q4YTyNoIEuiyl/aJY6bFESNv9GgNucDN81
S5edoaFTgMrChD7bn1FczieHzSDPcfsbVfxv+Z1RQXmr/CJagjRlAcmficmBApjfpkkvd2aPR3J/
lfUxtYK+qEt1j0RnsnWmhZHFcn4/JSF+kFE5ugWugMRC7xlAFkRcIbkRJTyF2kPqjre9Oh6nAMh2
Fdk0dA8ua+x4ppGvfRjy6ezkxs6KaSoHt7+oJdN/HAENdbY/UrQQz7ggcp5ZwMEQ8xw4Bxidvhoo
X/7w0fERp5NPPZG+EqmCf9aFbpAkLowortNAnp4nG/5uk5nTivtwvlRFdUf2rVuYnaLj+GGCrGaV
BHS7MMMaD3IRPGZMiq1uQwRvmiUh7TebFFkS1PmSC8JnqL8Ip3b8ZNecaLaDwXkk/FbHzoKOuyc7
NDeuU0HMGwxQqkJZGE2+1W0UAgrdt81IL83EMotquPFtKoO3vB2vVLnbw4v0HKtoILmZbtJ03LnA
X9foJhwcPbXXblh9CVXTWo5a8VSxV8RWwm056Np3O9Dnc5NOr3FlBQcQZ5RsWmznotBekc/WbvTG
EUuTikYQp9itS/y+CHHpQbPqHtMC7rFFxxVpLR97s+mQOwyccp1Nhupn1gi7IcI7EXok5ju9aE6T
6o7sbnuGTyDgyyBTJr+1HTzETRqtlJgayUmNg1WhNvEB3062AUzZ3upWPz8AgI+WpUr1Gu5u9QQe
m4aNIU2fSwGqmcWA/cSUmt80QquvI/z1O1cT47H2ArwnE1l+3cbpsVBMMzkCBSWJppQjOZ4509FH
1OBtdGPFxX+s1LtCVy9p6ZFZjYbqHvyq2W8Clr0vCnzbrybcHCZ6AuvsCzpCPq4/ofvgmMcA18ve
m0bQudfoJ+y7vOoDYc/w2FCUw5Lb85W6OwvZoRPINh1H7WFAy4Ydx0JDgv56NmX7Tp2jw1CRs6oR
5aiUDBep7OopZGuPLft7ZjPV0ALp9HFku0/ZYRZi2XLrGB/NP3QAlbINKJW9QB7FlDskYLqCZGsQ
uVCaSigSGmWjEL2Fy1F2DP1zmH9sBaQe8+eH+W38LsTrH7ek8qt+HOP4UdEZNF5/C3qc9/MxTv8D
CEMHwhJyHYfof45x7xPvYRxshMWJlPwSe2dLSizBhTfl0AbNTfvvCDy6/NZ+PcbxxDhsStF5GDjJ
z/w6EQClzyMA7+oVi4h4EeQ4Bm3tpQy/qB5EdiLTwi6OsYsZMh48/Yi7mk+w7lzZDMZdXa0Jft5k
HWHGZiZGrIwbPt1PhbA2deXcGAWzsoeTvHGeWeBWi2xsV7ODUmCRQQ0bC5NZ2N1XY3HH7hHniKdm
fl1rLSat6jlIYlgj+sGCXJpr9etMb4mWzE86dkA/H1tQTMWKnKTjp3O8bTqimEkxP2mhs+V2TGIi
ba9HJ3pGDb9HPTh6CZYUKCaL1NK/KlA/OCMeUqwdHPTWWnjKenbm69iDscRPtqm8pMMGUizdmDIL
I4D4Qj/tjmJwiSamCQa1xKmVtWhYOE65+0A/NKsDVP7d3OGaGwLzkKjsDZJB2dpDbFInzF2hU0hX
m+NO13gYVvbNUHU3U5uL+8yaXrMKeqJdu/swUh/VHEu7WuZ+pY6nMK2sxRA6yspKim3bKwnXo+5g
ms3OphkAapS1n7QvBLtfwqC7n1yLzIvJ/RkO1kuqNrJP1jhljvluOFUPYUu7t2V+aFDN3lfMYE1x
NH7OobcBLE7bpMGgicG/6uNj1/CahWFm4mIJExuvPwQAcaZyU4tWAXvsTcs1dCTgLEMVZqW2u9J1
w1XreBNuuZZcLrOBgFv0gcPmXgMaO+vrgbuMpbcwSiQ8e/wAaed6SeVfZkbLMKprsDEeDoK6XtGd
9LmQQG4lIDhjmGCXSWLyvwaCynPz2ZYgby+tvyJZSIcvK1wJ+3Yk9ju00htnrqaDYzhnJdLpKNUr
/gwV1pISPWWj+Vy4YMT7sb+tJFjcU0CMo75/SWCOg8x5n1sUBACUD6ENYZwg0omTnM05oAgh0eWJ
hJib0MxHXWLNvXRrRuIZHicNxYqZrSwY6DQmsH03AQiAtP3SuLp0eA1c6XO4WUUMRl2VQPUsVM7h
c9YvC0jrxZh8MYGvW0DYdZLnVjof7KLYJGV16Q0cjzCh7iszrsAjhjJpj3TKOiRU7ccAe9fG4v9x
teExnOtLDAyetXZzHJpnGsMbbE5KeaAZYo6X/FHjQsXJDSVRwUANkkqJGj8TI06Hgd84LIGbbirD
Xcr+abaL80x4iHjKV5sGBj9jVlHX9ZSKz/88V75tm7mY/flzZZX9a1kKuoX++GiR1+PvjxaIKlQl
0t4DPEXyT359tFD2jbGQTjSNEZ173vcbggfrEGzKd/1N5hi/C3AyBaGTqAK4gknwb0YdTP3XGze2
Rpc/h/WFiqvR4cLy22WzDoPRUrSebiFsboMsF+mBayvsx8nqNeKaLnYqSNioPVlm1XIkZeCEHMUB
zDaPzCx9sZ9DaATpzCJHpdsE/cgh7eMyzWu6tp5NIo+5bE1mcyqT7V1JSszr/VqWpiS0p9A2zcd1
dCNuC869R8MKq6dibUvymkP7ChfmcCsMh0N9fAwGEKF9Ut2KMiK5rMTeVlPDzwVtLqOhHpS8O5cq
nxP4tdpCFYm2niyseBVtMNkQb0D0z35JTwx2+Oeg1fetXTW0WXe3ah9m67CmKZzPkrqAmf1mcxPZ
ti0VNGLEUeCV47td2u9gIZNlIwtrGpprvNF4KvSy2FddBreDdhu9jy6RrLvh2/zsFfkVyb+Fa/SO
r0R2WT6MYFvxPmobuHflxqKFDJVvHZbZJQ/4YM9W/o7RYTXKxrIyqzYco18cMdwMdhpuuVa4gCos
wpDDPC+TWLFXnTJeQYqDtxHqDzH9aAAMeFzqWgl0yy2xvw02D910k/XDzrDbF7qaKas1qFyDj3A1
yxI2V52Q4ZLBvR4bZuOqHWecF+zNvGOkVF/nLrI4i2DeNAlneDmiBJpzNm7ymMBJHSferoLqcDFS
/V6LJZV/InilS94HFMfnWXUWFbgEr7vr7Cw8ww6u9rOaC5p3lXSL3LkaMIFpGO3ZRLoEB0hcoHnG
DzKJQWN05y4opkiWRognrbIr0B0l2TtFKa/DBGKV3UDCtdU7R+F+OiQUOHWoJ5kNgqDgJea+GCTj
I5iML46RHwMY5ph2ax6sosUhoXSvZt7gtzeNZyyVL+zgaekLnc3kmWBNomSrq+Q4nBIkXDevFd0o
MMK466mA9Zc4WErTox04J61TkDQm8BgkWxkq3FXfuRDcMZv6VUr8l4HgM80LTwyhRFDGmyxqj1Ov
3BHveWnZqaEkeKAUlEM9irNqBPdjkRymIee3FegPYQ57OBLBXTA6hzbhFar00FwbFcvt1KVHQzef
A2e4J1c1L7IwY/hQeNDQIv/WmN7NIJJzKLOeAZQJ1+mlRfHGmPhZ8iC+CIg21Mj6oFf3IcVXnT0c
KsV6C6f2QWoaYWGde9O6iuJ5a4h8Uak0FaXN9GTRP7BJQoWJLYYmzTFHI2GtcGmfyhGTUc8lOxZP
osn3htefUkPfYTZ96ArI9xhgDL82hh0iaezzhlUX5PpuAOC/VUbubZ00wzdquxvmE2OVYZZcBW3Z
rFhl5Gu6irfgBONFUuUJ/eXgRhuqkXRAPPLE5ZTCs5ma/XXZIVNQq6KuO6ywoQqqUAPerPIScCZd
jMk+JZ33GR857y3Hvtdt8wQDKPGNbtIWGFu45sojTsCD7EP1VveKdeZEZHEqnEAN1gOMY9k2J8Ci
ZS2BpLy1fZv3WzeHt5pqvjk5/OxQd0+0zwZwOZHxEfluNMcA6xam/8femWw3bqTd9olQC31zhwR7
ShTVK3OClVJKCPSBNgA8/d2QK12ZLrv+5bmHVWmJkkhEfM05+xjhZHqvJrH2G6PMCXNw5WayCKAv
EpPgD3/aApb7aLo5uk9reE5JYzyUyVCuenDlb1JoZ5cIbdiPnBFJ8qzEcNMEYg8U6APFstp0KLtW
QuphVtTSCJPW0SCdt3PxXMSaF6MbJjOkc4dqwzzr5PjNQ7BkHTVL6tE8V1+rGTeltAeLjN35JRpI
PfKG9tXtqPDnvrlAxTgL4pQsYpVG4pWMnpwlq2yO+WxuspjSqu+cW2KVrvtAY9KypDSlxDX5xDbp
GhOLZklychSOMvw5DxYhT0nEmIrQp3TAq5rRhPHTzC/BEgxVT0+Fg11YpRc+D/wRiJAqiJKaHSYb
HZ59OO0ldDmaIVSc9yUBVAaQWp1AKlsfH0uT8ZPtXFwCqySkIKYxPNVLlpWXuxR6gF9CVGgmmg4c
sKVOLhZn7BrE6B5Y4r5Z8rE8LMHU2ERuLNlZEFSxAX3macn0MC8JW1qmDuVn5taSvlUuOVyIGJJ1
sGRzVRYpXZneALlfkrvikV3ikuX1T1X2W1VGhfLXVdm2eW/LPyvJ+KrfSzJSaMGS+CztLc/Sbaq1
34e2uE8hhqN6cnX+C3ATv5dkHpAKOnAWycuO/7Na+1GSOYRlYzul2f+3D+XvdPve4mP9tdtfpr84
YaAGwE5hHPFrt58VyBzHLvLO8OOPcVcP5XWnzAmSQTFIuSgU+xkGF/rMQhQxppFAEC9bBTjruRbE
l9Fq7wtRT2vRlhnyoH7HuGvNso71pV6azKhymqogfbUw8fGgOslm0nAMlATZY6mBMp2TIaWKu7LA
u9JXRnbbeVLcIxDcBzRDJWQJVN/MBvREO2cRfnQ4sPWmKbT4yyQ7cYkikbgXkUPhxa3ORtYmY8Ba
uXhVK8wjhV4+uJ5mbSPOKbVpRyPqbmoNiMRTz0U8EHConjMzEBaL/mqfCEBwXMHNtUrto+qdO4gI
E8lO5ZM+5w+9jaCpEvLNXMyvruiZxJIM3nQp55n1KsoUy75mn93exM86PvUCJJpFQagN2lorOALi
xfNpS2ms/QntJGxLe2PY4hmLoc8yOcOF59wjHrtB8AM3Sku+m4H3gGj+XbfTZNMW/FEcv7v1rIy7
D8/lXvH9mZrI7OtkxdyTYJL0mUVuvezji9x/qHPD3AIRxjxkdaiYUnMvAMSVw9CsC5UcLAHGyIHH
RNCOt0RaZeUGw0/OwTEdYQXcRmaP2d8STCBtc19lbKNNP1NhMI3mAXMLSoJe/66juvQR34Za5ET4
WrCplMG3WFQnN/BOrUVyBFgQRttzcO9FiMkC0W7HSPvuBPM210c0o/KM5g3OV9SsZYOoCQYT89RI
fnQV61s3UYDZtOJNiWBkrFu+8JEGuhoM3t5dSn8+Xre2wXSp86tzh2OIujG65AFai5jIwlgYd5HU
WGxxo670sXFgWg1tyOcNVFn10qdms4IVfOx4B7u235JJnuxGBxu1q9fVZi7tQzFMN2PtPBttdw66
5CEF4hYmevtUxOJO2CLBqdnvjNjVDhzaqI1Fczd50YOuEOfWPY+IweybvHSkq0nCNKSJLn0076c8
0tgJaG9NrQkkwzLbTQ6X1GwEeah65v+x07Ij0O21YU/zsZLeTTpVIDmY64SyL62wGPJuVdvqCkvy
d7Ldj0nvE/vcJtduKlkd6N6JNHRjpwdL7g6aW4MHYG0b6bdGl2o7Bd1N0Ngvgyb0kEd9WKVT4Yai
tz6ALM+rTFZ3/SzDDmbXzF9m5XnjDM0YkniXYZRSc7nXbD6d0VLStXnynk/mzOXovTgKaCVCh8NQ
MYXLG/NAm2itLd+/EoOGadZGSaKDr9iqOr1JYpcM7OyuyIdzLPhsK4HSWKXZJimCixmX9dbN6SeU
VMhXGsYudek+KINFjN7oH5Fpf9Wt/A0F+4Le5Z6PO/oJzXy3W+2pXdAQRVE8FXAFN2bQ309AzneJ
W3ypJvvkaNXEDJJYi9Y+evboYjTxpYdnTp/CSdSvlioJKHVITV7yWXsH1qa2jDAzuqthfm0s80vt
B9Y+0BckTOBd5n5gYNgJvMkNgyiXTI9VIKY3Ih7bg+51qB27PPSlnu8nHap872HbKYT1VcKJ6Apw
jUr4WKX7SK2bHp1JKmVJ4qd+HrBLb5B+vA8zaXulQ2WZmsN6gBa/R/iOJ5BJ0yoAXkz0FB2bstUb
+psiNHAO7vVIOedkdBKUjvWILspEwm7Wd6qkgJl8TPLGjDstKUfep4RQU2taJ046radUyOvCU4ep
iL4WJajoQsNPhJ8Snhy4nhBO6ZvrlXRhUTpvnDLaxrY17d0S30sl7W2Go34tPDff+j6NH+fhvCvT
+mvjO9uy0XaxinYVJfut0BKXfNUkIEhT6ZB7CgCpWkkwCwHFt25pyq1XG4c6tq5Yr4EBKFJ/R59M
8C464DAaJuD8ff89q/V0K2RnHU1p4diX+K1JWiuJ4Cvnx1kVvDekBW4dgAcrjeJ+FZvo3Z1uOFgF
+BvD8ElCcYZTnAfHKJhPgJALMMX0N1E23zZFxGzSu/fxdF3NLZ2e6MELUP9fZC8eShN1UgbXbSst
6rBeaE2YWt2bW7P8JJ3A340+KrfJYDtJzirq1lxcugRRXoTCN6uSYSflfCLR6Iqk3jWpLJeBjdnG
SmudcB/abaAl58BJ33yIEHkbMZDwAtpUV3OIOXaOleVPG3ZIaFNmZMu6rp6MPvtWZdolb5L7jFhe
8KG6u0kbw101tnzPCYyJCx2rkmUTd5TAXu8TsyRyAFBqQvc19Mk5CnpoBYY+rFXdwI+PshMUUH2f
jmn8VAs4MSr64tJMrUweXS8vPjAufHEsjej47iw/JVOQciLHDDZGgH4pKPKnvvIRBCYIokxw4rMu
9bWWJ9cGG0ocndkpZ7saLphRRxs4wAwD7lC79/royieUAKzrdES5HazrjFw9p3wupuY8liYMiKko
sKnaIW/osW6Nk5MX3zXpf6iR9tFlglLW2j5q03cUgtu2r7pd68lNK/lXVWlPeqpfzfGpgPnW9B7m
/QxRd/oqWg7fgeV12niHPgFD4HR+HLZuc5xbReeW8fYUdOoMjk/jzOc5wYq1NU2m7kywV2gl75M0
5j/mAMe+cpU0+eKqwM4AliTZUbl9pQI7JGO1ral0ELa5x9lhBdDL5Ia9AGJl9WxYfHM5AhiM0lPG
1GpnFd0bWKPn2IvICMJIr3sFMIHyybC48AKovo7AHjz5aNCz5LFR5AfIluB4TdYXiUNmonNfW0Au
eg2Kk4dYnhVvseurkb6ULA/XgD1Pd4H3vijibRLx6JQzKkAYJPfFUPOr+SWJV9SdEHMTFsrWUj00
B88SRzWlH8Jwkm2s/JsJylg179qAbGzIslO5NsYrX8seCBNEF2rbRYhWdpemA3nYmDkra361fLV1
VfzquyRfmOQnaJFOTomsvxHZTKynqVKHi3hoTjw+D/HEWI3+7cmQHhpuluJts4EYHud7s8oPA+D5
yLfkbek2BcHJmHKgH9iOoT2Loar0kKTstjkiDFzMxsmn87j6dCFPvDul7iTa2l5MyvGnX9kPsmOF
bXM1LmZmes7dHMQ09PicNS8ld2yxPieYf6DL9utoqF4i30Ac7hPhOUyxsQFd9mg15T1OyHGL5Ouj
xl1tJ56zAorFb5p0W2JdDsKzv6HpvxAcQFySx5pIJF0RUne1YZbZSAPUYCyG5ZHrZKIu1LnYWq40
3r/lvaM27wPyrgIBNNmwV7m012PnnYcuuQl672qReSwBKN8MljZtYF8Z80R1U8lX7paJpLE8JPTg
sU0S+9j1+vscDeVuTtmhTIO/B/F/ATjD6kQQLEUrsaKuUWs3Kr83xHBYrBVChxCsLebgK0Dsdyac
3LKDDYPnUO05d68ChZZycrjsnLbd9wNPdGrygg609syGB9UaaDvJO1nNMt1Jk2o3MLKvWc2iT9xk
oF5TB3/6iFSE8NVV4A9nYkMIZZHdTeGk3+XUoKsyIOxMybmK9bMTTNu8HM62eeMyqtPIo2waLT4O
evWcqfjQieRL53WPErIuMCp94ze70fXukU6G1L3nqTa/JtLYB+Sabq0iPsyTNx/SPv/KD/goltbe
oxbcCPjdJ06Fr3ZRDc/FTGBBVaenEZ3/uoXRj6BgvlYD6Se1a7zIQUfcmN0qskwz6UPtaTs+CXCI
neoqscRzoZiB/tPQfzb05v8U9Z+/yT9Z3i9f86OdhzmJlt9G7gI4ApMT7fTv7TxGS5bFPhNPfWna
f2rn/X+Rw2xa5ELhxQcaz1f9aOeRZzkYnFj5O2xnFnnW39Dzw7P6YzvvYXpmY4PRhcaeEvfXdr6p
24KtoznfyGVcaJgdppeAna90pkcjrXeR8N9sSuV1JPtXvSea3CVrUx/tU+tE+XJtPgZDvdad6dqZ
keo6HdLEiL5Cj7luknw7Rf4FThWTPaM3kbbou2wMrpXlXFVFtfPjYE8XdcPunrRVdyb4L14CXV11
7zpVTz0BiNstT8jISBUc7Pjac2ljNZmxlqydzWRSqteavius5KCTDRhK038Cw3hpzfzGoeFa9U2J
IQvT+lMGMigaMyCaTnCbp/F9rDLOCp2cKydlHZFX+nrqbCBFcXo9z738Vna8DvX9btYaNFx9HGqu
sSf3ipUIuBYkSci0obnrHUAieex1kodNiX21N71gncHUSnJnG9T5K0ES6w7t9UoOLDZqBm5hZac7
rOGLqEcsoMR9U5YopLuA7ZNYN3ZuHMypOlk6nZlBWRaVE4ZHWq8wyrwrlVVVGCj3vjYSkFF+Q/J9
CbUJDId94+fuoVS9jueROCCndfIDzI+zm1lQwErwy130tY39h1TznUOiWXt7ihgX6EzbCWli81es
WydVK1ZH43KjArWK2hV+V/1h8gOISqNzgP40ru1Y3hlGvh9t3wsFfSQlY1uHZHpHB1cNaPT0DE1e
GmyTsu03s0gmFmyEsjpx9tYYJQrxeol81GbzLqgN8iKdbCMcChlNN8Ra6wzc8gjYsxW9YYEaPCoP
7sI7jX1dhUrzs4MEhjouVNTBho/qml666yoWgXsMClV07ysft5YrvlO1gkiEx36cpYCekDeHpo4f
Wp3ltN6Ze1tjg8hwnLzj3tkMwPD9oawoUZvrti0+qpGYE3tWJ30cXmSL+d+dmQiZNbHUmFjCIZIo
ynwdd/F81ZfjVUE9HDZ+ejt3/hBWbNc75VyXy2Ym0p46tPcMnuZ9SouxQs5347El6n1j6yQpOFU7
q8ivaXepZ17lLnNmPei4FaIbso8eA4wBq8KJDrFZOzvIQ0WYGtC6mrRqt4kovwV6dg0ULhzzmLTL
ILgu82DfOXA9cc18J+T4sdKmOoy1mPxDU/9uJfIJfMyauIaJCGrT+IZzZqMZ2pfBZqCiOv/awh8Y
GmSB3bqZ/bWTw8Kl/u7N7Wly5Hk27FOczAC4K+dmpKa6Lptil+vMhFhanKyxCWEcAWUzxR1bCjay
yQQw8iHTNvbkn2QChXNAH89oDm+N1B6SgTqwy/JbP/G0EEnHF6l1d6nbR2GpzRcB5CV0iUqHSrEu
SBbVNHdPAV2tugjyjN6gnGsyiPMiuAakCd8gu0nANfYUlI2p2tPgYXnLivlr4A4djWAT4nYDBAIV
SkvBbQ/1Va/mQyCTV9MBAxEZzN8gRq9kkt53ufMaENeGbYLc77L2nshgLkOjiHiIKxa8lug2Rc1Z
CBqWPWRbAks4/3Pjft64Bvqxvx6h7/vitcq/d/+ta1i+7vdbF7wBQ3ILyxCx2RCRfrp1wSUg4HcY
H1s2Tjvm6//WNWCVs5lrc94TI4Mw2eQu/PetS1IjEjwA3v8Zvf+NW/ePqgbb52onysUAuGsiuvjD
CL3rJ8W61lGXXj/GyJynu6rd/fRHufy3g+43K95/xNX8FlQHDPeg7jimi2UBltXP2AXgSFaaZq28
WArD2pIq3mJREZZZWhehNzU22sods9u5Slz/LITwXprYM7Nbn7s8FHoxmmhgZdji3K/FeIX4hyzy
ZDMnBjMn0EDTlF8iR1vnlXaY2mCv1dV9p1MCTAKKU+3djUm7jyYkdaIYtxC4jLVj10dNqhuO7dd8
AtJPLHkv5SHN0xfW93SMibiJu3bjm/nBEy1AhrH5oH3eyTxR6xzj7y6p7T7UMMusOkft64E2pvdg
R/H0Wm3Ir/cSu/pBD6giLEMe67F8z1tg0aCg2PsX7xHIf+QhEryOPvqrum22ROJeRZ23UCaWfZ9a
VFae/rqkRCATI6fELh8AMh0j03xsRkyyZtLBgJnaUEzqrXXt42Q35bZO5XUpRrUOas9C0R05YVQ1
gGK4ODy76jbxZF0XMUqUrrVuc0Us8Dz0L1pqoUz2xo1jesXKN7uP1KsZ8CVmBYKzupSVffIUKTUS
IOMqz+p07+rUYIyn4nBMiYhPpMnSeEBdaMv52YDeYvF2rqpeu3OUxp1u5g+qgFgR+NkXjcCblank
IUA+f865h0JUDsdWQwKmGxB8DT++irs3Usm2Afr4pFBmaI81Q4C8fI7mwQ6jmsuxio1j4/fNuhu8
3ew5bzJht62m5tR79pvfFoJojOTDL+jQYtuf13UXPCBh+bDJI9PJR4TloJgskvIOiIIW3g+ruLgM
ZvtqpClQEJvNA97KQ55kDJ05pBN/0b9YaMfttlMbW9OD0Cn7C3vbxyHu21DLOxLnRLOsR+7jsavX
lRf3YRmxnbebZjNgJJ8Xk3Pgp/cmKHA23nTdwfCcEcuHN8v9SNPgq2Nw9wqFyQs2B4g/ojuuCZJv
wjhNZMi58hhPNWFgDkydzCLuyfMAXAjFh3X8OqQ5nx5Vg3hU/D3Qxn2haMHwhw1+SMt321Dudmj0
xyzOaYWBD44aouwh7hiRah+d5n/R/ImVLSJCzzJYfI0RWoKNR1C5uemsiYLn0yqm7KaO9pK/RoDn
tH5wYjWvsOfzKQ/y7DGDYXdwZnITXEs91DXgqlm+F+iXkkzm8Dvld6Or2XwwB2UDzsA2U92JnIr0
2ba7de6i9WvdJ6jZ424SU3pVQGhJNO2u6dNgMewT9wGShMzuAXCoRr7puglkFbY5WSBMDcMYBvxY
Wdc2Eemhx5RW80jU5NlcMJVnIGkvwnfeiQmtVxxrNaWVsS1yGQ5iOkGF+KaNPXSpBAZo/yXubShc
s3XXlMYGcuZdZVgHZWh30+StXS1+ImnnS0sdWBn6KVDxBe/WZSrE9dx2W5S0YRRM35kHED7kQYNp
u2xTADHLaqwlbUNcKIPkRg5nj8znpgbbDJdxzSJOsYhkEpT6GusA7WbqGlhrQbaJzPa97cjKqcdn
rX13ej6Jg+ttLTslPjAiZJqLP1KwINJ+0rSNPkzekxcP466uGzNMYxhrji87ec4s66WobOCYc73x
hjLGCZFybq2yypaE/jizteumqgn9HFGTbxVPWd1um069KJU/tbX2BZ2Sdav3znzhwqu3TV5/q03j
IBrr+xj5N/U8nYM8iNdlwaAU9aexTurBJ5kU2kwxF8GDXfjTdVyI+ySOX1loaaHKCNlpmEXAbOhw
CJasMigDv5Qm76ISD0lSpevA0o790L70gOCZZJNlFS2uT1IFyQ5IuHvQ0nIG9FrurttekmHaQYh3
U7YC0xSoJRSMSU1jt89R0PZru/OKPU+zv67zbm27w7AfjE7tGH5WoVVU004RjQI0QQa4ilkKMeV1
yHsKjD1IiAuulruWNCXmH7t0WDgPWvSWVKwpZ9d4QML10hjjfew07gFH9ku1hKvY8Rz9VpS9jf8v
fq/+5NqlePhpOf556WKERabv+iby+oV18vOlS9AS7adZ95cK4TMEn9R/cPmpHQre9P9yCv5aRSyv
xZrfxRcAEMBjv7/I8n9KSWnbauyoZNXFJyUpe6qnrdD+D7Pf//USy7//9BKKLOlc9bm6SB7MCVml
GL7a8v5/lyp/+iJBwAyEis0wl6rr5xdpiawc01Kpi9U81NXVqJ214fC/X+K/3xb+VD+9xDIE+en3
6FgSxIY9qovt3xf1di66DVVI6X1Lp//jlRZB6q9V16+vtPwkP71SLgancEH0Xmqg9EbJNtQ89mRy
DJuhOM7Iyf/3L/br9Oa3zwC8BwdQOS4/RCO/vlwXp+PcdIYCJPJidCif3IdYnKbi5fNl/nFaLo3B
X/cah3L6E7HO8jU/+gzDYYRHi4E2+TPDnbf7x3TP8Mmd1HUqfd3yjF+osB59BqNAz2WIR/rAYqj5
Md1z/uX5VOy+TV+wUGHNvzPdg0n/y8cRHgi9vbX8DEC7GRhaf/g4WiKXRjx43bnIXGZMVZ6sx6qg
GrvFwT+zH0kCEc3uxhaDLtB9DZnaOEZnGujAzKlUoT0lVn6q/aSebtDfOuwU/F45DQrU0a17Lqhc
WDtoGciCVradJy1L2CgdzLUWBVX5dW5coo68vg+acu3pcrBPo+OodoReWaftNw9fxDwz7wN1zt5k
bAamS8RVNLu0lcG1qHVBGHbjwkNU9mNdMQT0EdHVfZU55L+kFOe1Gk7JImxAYVOevTzr7ww3U686
FgXCvFIRvw52M27zVi+uEjerKAar6Jxqjr1F8ipQgpA5vvKVNd3C/owO7PLUdVZ66myg8Fs3qElI
waPRH02z+eYnsHvyjiVSKFhFHgQBDg8kuLB0EqXz5s95sBtErqihYY2gTtzlmm3d+bOeb8ZFbpP3
TE9ZBoMlcroODYerT+cGNfg2g66ytaXB7oOJE6hVC4UQb1O3ryMdDZ4hsYwGgTC/WrNkBjLPTIoy
szdfM6qsU1+38WGCIfRiOa2FbcZkJSy5+me/6G/6PnvjT1oeCAg37g0C2PIwBSpzbSv25WBTxXkq
sngdT8T1OSB/d0EA3TedA/9M0puzJ6eeO31iUiKgIb2xa8qvkEW2Tz1p7ds2SEsE94kJjNLI0b8I
QjamIKIxGWv3lpJa21LxtxcrseSa9U91YoPMEKnNjixiZ2ATmr+tnWn8ULbI974s4uNYJcB1IcFq
12SA6NBfWsxQ1YQcpeuA0NWTX+5kjESFSdq8Gp2GM3A2g+iYN5r7RGPwjN7evDI1X97w40dbDXTn
dVuZC1Sz0W+mWQDM8FV6iBOWjxUqbgpWOd2JxlfroVX1Zkp6YjiGOdq2mALi9T8n629THOYNf32y
nt6bP0HDGXzN7yerB4XSBTDgemx8P4/PHyerqcPOttmpoGd0f1uO/HCmcHx+jlUMUNico8tk5cfJ
anOyop7UPYhBIGZBJP2NCY63TE/+c89jTAmo8AgJwcULdoJBy68Xr2fImPn03J29FhtihoYc1bow
87VX2wEZP/63NorVtpbEqxvTnNrasWj9HtmNl5jpl8REnnMjoqqvD7DAJPPbPiVwV2pO710kzaq6
lEqepZUlD+zTkQULa/YQJs8t2EWRfrWIlbydSlKjpB5xXsdUtNG0Kpcj3rRnse0+P621MzaAkSOt
QKJudF7efiEbMKWpGdE/s5q3erdN2q1ZjolxLD4jeuMZPCNzliil4VxSfAMrhhy3JPuOQ+eumyXx
V8umeqPqyCCnxzU2akkG1jO3ecJ33Rv7LJjceWO1PXnCkxnM4yb/zBmWXqSxuralhpZJzu51P7Wi
Wkuzcu8T12X8ipoGscCSYmxIkXX3mZVjxMD5md+MpivMXe3xv6e4rV5mZQcsFxCpp81qFJV3QLho
6Zt/HtHfHlHqjv/xiCZl3P7JlJUv+v0ZXfK4bazFhuGixlvIrj89o1iSQSdSHS3wmd+HrJb7L0wa
eI+pc3ystz+hyqyl+OGp9YjhczxMZ3+r+PGWXuvXRxTALTJqUnJAn+Eg+/URNSJr2bd5zpm8Cqt5
RLCbF0gDpsJYC6H1eMSADibXrZ9ZcA7cEciiym91zQpJEs8LVEyEaYadpxM+PPluC4O5aub15A34
b3qn5YEibfSoLHaAjDCqObutkCRLpMl4Nb6OyuyY4Fhnwp3qtb3omNn1oSmtxWvlwfMzF7Uzw2FB
BAqbGoTQzCyzkPDSaa0QSQsjeuG+RjZd6SmKsPxTTp0RJBEWKHx2g9OgsCSNwxvdsOqBNV/b2uTu
JxxBiZ1EyxpWEWMCyCwqB/lqEtgRD6kLQqGIQkOW23ZkFFcV6b5OtX2yxHWNTfmqWw0pfnhfYAYU
j0msvZnXspyuKxs/keXx58lZ00Z59GDU/m0Brj6Yhl063xqd+6iG9hk/98ZGuxdc//Mgfj6Iiyjg
rx/E6/fm7f37fz+Jy1f9eBK5EvVFDsBW4/Pi459+fxKNf5mYO20UPqRU/rzvsLhiWY1wLZJmxSbi
59vS/RerDsuDHGCxQlge7b9xW5qLAOLXZ9HnHFh8oVzPpmv/kQRlaaZi2phlN4Zud82RtTyGn2Qo
bA3MZOapTfGppCKSoaYGz9a9WYAgLfbj4QCyflci4WQgu0qRZIlFmyURaTEWaVjGwsZ8ieiDV25H
WCEOGTMEynoDDzpdO2nR7aXp5GHCU4kM/WbU8mEVeOa3yDPRBDbZSerzpXRBrnlR84RYdMewaN72
/vg06+q7C4IAzhPfgJJ7H4/OFtNctbfb4Jbm+2OoyHIo0gI/FyBuhgpdBrivuFDxI3ImE32hw934
VXQLk3DRFOI7jDHN86D5+8GVJjhoyB6u+cUGSINuEEAIgS856+J62ASOne6lVeSboPFIYa8il62i
eOmzukO+i+I7hn2NmEknS0iU+arXLA2HoduJPcG/sb7CUeUhrCPej/tey/fwVaB+kde8a9nanwgb
je+8zhuf3YECpvIYUHAoODeJb8KeNRLjDMyEHYptXmCsYu5omdS6tdftGBS3W1EVuNKGgpc2U59B
Xt3twfRwSIoGQt1gjLDQsoh4ZaMh1qjvrJMvG9TxRTCx7W6Nsk6Otoem4sCuW8u2Jnp9ZqWZ8WrU
lr3uobd5dZpeC/xShOMBoF1yKog+XIZ3W90pbm0iAMG8LW4+q8ne86p/rtvsqtL1eI3meJd3GYQ3
x7kGznBNJAUfpIKIEElEicAWazZfTC27ShVIhtosHiz04xu01282skYz9s5lMfYdCZ5edkHLTGQB
EaIWcZaOSOdrbkDCs+mZM8m5atlDdMgmcegLZJ2M7Uu0g6a/Keb4bR7B80U6lAUZLO5AEhFXTlDi
PWmcN4wuzQq4RoZwsCOmXYybHoAFoJZHthgjmpTSWScD2WHThFiAUNYzAhkExbpT7YmJhZTIkTsm
/Jcp31cYwcbDFxgi4CtXuQOF2J9B0kwiGdb6qJMRQ6mZYWpcTTLDfKZ3Jxd+Wtg5ublJlowSnbAS
d0ktiYgvYTdFuseSaBKVrYcKROBEWIJR2T6C5fDeiyj+jp80x9GZh1g/GagvcSlLbso0mBtjSVLp
l0yVaklXKZecFZ+Pvr4kr5R605EzS1AGeM64mhXWNpLjjuUS0fLP/fFbIcdx+9f3x9W3tn3/s26L
r/pxf8ABWKKLQAB8AmF+AXEDkF3+b45u99+5hv/ZlxOkvJjVdDbqv2Ui/ei2oM/onst3ZAhOvWf+
LZXakob0h/vDgV9mg/EzESHZyN9+reWGPhg1ajR1M1EZeRsxRBBBEK1PjCsSgQA2OnVzRoT6lA5D
9mT0BoRpmsSkO8g5WfK4kJZdtewd5k3KQzZjUJdlhcW6JBz8bSQLAEO5bKJ508Uke+CTavaja8TB
R6AXRnc/tS2L4i7x7GgdEW0WrHNZLVgLpl00NLUbmzNO/Eyh3J4rZs0rr0chtinMuJk39pJstFok
w0w+MmPX61Cgds0Q285jbmC832K2PdAU8lSUGJP2Uhum/WhNffqhLH/cxinzo00cc59tgB/oRJWM
8VGL/Pw1gc29DkB5kqsmp2Gj5UzLhgJOWCB4UvWCG4FS0XkdHEZY81ywUIKyI4ikhSHmTOLDVRpw
29L/IN/ZXnVFXGw8yb+BqOSZHHo0q16lTiJGke4vUbJxAvCGuAQYmY1Gweh5Gdm0XYY5DOb+qtGR
t/dLCoMxJfqeADvSl2FofTP8ZTA0V/FRNlp+sSfCFcG9BTtflu+ZNzs7K7fiDXRue9dWXbLRyUEj
rJowN9vp8wvRK21YB3iq5MDNWddq42uY8mPfehdIaPfc53wshtyCiG1j+atib6W72itqwXjvznkf
kins70TTfHgqipAAQ9b1inRo16rBZpx3xChWVdEeQVKka1MT6TU/M+iayq2OmRrCpE/xUIB6ZWKm
ptsgiJydCqpi0y4MAmyJ2Cwa21+pPkKdPDf8mL71kpeZSeGfxqumsdESKZwvFdjRFTIqkEWsqXa4
Hutb9spw2GOFWS/hAp0no0YTMbHzZWSVb2c9GDftQN5WC/hrMxpej5ger3I0ltkeQRv7L6Io9/8c
m5/H5jIN/+tjcwmGO1bf6j75k7Nz+dIfZye1N9s3yjvu8n8Lin6qvR2aXI5CixUBZfR/2mBcvvwQ
Jg5fg/3NJ9Trx9nJesCnof78ZpjHnb9TetN//fHo9AmzpQPmHEb9S1X/69GJr4loSHtqbiayClks
m72BFa+EY4GQUpQ3ie1eJ8ITZ9chyXj+/+ydR3Pd1pq1/0pXz+FCDoMe9AFOTsyUOEGREoWcsZF+
/fds6ao/ytf2Lc89sV1FkzwkcfZ+w1rPsq1bKDyAuyL1zgjNu6wV75VKesY0xXsO1yPWOiAs4pRR
ISrDcshLDTajFiy60yPBhDZYGyfgySzRRXGhNdmEkXPqYmVTzcqtncaPzlw+WxPepbB5d3mvtMg+
87ncZ4JuVlEIPotR4LvxUzsDFTXV2znLLwIrweCpl8kZoMjaE1lHy9ZqNX9MokcLYQwAwnSdt+Mb
yMdz6JHw3BovODa2Q98fytBGSkymidlcwji+eNVE0r3pR0gRhI5SqGrO7aQ/M+3YxRoJ9fO8UrLq
mmrppVK0NRdQ0AD8jtXhM4ECN3EszhFQXViLjJ7F2sjtS6tTWnvfutaTLQGQapxkB6bnr7zdV4lt
PmNI2SudF3AQ38XRslXSNChqTsS65X4BmBFOyTWy8OIhRdJS+9EC6bjM3V3h9m+lDjHcLS9x2JwG
m1W5hKG3846h/8qJ6m8YRS5cn+sl9PZGZN45Ma40V6l3vUNKq5mz0RCOwolMJFWYvRqVeefVrCcT
hoa5cK5C6U+Y2IIlGvYtyOrOUe5Sb9pravhkykLUM5jKJdoKhyvrZsRUcag2vkyfStxcmmua6Taf
RRigJ3t1Bq/d1s3EyW4JP5pq4sjqeIUV+Q3bIYSPto3UZv3jQg47t013KdXwvv+ehGkuMhUzNe3S
2A5tiTRUI9ZvmLo9bkt1WzUCupRb32VVXx/w4JCk12TYxxn+nSdrwdGIRYibhZoe45IehMaS3uma
vs10hHCUmrsUfLucvbhELMDcwXG3+FrJTCitnWbdu2qKqGw0dzhUrKCz5/vEnJug95B2hoadoSnp
a7+q0Y+MUfeI9pp62hZEhOT6beLOdbBwcVu4rzxFJ40m/FK5BvZt87rAVjHb7EKPMgbyQjHz8B3d
7NlN+2eFBLf03Ip+WPP/Cr8BJUbcUYSNtbrVq+JpFD2GGmnnCBly+ySHZbg7zbcIzjo8oXLGktVA
/jG9C/cHKUjAvzxFTKvBxMU5DChWM919j2pQ6LP+yKT8ndcfr/pK7egtDNKNa6jncUGhYpU417g4
sXviUKnzNsBedh3i4oAM9smc5m/CUQlgdw/kmSTYLMU6ieKnBKoGvrzmModjs8FhDGVNKPa5ysN7
Zll4nuj0QKTIAA4TecYIZXRMF37LDfa6CiCQKlGkjoSSptBJQyXfphJX6i3DZ8Rb7M8gmWJNfosh
m05gw+AfYXYmjxKPEPhTh+VRJIGoeqPTZuRE5Bn6NoSZ2kt4KscU8npE7wjGwMgkn+bI4Isr5pdE
oldtBsqe6N8UhG2dhLNOoRqQQ/vM5m7wZ5aTiy4Qbkuiq0S7Ms0Qq6WtHyAcgX1N53k9SRTsFIaf
DAmHDevQ4fkyNjglsBt5I29RCZOtKt6WLWtFXh5+aVUnelrCZwU4JmAcKOkklzZZbF7bcKghIU0F
XeK8CMSLiJ9i9RL3w1Opqodewm5zBSZWoszUP5Bws1i9HyHjWmX8oM2OivTMJmMbdL1r4oG24eni
9SaWd84e29i0sBziWc4dlJD3cUygQTt2UewrFfCQATYNcqEh3ps9AVr5YK5K1VW26gIYby7rBM9X
UW0moR9gw97WaMyA5k35bVJB1/mnFvlRi/zlCPD+9Uv7WryX/R/IEYyPY0BwoEiPqDcoQbEO0UZ9
KEVcJnBAQH58hM/6uTRDqGCAakOUzL/wj9Jc/SxF3N9UWjxmRBaZ8/R6f6uN0/+dFMrU35GvjmIE
hcPv2eFIN8tuqaaRnETs1qZI6o0xxOlaqhgLZ+o3zIAw3gFQGD6PaXGsJUDYJi9uhfQ18UO2PgFA
D+0uksRh1yqwtZWOb0P6OKr98mpJQDFv3/fRbrq1k2YyPCe8551qn0t5FM3g4zY1DIwLwqp1ynnV
M+8ZcXBuEk6yAuaa2Wrfsml+GjnpHDO7Npx8gOd3HqCPlZcW9DLyeExz+ptFHpmTanZEsol4RYLU
e+qYj6OtvGSD8j7KA9dhu+1P4wyZpCq+NgXna6Yq5CsMApYDR/Yo4+4Gz36b5XHOQlTzc1nkDPKw
h5j4FMvTn1vArrAfOt8vBnlFsJgTEWkKe7s27jBFnmFbvy8oD+fyhkJvxFibXcgf3yACfS7w14bc
Q0gUHgZ5Manptzky6yDhxnJbyh1X0GEO3GYswfXVLC84kcf5ZurzieAHsHst92ABGiFAKm3usLrA
oMpR26ry4lwqc2EvwWXaham3Vnq7Q9MX7TISHlaFYmyZ5aV3FqkZwaTDoktnJJ1aQjCHVSnGGdVl
sqLLRJOLTf6A3QpN/ES0r7zwhbz5VQIqWoMTyBSptRMoOrOn8jshSpewqLST3Kj8O0MqJ6t7MmyC
zVlwkDHqfkMAvpsgT8W9TEMput4592HfeS+ttSRfi7wiS8bT8MgkphZurA7pnqMmEAQXj/JFn8tN
bY7w9xc9ecRQ9NRC++O68V6yhBgva8BaPZopopda4NWe3QevBGZXWOQrhWKb4+UnvFB7VESoBQK0
wnoKl3I7jIxfyVpvUKHq5bWTNnRmZaC8h/MUz0QUM3Dwa9MBANvk0w1yJaTxYqzRUQ9vHfqJo5Pp
AzSv+L3W4gnD9awSTq9RKVYhFjxu/kLBiO14vdi1Imx3emvn943d5NehcsqHTCdWtYaJR+VeP1Ru
H/S9DeVPLD1dvsUIhJm6gEgHgEDgranm69h7oc9CDZMwzOu1lZAz29sariYkGod+xnsa1n4Tj0/U
MMilEY+CSAEaHZnevNInU9krigdQNh3Bl5KhHiRuX26nusq+ZIbV7XIxQlgHYJuN8bQDkO2u255i
PWixP0Fy8Nrb0dDCUxwZ7tkd5kvH1gN3MXBwR2LC4RC1m0miw3sJEVdccOIdqZMwe0GM/3Mf/Rgp
/mVvfKq6//rfMnrP3/9oQ/yhN9ZYMXHnYLzT6Ux/gVmhj/NQzWGMxaWDCebDhWT+xl3EPeayaHVV
V3Kufl5I+neBByNHIA8OCrm/FZsulaUfN8RQTeFoOey5iMfi1pQf/yDWTF2nc8fSSy+iWC8Wqd3x
1myePwwNbn58tb+KssKhy3fBq2uxDzfJYbX49Xz8Lk2YkMizWOmlr9IkDypXLekLCNAjEl3P1qlB
SnE16xpZWm4JpSEmv30JjwOu/ju1jm/zBMKgFSenUVVFoGqKBcaQDijXEtVXo3g/siwTQ3xOBm9X
C+2kLuNtN+vnZqmOU2tc0aYc1BQzXDHAZ07VBni8HL0RzzKvEt37Ss7QiOGg4IM90VWEv30DxtyC
mrKJ++MEo7QM+fzJ4YgluZz3+agsxTYcJyfolY6+x9OpecXCRDXrS8wbuvkUMhPZOrllvOgFOC5S
jY1tomaxvY5FU+fraiZ8viI8CqgE3Khd5IF/2WsGnv7VYLgXm5542joQbFijkAyw6o3acJ8WvbFx
Aun5tlWYVmy1akQ7D86VuqPxhVX0c0gPYSlX4ruUM1+/DrrvwG0MBRX7PbcygYJzGDIgRbDDZi3Z
GbmZHQRCNfeG79cZL9YcOd0R++1QMWI27iqntaabWCNXsYlm7+i1tnPAdBJ9lu7vZwKd0f/kMwGi
fSnMPUtNi+Qg3cLg6TKttn117LzHijZwZaN+WYO/kpHSU+znAi5WE0XzftCtgepFOOue3/kJmkv3
2sXRcZpp5ebJ1Vdek+wV3B9rxlEoCSCm3uEgOqTqzIqw0rw7xHu4JlOgUu7sIfisiQWYMpNMCA1l
UvLsFtZw4k83BHaTLJyrSBBocxiQ0y0fbECqa4cUgm3f55pfeiyaunjQKfObbmsbw240S7wuk97d
cqJrTF+Lc1LmZ/Ay5aZok1uzssiTEGkQ2vmuSiCQRoZ6Q6j3fa85wyMOCPcbtiuyD7LAHif7W5WI
wCq6IAsb7UFVxCayexCmVbb2lGKTud0qndxo1dn1167r38ukfZ/T+QnBAsXAcPCmYsMBgr1q2ZoT
MQ/uEBhev0MAdlpwFUXt8KZa4twUyiYfNWazcJjE/IVwRWa6X0JVaMFo5wYTbkrLzBo+W3byli+2
ubY7VmP9AHZLGZeTXuiMVfSzXYtgFNnnmj9f11P9la6zDgd7A0BzJ9Tl8xR266iAcNuoDcT3CP1j
V6r71CISUpvjwHKcG37GOwsMZTAlSxRAdIdQM6jJOTZtmByhftvnXFxj0x8jfeJhBjeVNxMXWMjc
2C3mo8ebSK0cQGYtWQzuyWXkZk7Vs7KwcLace6FHt2VTn1DX+oPunQox3MZecsgZUekw8dkkTESE
ZRpU7pE6r8VKHrXqJVOylyrTXuqsOBA8f6xy95AK7XYZtSAH51Pl+ZmdtN/kzXxcHIc9BQN0FzhV
kzk74RFP3tIPxqyy52U8uNUy75ulLA/g1b4Wc0h2CWvqYI4gjlqTkW0br96GnabcLbPSbP765P2D
5GnNRSL43dEJRYF//3ryxrMGN9fOYXU0mb4ecm/GYjNnAbF2+akvjDFwBlhTVVywUVjetbrpbpsm
Ux/chey9apruRJue1CkMMs95Vqd+28T2tzJLo6Cu8ZMB94XFLNM0Fp7pPExgGlmdP7KsoWFBA+24
/Q4gzBuQPOGzMH/SScNe42uBxapiMstLf2xwWO61msSAPiy3WtpudXMg7azadoXzdc6Le+yNBwEs
aenyQyNI56yrk9vpHn7yGf7HnOz0KbZ8ktZ8OwQkEsMViLiXgk7t7sxZaD6ZOAc19nhfo+TD6qix
oW2nRzLqTWapouFZ0K8m6e5+Y8uZR5Kdh3q5xF26z0Zra+HDolFo9mHJZFi4QKkKN9ogll1bUX3K
I7hUTqlfEwLsc1HsuNdwPNZw3qq5I+ylvWZpfoeJJVoNtGGBDfCeQBwWIW17k1DtBgVBQMwE00ci
74mfnhIc7M4xoa5eTTygbrtssqyRXK6tVhcovzUiGeagMEDZeuZu5Bwyuupr5TkntVHh9XvK11Cz
l1VN0IotkFpneaHtlVqeZf0pcexPuppvVJURBuSgzwSyaH7azRlK+OhqLJYWkO8rsYupuwPtJZ4q
wxiPaKTac86WZ//XjypCud8XIjaWNNCekN5cU3qSP5YI6dKOKN8LEFlQIoz00Opi9dff4VcxHF/S
cFih4jq24IO5rlTafvwOhk3QuutF0SUnPUCxr4lIdkl9144pTwLqFrvZeOmP4vhPzVAsZ3/5uf79
u8qf+0OBJeqsr01DUc7qXN6TNwV5g//gVvzE5nNexQje/N61nu3Q2A8CHOgwQf/Ky1HyxZLKL9vl
U6U4p6Q3VR9H6Sb3Ru3NjU0nKNT00WYSGUQZqQy5+dlmKH3QcsMWPE1ltRaLU67dWmkCrcbv5pTz
vBeTY7xVJXl9JnvQdZIkX3Ke1XWj2nHACTwHPbQWn2n/vTDzZct5+Eggjr4vIkzTc/8VFuCOS+mh
a9uN3Y3kLFrpzlBjZZ2qVCj5SLICIzrVb+C0Be1osV5Mpjs9LuGiJmDljQgch4fDsRu+NR2Spq5O
9q1JIuFoPkwL5ks1O1iMwdklU6wloYFKvyeQ1BbWPlvSI06DoJxDYityFStlmHHKqs+DylghSYuz
G0/bsh3XQ7jwBDOV7qMCvX4dVGnhruoldYM2D881+ES5adAqe/HdaLpHE0wBVyu0nDBKDIOR3+L0
W1IsgMKI6tWOWJCoxW2DVBmRPXEs2mGwICwNlrFzSpcTkf62nGmzQwB/Qysutc0dCZJ0z87z3aWx
9UPo8I1lbqPaPDnjv+Lg/vxx+0/POB3Fx6dtZI4FyIanLT2VN9FF2bDqeCIUdE8U6snl6vG/6OPK
Omjn8mU8/vX7C0HDx7fwz0cdPSebOx3huXxxHx51tMpumbmmcmZyvipPul9v6L61o/LsbMjIe7wq
/ul5WIO4GF75R36ZT+rqkGzCi0E63n94Nb82Nj9ejEEWD1M7mzbq93K7WR0LNLtpfInVm9rIV4n6
3A4/1sJ/+uv+9cz69+9BdMTHHxh1nlDiOI+5XN+jlljV27/+jf7hz+CQM+hIjQnyj1+/fjHZiwLF
nctbuWkAxbcWNeePE+ofX5sMyvjz1fb59ev7H4VOyc/6udVGEcQDRKSTpiMcRcP9YZSs/mYBtDLB
ZBh4iGw+9HOUTEAgvbTLX8xwEV/LqKqfnTuKUlTYSIHwbGi0wX8rdMq05eP1sXfHIscoGf04s2RH
deWL+Pj4QQeaO73XomvoFbSzsBr7TqrdwDcS5ftcg3OsJ2JxFgCPcgS7LQuScSqxU0FAmpIFOXoW
J+PY+SgxjlMFAHPxUgAOA8ohUJLyvGbghWnaBTPJBgoxXOJ5a6JyvmiCeVbviksPEWrQhs82sEoN
aKUl6ZWswV5sLw8UmocnrnJ1V1K9RcUY+k7IwJOXXW0EQMwqgYwZafpn8MLkG0tqJvQ+tCiKbTJ3
Db8RR/uO0QNenaRtulVKaDUAziqLb6GRviJQfQLjA89Asjori44ugxNlSY6nkDE8NdxYFHrVmwvs
Mwb6WSDZZ+vEjygkEbSrtRsFRGiaE+UMMjSV7NC0JYy5S3T0jumNWhrTKklychAlczSnutjaZj2s
hm78AvwSK5wmklUWu8hTYguVupo+DIBMUajDnlR7cu6MHFpV4d13YE+LQrvtyrHdpDkoYQU0agwi
Ne6nY13Fqu+MMaQSMKqRVqd0aOywUZNXoCwsYIgkHAXQxJdHuNvlzqssAbnASf1IklrRHacbGPxf
kU7Nh2iICUAuEYF2kvFqAIFa12Bf7Qb8q+nWGzbV4e0s2bAxYIrNHHGbenmBuVwyZEtJk61sZVtJ
cEHiUMQ2LzOGlW0XGVIpFtOcRg7LWPC0juTUmsBjIdYSghU10BocaLbUxV9YGYPPlaRbXIDFOpf0
2wkMbg4O147a+gyNAVhihCse++ImlfRcFYxuEmr9epBkXR3ELo1fHDj6MAWp5O+6AleDKpm8LVwh
PxLLF9GqBstfssaFZPimkuYrJNc3SSH8LrN7JsEc2vZkvwM6gHLAkLgcYRYZPY8yPd0URAO0tjpi
LqUp9n0JUHiQZOGEHmrVuU6+6xnI+100EuYNiTik63Mkm3gsMEhkUekGqiQXNyCMQ8kybszc3BEL
/dlL9Te6na0jucf6xEi2UCDmKi7QB+DIS9y8EWXC9HZ0GuJKOs++VeelNw/awkyNAt2iY53auVgZ
I4jo+HmKeM/rmVsxPBEqjM9pMxu9ceOMxWeiGtkRuQgVwo60CwyFTxP9Np0REdBTouDzhBtaVaRp
Z1mF+lyM2zHHypEg1w1bVqxaHNlH+DgNOaGsfOBJPixVeG3t+iQmrwtEVX5L+uZeN2KSH93j4ALq
7tPjssRbncY5VuKzmpbk9ZJdivKCcVDRmndqZQ8sfJph00za0TWY+tAM7iGU6Gtmb59HL9p1o3lE
PPfN7p0Nu1R5NJnrKizmA7iuV10WeY0mgXdTj052HuxDsvQbd4ommPep0/fPJZsBdrFxzTYGbnB1
b4yie6KVHZlM6BAubbUb2p2Bfvclyirr0Hd1Ht2QxxK5+75RzJcwsvXwnJLevS28jER7L3zWmEys
rYnYMy2M8nUodelmBX+TzT2wcZ67tSX16zyFn4UpdkuGQJAx4S6WWndHqt6R6YCxRgjvLst1KtFU
44ZffNTLN7kdUWZL/XxRE9HaZqiQBeL6qHVuW1tF4jwSSINLbgczKPcdmQro9cwThqdGavV5F29d
xPvsamLGLsuNZyZHkc2WX9fqqzZxjlcleHwsANqooVDuw27X5ErCsyaNAqruz6jEkR/jIihRUmb7
UkJhO6N8daohXhs6wFgHcmySpW86JNkqRXoAWbZs5pp0PGsbmkBnmcexn4NDywIeEl9QZDvXYkK0
bOm2tsrgXiOJsB1g2dowbZeip6EGcutAu9Uo2FaaBOCSamegSRyJ6QGOG0tMbiuBuaVE54IeJ6FQ
T/Dl4d2b4esag6r5xYgmULebuyS1UKa2zilEvl5JPC++aabNkDeaWL+YEuFrRYCr2xaej1OCRAR7
Ae1XAaznV6r9nLrDl1QCgccpP44SEUxPdgzhClmNi14xuc4SJqxDFa4lXlikNatTFb6xC0Qdbh+U
4si3lUpbCejEJXZfn4QhlAZ5gI/y3vEyA8yk+U4qabsZJeDYcPtjKpHHhYQfl/O0aaEhmz1YZJHE
2SqBlAzmivPZ0LBaApZXkvs8LNDuOXsdxWTWz6cB5HJm8KdWXYSfksbsgGUutOg99bydBa65Uvho
CMC5H0C5AnQu9Hj7vYz6p56U1qC/qidhWFE6ln3Sz/uv//Pf2o8dEp/0s5wEg4oVkFUQ3ci/WKf/
p0wwqDQhFNgWPiRpI/z/5SQiSV0FYGDi4pN7mg/lpPObxKeZbIiYaJgsV/6OSlL/Pv/4pZzEjogC
3tSxM3oaX/DXcpIcVUIfFXW5GkX81BjUOzmjCsi/DfODpdi4jb3VeIisWWFI4T0BpIGCKqAeFZ79
kLpkMlX9vkjTNXCdsAschyiLdSLzgHOZDFzp6m2klO2+5yCEvZ+nyhtrcI7JUkMCcXTCoZigWals
OHMn3XU9d14hUnGrlrUBeNm+HzPZq5MmQcodKuHSCOp4ybgLqod5Vp6g6TwalEQrVedMVlvqC2Um
EMs9IO/AkNN9aQk5sTJMGVGq3tWpfsOx8KQPXRnEYFZXYS+nfuzHRVh+m1t4AzEJeaHpRIHeMi2x
9Onat9prk1MsWEhAg7mKvzZjsQS9ygjbm9x1pPbgzatY22TQLzD/K+a8H6dK8eMxOmroDA2UU0Ij
ARJPCA5qB4Z5zIxcH47tUD/HqvdZYd/NLsUgUrlb9xbEowRvf5suj307Yr/S6osW4hirq2+6qjFq
SO48IStSstPqqNhrxfyUdeKoVMM3taUkVZXZ8XXDQKiFiYZYtqwnBzzbNZ3Cfjq2fZDXiAR1JhQW
bfxVR0eP6rphHNUTRRdXo997bcoIhaVLgXZ+7WYZosGJuCrc4V/imZhNQ5u3oCdV/FNsTlydE8vY
CdFew7ylymK2BMyibWr0/bYotlhtaChAyu+NvvW7zjpjlKLAqVDVxuWwMUmYzpDHZflEJomg8Cun
18iu2MZzF1U5mbLoaAi6GGyc4cqr2gISbAfyQzQYr1rnvWOAYz3OL3btqiST6CK2CRk0IIaV7T3u
MPOi90V11PRICgUJDVxasUNTh4DDzk2uIQfeZaFtmdX2m5zn/yJYRDqKuVea7okF7U4V+tM49CBf
404N+k7XmGXo6QljBeUdlAlArhjKwoFYFWJITQxSSridNU291JOBUFKX9Wk2bD2zZv4VHYqswxnX
6K+MNawgK+fkCruY1BhIHbNbbETfIYydk9y3xvJt7qqNPiSfqkgBYwLSKyIL0E9RHl9NIlYRZvw4
3f904vG7iYSl4j0xJD0A5oDEDPyu5ayNaciQ2WnXvHjMzK+WFfzHQfAffAuPbtvA5MJJyPLi12No
rqOpS9EKX7PuTWQ3c/1Qeqd/7qjv142cPv/1HVVX3eu/X1Py835eU0w9DORpDkYnbqvvgv3/u6ZU
UrMt48f1JVX5H4YeON00Arb+Re3hufg59HB+Y9TBlcbe3yQlmynF37DR4s3996EHV57BVMZAO8ET
8uvjkbZKpjuLHl8LdTHDcwz8+mXS1NgFWF+W0U1FpXxYRGO/2LE5MpRTyiYDaK+Mn9vF6Z682Kzu
PS+xFqnnGWHOl07/3BlCo39gCLG2YzjYZqI8TTqHzxQhkc91PfP1yb5xYa0IgvTEAGQqn1/HaHkl
6tDknXZnd25BYoi61fMi4QClb9cyez0N8D2V9sB0mTCmTiGosSVNIlLn16xBtt2MREWwrJRkfvjf
M2s34u1cydQHO1067soS3t6M2nY1jMAOC/vOHKy7IrG1IDPYjoXTZXHbKPAG7qWyua8N/SV2UxK3
Qu6KskzJO0TbvXUTr/DZ5bMhMy0ows5pcLtPepFtMrvMT2AMjyLOaBdDnWiXDvSw2Ubtqhhr16+X
7G5o6sfGXOqz0YLYJtZJW7UuPW4LBJSYnGFctXkHLMBgoT+VUX5C64fdv/5EIAbqdE2tkX2170vX
zngEpnztdmKXd+lW9YqdRpdVO05KI+P5pgnChiHahhI28uOU3wGQjdGPBtfaJSX/ZQ6TWJVe9VTG
2VfK6VuXqGuEzl+0LH6wK3DNfZ+aJyK19kmt3CY1A6LBcmI/LKpwFYHNidDqcIeYd7FtP5gtyTXs
Ar7aVXlE0HhXzy6rZpUkqLJ0yOQZqhQB13REKY+leRxWZlVu80Rhg2wKXM6EkIumfErtjs0eIeUb
Oq61XRNuaNn4N0aqgFh1N2bjDBchhznO3Ln9qjX3fWYXT0gSpqDNxO0ycJdZRnwpITZKpjtzqVk8
tnP6Fg4jM/wYqTUu2Y3Tus/YZz45YeTrFCR5gXd0ki9DHe6IVSf3ZLnmGdFnib7xwhse1upiDuKU
e9nNMtsg7JkflKAQN+2UMISgzQVGMiNj47HTrPRU6RWXn7TSKu6z4jBJgzULMjydkL61EpWZXay6
uJJQdsQ+fzN0zDL6oWXx6JgbxWheTEUhIUx/LPocP0vlHOrBvs4JoUqlTWnisXYeGorHsHtwU+eN
SKhza4t3PSweECfuNYKB0iHT9iqxR36fex3ub/4OuLu+5pghrvqCtc2dchHUpX3lh8eBPsafmtZC
VakWVz3Ubli1bBove1OU0HcrT105MWjLwihuJBCP1oyys+jL59hmvM61qa8UtcyPSi5q35IBICGe
JxwexSteuWzdz/mt1oWfchKvfCyjeB9ZvXrucsrL/iy0jGmM+Xm0i1eqSSJn+KajfpuSg57jSSFN
6drl6tY0zJ1R5xkBMPlZUNuvStMtN3NWBqYumV6axsglPqDiNY6JtI133x3kkzSTz0tJApI0mHvS
aq7hORfSfB5996ET9Nttmlztt4ys2CJLw3otresTHnZ2Cdol5o3l8ze3YP9RmVjS9M6sZXpepBEe
hWZ+TKU5vudXsB6lYV6T1vn6u4s++u6oH6S5vv/us2erRyyaNN8rKTb8f67p79e0NKD9+TWN665/
/a/Va/v2+kcbCvnJH+5qVXeQD+IHRtulstL+cFfbDp0j4BlE6JpJ3/hzQ2H9piEFQTtoywyN74rE
n5c1zHAbrZMLNsakI0W9/jcu61/XYxIQJfFUmPgceltq/d8v3GNNGfu5MC9x8bJ0l2n6/OHX8ge6
QvP7Zf9LywqmAl0lra+rE8TpyA3Jh42jCDuzD61JXMRirbFXfZtr85KHiKzb/huNGjHnbRIUJspt
TSn3BFLs2iZdCwe8nK3Y1bYiLqd02p3SqQ+piDeAz74qqAqRFZ2woaB+7rNxtcT5VRs0KyNCo2/A
HRcdwyY5VIv4JXJQNMW8Map54SJUrf1Ea4H1SQUDB2gKdEHiBCYZvF9R7IXksGv52ux0TH9qpHxK
c+jaXmZ+ETFCLiRiEc6auDlqEs8aae6VWZ+yzt32k9di7mZ6gCXJNMebdBq1laFX/UYDc76a2/JI
H/iCJ/GEzIDToZhPIyfsLi+rHYEXCxS/5iG08q2xJCzJIwMndPmiqCMgQ3P6VmTKtZ88hMIMJTfC
dAN2CvdOSqaPWu+NBqG3quzKWhx68OG+JebbKUMbtUzkcy5tgPn50DjOa6hRCrCSQMyoBCJLXvsu
JITZMVem5e7yKL0qC59ejgz29M9dFnHOOZD1rJNZNlbQ6sM553SzabfbutnBCwHjbXpPKXNepqr5
TRvSAnZLfOwTktUaEEOzkh5MxXxAsYcLezFwjC3mfWKUlR93U7wWbrKfgTWD0YPMHKb2Fvh2t6oI
DhWmh/eBZAZUpKuk7IcNrqsDRFHfM4dnszJIErQudgdbuV+uWULBUIRkm4TF1jGHczy2+2oe4TOm
5F4xDym8cYcm8YSs8t7WKlZyaf6MBvtJCx00HmJTtfbBXayNMrUv2NwxzPfeVjG6zxU/PKuMaavM
y9eMQnSmXmlDKzCy6USYskuJgZTOnEu+KNqnlelQytjOC+8Clibp5yiUyA2mJhtFCB6b5ttcpTtX
pqwa9YucSyuKet8xikZFlwaMcHzVyt+WLLzNCgLJ6eFPUMQygjgZkpuK8xAv5LAQx+dHSZRioy/e
PA3ShoI7fe3COz+7kg+fJPaC6p9cKcu+Tz3zk6g7lFE6tUNey3dPOt6rWnpUBNNbvUG8YTUoaxXN
uptc6mExg1omECNbTbbRrb2cQYYOvGk9dvYl6nV7nVj2k8oSDKp86L61Hs4PktAYkQy1jVqoaAdm
L8Ws4ONEz5VcpjYBjIj4IsD5JyCo15FP34BREFJOQJQ0d71Q1HW/YMwo+zC7qzAOERAl1GNtg/eM
Z33VN+2xx2dXm3W3LwVuT3S5VBZ60+0gEKXrKBEn8AgMybMa1RrW/XBavPUy6cx9zbxeV31TYX5P
8quTqzm1gdJR4fETh2H9xVrmpzY0Xp2s2XG+nVPm0r7H1jWYc+UUYtOUZk6LbG1rovqpinsGWwpv
VVJgn0VW3o0D0Bc2zYjWqI/13CeoLwDDKoKqLo+skTgQSSjTnPG2FGDyaxoSzqhDBDI9N5p1Ckul
XvoTY7htbLGvydXnjIbEIJFh9MJ8W07Zi5mG1qpL5OoztI9aj8YvNBPnrR4x/i1LI2N5GX89ZFrB
XCoxtsb/Y+88liO3sq77Lv8cCngz+CdAIr2jK5oJgsViwXuPp/8WqJbESrHJUPRUk56oWTczcXHN
OXuvjf/AUbAuOIE5xfj8wuowmfFRkQuAePWVVOr0S+vaHlIyyKceJ41EBZvLl+srerVJxu5OF4rb
VCatL7XbZFFXKHLHnhxL1px224t6/pTNYHw6WeiHAvKK2ooSFXyXRVVQN8iVpCJ3NDbAZ0dBt8rU
dFyx9Af3XskIcpvcZkQlAQcVrW07VtGWHCRcQpqO6UgxN22MkFvNjVutzFEEqdEM65Gh0I+qhzEm
Lm91b7w1M216mLyMaNaWxBmNa6Ft9MOyAeIJj5BYN8TddOf4Q7vqtPahChNzOZhjSCxm2AfsSkGz
VjHXEj6MB4yz9mJM80e9K4gtwkxqjG5b5ydxNLZxOd6JeMS6EDdXXgR3bSLfmm1poYseOqr6UbXI
vWR0CgiKdiGKj/hyiIod1PKh1UlNLnKOenHARDfCloqkpzzIc/a6J2vD0my5c0WtOLqfb88XhZxZ
b2fqpEmicddoS+gUtd9vznKa6orpR9mxmTFUAxokvb/qq3r5+TDyx+NQV9dm6dHfDwGNMQFtDbJj
ijS31uU7VqUzdbsnlsuKNAaLBzAm624oqOHF61oOCNCVuWBmO1aqvUaqU8QVMvDaa70UXSWgDmA1
dMG8V2rOiCV5BdQJMb7oU1r581z3wQHmw0+OfsOYq+1AZC5KXVra5mFjxdmxx3fgj7dihFAt/73Y
9V9Ldm9gmL8OSaiULMOiWDKbIvmNmOi/Poe6pb1OamJ3LChSInxUNwp0Flv0oOhDM9BcT+gehCLJ
rzK01CONrN7sVVq3hGx5Co3dKAWrPrVXbaBYNxm7UpuTCigSP6LmyBQ1qHq2lvvHUAi3g4d5t5d5
b/SUwvFoadPseHuOyeuVEj9cTTibkDvjgKD6izZPeREqeTkjOh1WJd0eVUty8lJZRQFWP7YijjaB
joRafg1V43kwZvAgRejBSA7jZKC6NUYBRUsfHcSgSO1poAPqS6h1AysyFlLof/NaKb0te439Q/L3
WlpoS8T0zVqXEAnmbHESRKkxMmK3EOUTWhtU6RPpIpKS7D3xuVWXrWZsWBcfTQFvodFL6zFSHxOl
CtysyFDYAsFRoO1MKkePgddsQeZGvhiEdF01SHVTadhyMX+OQzl4GRNtJer4rI0kOMj5BCSiLpdI
gNEtyMN1qusJDgg6ofo07Eqj/p0g+F+nAwZ+nvflfOCFRGqrzVyMNxnfu0Ozpwg5in0NbqskPytW
jXG86JKjTk3bZj198mstxs8cOJJOxHGYEO+tJAd+FerYARp3alUHwsrsfpIPWm4+KGoWLOtUKxH0
iDT6NZS7PoEldmd2Jhp9NV3LbOoLQrzLBa50ziMsRGKaZ06olTewuyBhBzU1Jfr0tFfnsEnSqtPp
pcr1Z0vWNPRFueFUqXynyyNnZ4CqClE6ek7MWqUJ+HN6/SEy9U3vyT90Y5jTR1gGrAQ1ynDrWdHe
6CqnzBUC9UZmCBnUo3yjdd0hjoIbwM7XqYHJdmwe6GqoNudG0YXszVkQAl3d4sg0Z3CQguMC0Cw7
hy48C8wJp7CUR0kRHqSA/L+ymRQ3MAhrmygMCUNOBku1EsVoY9HTptCP06BbqDG6UtPsdwbtlF7q
QH0TLNAmza0C7NYyBzg347PSiy+lUj1nBqKDkc+JUwIy+Ylgrb2R6cs+V0mDDpGm4P2VrfAqLoR4
M5qTm9ejqyeojAoONLnucy/hZewE6wozxU+CxGYxwmw8jpYNICZHJ2dPJkVZkvS9XmNPUmj3mRIA
JPByTj+fUOM22AsS6fRSj1kJV6QQnrVAJRqe7kMs7FJ2cXpba1NKHruC+oNPbW6jErousWsmXr9s
2N6zKqUCCPF8kYDWBaS+myK0AhaZO73k905NuhsiL2kZwULRevNMwuvazzCA9OU+MzE648gRTknR
0ylJjK3q9ztaLSVVIYNnU1Ca60WSdIr+INTcEhKdAi+8tdbIHK8/65proDfpzSNJTDoR8JAtjO6+
EJHDpOJBRw6AI1Xd4wZBn+p53q6VO8OpNQnvaIQtoe+mRcG5YZ2PAOpG3VjTa4LNl1OspHWJ3LiS
vtjavnhTlYtatxxYY2QVcXvU2fe7+kBwuDN0KfCkU1wdJG4sn+9Hs8b+k5Vh7jX/smMHQcbtgpUh
z18JtuuGa1IjM/8Bq/PnA832xb+NRJlZRSaMhFHV5p3x3RrU14TLRWJH6VoaoV2FQz1nPN9qxBVu
ghxpVDx0u6IAW0acjXQwSwxOepRjy50jZHv+XSrKwk8c/Vd0gU0an+03IcxPuWjcJBzfuPWQMCXP
KbPDImv8ZdqETxn5IwJxANd+i25HCwKqZFq70+hYcrBwR4k4RY54q6xRjHtLtm6KCcGGom1bpdmE
irybcKhphXXqY39XsW0jdNnFcsbLJCCtNh26ofdpUcEP9DZ9gbMoIV2L9i0qRZQ4Se8/loNV3cu+
hwisVvwvftVf6y2/b/Tvf9SL5lysq3jDPHM4msNTMH0fze3nT+2rf3+eru8emigknJHxGhxD84Y4
S7tU7j4f4G/nIU4q777Am+D13QCpnsZiLPvjUZPPuNBpx7tiMDqfDzL/CpeTXMcAggRXl2Y01a/f
YjBqBJYq38KSkfC8NH3KmeQuHIwvnob86xx/K3/hqtUktlqUG5xMfx1oRMhIf6iQjxxjXtjUFrfJ
0lsIbmeHzr2d2fcb3en2369DJ/g2uM+JO37nja7XyubzLyzPdbbLb/x+w784AFpdaBGBwDLSLIFf
OqI73LSr9CpYWq7lJNVSWvE7LyWHDFA7cK1F0bnqMXv5/FNoH32Kdw/30gOceHViyhW/+8OwkV2s
XkvrbNinGorSYnWvOXt9ka6sY7Ac1hhl1rfeAtb6mnXPnlY5kM0FpbOFtRD27Tpb1acAi53tL77l
dnsUnXGlbaxNvuvX1V26vPn8o8887r/9gO8/+sUPKMh1mGDzY17awEuX9WuxLG6lRelg8lwEi9DF
+bnNV+eXvdtuQOoOTrQFlLGNjr7D5oO20f7hOd8+/1R/dxZdvC0XuwMJVF2FIm88BhvQ+M60xo18
m9G3Aqxj67ZnVw5cq5V5LNfyE4U09/PxP35Z/3qPLlYblhphJCZiOIpT7hp9v5uE+Ni1JAt+Ps68
qlzO3vfv68WqY4am0nVTMh45U9MCfRGHdQ8oRMGx1FCKWn4+2seP+s9vdVlRFlIWf62M2mMA0HH0
rgv/6n8b4OLOpwzkEutEmB9jbSdH1AEtY/H5CF88GGN+Ed+tokJamJkx8qLlZMzR3i3kh6k1v3gq
X/1OF4tbLdG57YyoOQ7zU0FtZQ2R8799j4sJ1uZT3YJVGo99N+DOI78Hukd6/nyQL2aXcWE71D1f
GCnOsRtAkFct8n+S5qQorUOH1ol6+djRWP18yA+fj/bGS8Q+YqkXQ2IaUbwibNqjmv6cE2+UgCLf
FzqdDx/PuzEuXprEt2qhDNThqEUq9furNP2iqvDVABdLIurmgXTMsjuKLNoUo4mo+OJnetsfP3vx
L+ZxENL08RLmMXcDm6DmbbeOD1wRnC3xO65/InnpC88YLKfP15r5W797dSTqfyQ/BexRDxSGM1bV
A8IMELnP0n7adPZ5cgr+g625OBps80qwrxt33tXPj+VZ2XJrJ0vaBf68zpxg9dXH+3Ajf78UXs6c
sOpFyeOlk07zRi7Y9SpRN5nk2PFKXdxn9hYnwO6n+J3LWXU37hDHfbF6yfPy9NlDuXjunVDrQWmN
nCUWeCoWJLzJum3tksU10ep7EEeLR3np2RkV2yX4wxUpi1+s0F99BONi3yMUU1AJhmmOwi63B5yu
dvRDWwJ32LWvw7pw072xwrHy039UnGEVn/xF9Pr5G/x28frkVzAu5kmMzlKtM6YmlJ0lCb12OJ/q
NrFz223g9cMLtKcjMvV7fPGLdFmsjHNrV4vWDTa9HTx9Zft8u5j97fP89bpfmh1NwaI3lLGklK66
0lc6RK7ltJz24U6yX/yNtwR/vinWFPX2g2PcuSang8xtVvHyJlzMh4T/HA7+VYHL3In/LPEunmnU
/y75PsKm+///7/Ca/chfwuwDRt38h3+07VGCk5xEBY7OPCqd2SL4Z9tenT2HYDe5NyCAfB/NLZK/
LdNUt1B+0pqfF68/2vbg6/C5iv9J7P4HLXtNv1gCUXhqIHkxFnIz4oB56ZI3ksY3IXYLJwmQPfAt
LGTq9Or1wF1iLdHtVhGXgDyW1einyUoMi+raqlLhSjY6QUFFm2cGaDoLp7UljQAua6m6x4tkjC+a
gORJD2gGy/KorqKyodcsg7D158x6gJ3qClIvKUYgIVfkzgxuVwjWspLkh6yIxRe/TFKnlCnj54GR
gCBpAMT5s+on5/+rkDpl07qpngqwLLbsJya2qk7b9pmxjaJKsXv44lqA3LxuhVUrt9+J94YKWVaY
1i1CiJNZJyyMh9HnupEamou2pzuamUj7p4p810I2sQITB0IPPToeHSzghGraykgcronGzpa9qnAn
mBpyQwsiqjOkTmNDUczUxhtJug9V+mXw/Y5h6QdwNq2raIJaqsjSYRRRHZqomnq8lXUITNakm6w2
SWObnda7hjmArjD6cJsZdAE1JRw2uKNEt9ZKis4VWj+0UGLObwYkh8cinOAFjrbmWxCNaGM3ISEW
ak23qcuHqwnF1SrjGnw1dOKJllKwtuK5M4lGaESiMIVLOpGZR+5sRphzFPX5uvKIjYYdOuchD8gD
MMQJFTVN0ndgzBbeDWX5YtVFUSG6TOxsk1Vdhw4pD7eeLpiHUCXz0AaddoiJwzWzg1S23pXUBo9J
QFs+yPRnv6Ja3teYnzA+PMZS47teU/xEIZg6jeDvEy8gHjwaTwlmOpLH058B2FSIAs0JnckIQFE1
iJMwY8fKKJlBe95UXWlsZQ2deheNN0E071hpulID/seqcHMNGodjdezJF6M31vMBGrkF+Vp1vawe
Oq0QtqNiOBJFcOWsvSXIV7jQRFqYmuLICBgWRZQ0+6q0sJQy0U7QyfVlVWrlTlfRXwk5OpMKzgFM
lHZFHuXTLCynlSohXBjqbT+kip10vrTUVM88xmRjCKn1QxbqvR6lV3nb3nngAevCoLAuC8Vx5Cq6
keegMMIi1oJGnyVFTE/7yPNc03xthGEXJrBDVGM/BgDqjChYlQN1YZxifOeTOWa0QRDldMJOk8J9
GuAzClvNO2Qm1sEUmuKyDfwbcmZ8gu+TDdTUdVzykMwAGV8fws+IUB/gP3z22543UA9PQ5cTJE4L
yRaaLnVMq6SBkGysRnPNCrRnBREesI6Tmz91I2RpSZcIcpdFXDpih47dl3FkIG4PimhjdCoZ1oND
Yg6IjAaEBFasOzMRT+gt7wgSN5mkVq7jfLb0rWdOP4tSuoYHvTFIT1bS1NWbQSGNctjRHnDocj0H
urICk+zWPiKKSDPPNT10M5d/WDHvcJoor401XqvCQBmiLA5jORGUqDoFzxj2SeioAGOAvDjdJKJr
8NKXaRxv+3k+SnG0oUd9hup5SgmgNyJ23CFfG2nusJDS99c4gGfDcSxHRwYHlHntQjDRDk7CCp3n
2oC3kRZE2tfDUtBmjI4cvugmDTHY1UJrOXGAGqTIT1khQmsW8xWHVKAlrX+Wm4RUFH89iOYizYU9
tuPlmITYwuBXcl8qeUVk4oCoTS8wEjlek7xWyWtOr3OAMRaZ4noUMQr02YOG8bSelIWkMgaGDNWT
TxxGb+pGX6I4xjM3XKuDdZtEE+qiJEE/04urVEUp41nMQE+w8S8tTSv9OYIsYIVb4st26sBc6OaA
qbgONjhE1mhrHkSpQR1p3uh68WAG9bXfjVdt+iMbi9dSJCw6GWimKwBJdaot3riIfdUNSOD2leCK
rtsh75RrdKI/JaGx5Uq0xR6RriiuBatbm7WwFIPkJtLyfaNJd6iSqc9DLda1Ym517mqxXfIqHmvL
XEpKvVW8kQFLF9UL5fWsXuQlCh+05y99mz/wT2FEJwlsrEE58iaBMw16Z8z65zqrsbkIu6TJN5Ng
QHOjEdFVMd1SNomg8EoH8zl2Fd1YyU13j+LhqSk99JLGBoYAIQ+q5+RNtaa7sRGHlA6YZoE/6h76
SrzPq+ga7jq+ygGhaMtvZ7mc8dZGozE7DbLPuiuiDncFyKJOaG+S0Fibg3eC9L1B8rDtPOkQ5GhD
spaU82Q8F95sUUQf0JtXUWXtFWl4LDgqjhWuH9ky77xKv6qr+pTV2nU7+KJtSvVNi8ejKzAGV2CX
My3ZJ5pPXGgp2j2O+WpeqKb8YYybnVzB+iRyp8X/FClc2vr50JNhnMzuqmLcSnK+E2Q1OAkezh5C
S5KbmhAHZ5KbbYX1fOp73EYxG0/0A//xXdSkKEPgLtmW0TyqUN3kmfWd+24cSj/0FEdNUz7EVbAR
ZenEektYxqxe6usdRFPey8SInUmUHgOtLpaWEt+mVUNu7hCvYkU6RzEantjCjYQIcAkbce3FutPL
QuqGCNQ6kISG3/uONMqLOAHzFGTnwddXkTdsh2z8UQgg7OrouSEIuGD/4w2ocZ13htu2vlsFQuZg
9saY2TppwiYxWNm6E8wfdNyXJM+u/M5YhuLg4hRi/anx3frDtBzSbDc2tBca7RaaATt7UzgZGpIm
jB0h6IVtJqvMdRoTyFIqKd8kQnOYcDfUVfHSmjORqyalKBkOnYpNKhXZ/t4dac+/Xyve4xwv6hdv
J0R8GeQoIFywrMvLRtNXVUVihHASU6z1sZ3H1wIW1c8Hma+y7240/xkE+YioIAtU3tLU3t3EoUKI
uqZKwmlA8IU9vX0c8p++skjJXvl8pI8OvHMr4I+RLi7VuZeP0uQxkmweAxWlsyG507TJ9W9R+xTm
+j+rav3+xXib6H2h48by+WuJQcZtb3pJ7p874alpd6X/kiUv//wbcVrmsMwwCrkXvw7h0QEXLcKv
zp1KCWvVAmRPAmx7/irE0Sg3x8+H+2A+qMgI8PcwJWRJv6jTzIQGeRSb8Eyapk372G4JZI2/+E4X
9ab5Z/tlkIsbd+0JjaZ7DBJhhGmqfWQFi//ta8xf892M65oJ9wL23jNECh3gWpzfetAtPh9kLo9c
TOtfvsbFoyniMS66tA7Pg6DYAOus8Ez2LQvco4Yvpz7Jbf3FiB89HcgoIsxznfbcJUMoDs00zCIp
PBvlVSkiA0w2hvfz82/10RjIl3RVR2YkS5eQQU9TBN3squiMaoQYw4WB8LZP7j4f5KOfTgGGhPFL
Ugzk3r8+n7wPDCMMh4jn85jp+4CbIkB+2/JuonandhTpvC+KXfOcunxY70e8eFig2UA5SiMEGAyo
hHpCm/9iMbiocWq4ujXJIDlMxsum875eLD51rhJQNUjpOdrji96weR4QVLnaVXCtOZkbLr+un334
sN79jhdDwvZJh6boonOnw26jui2T9yDn68+f1se/HbIzkZ1T0y8b/PpEDmcDoO7slZYjA/swmy9+
u/nXv3w6kJmYbRYKN0ywv86HguBa+EeE7BlcfUdT5rT5FKro6KLoi+/y0S/2fqSLBY4bcV7hRorO
kvYamFead1NOXyxvHw9BSrBkwYImNu7XLxNKcWeqkx+fs+ykAU0bQtmWW/2Lre6jV4jJ9ucoF48e
dW/QjD6jhPFLIsCoFNxKRdHaOnFzFuJVon3xjP72tciqI+xAFfF/wiqYrSvv11RS6I0iNfLk3HSr
snrqdbecrv/hRLsYglra+yGyzucHDcrk3E+ZLQlEbUfaFz/b3+by2xAzzUvkwEOd7dchomFIhYSb
1rlOXoRpg7/viwH+NpUZAOOsxntC4e1vmRAsnWgKM3pbnPPSFiRXtAmhLGfW69tv9W9Vdu6UfFKV
hXrK+3jJ5pj/6I+K7Fv4Ix4iPM+kKOBxfleRlX5DW4xIF6fRW+H1TyOVKpEYaeC80uDqznTRPwuy
/BdMz9Bc6e8RKjJTO/5BUXb2ar1b6lCSYOAyDd2SJJl/SzblXydgmZdqA4cpOJfkPpjr8i1iUTNO
Etl9uCz8t/xFgrB7dKhtQUQe7LI5pXGEUlktST+Tmpseq4L1k7CdNXmFivcM3zhCSdVnibCj2kyK
t0RxTHJ96JH+WY2zkJiPUg2KzpHQpbImTdqUoHavLW9ODMwMPAXdqMOVwqZoUZCpxtagF1OFZbA2
kHISUxRpgq0McMPXpV9ZkZPNwTh62SfVyYcKxVFRGXvD9U3IUHZs6nC/mlZ41WAZrP6d+r9b/lmt
Ppv6H/Yi+Js/Zz4UGQr+LD4yBSCe9F8zn5dC1yQOKWQM6CL7xp8zX6HhAI4STAAIxAsLIdF9eA5N
9OYk+vFn/8zvb/Hm/Tr3TZgCOpAO0rMNTrHzf393LK8ntt9Wa3ECKdm0L0lwpQObm0GpLoTB78Ci
TB5KTVuQ9SBZmI1n5BTTU3BcbRi9FQ/F5GC2oZhSKvIZw0dpOgoqpaCW4GSX2DCZEvzUa2S89A1F
tfu+Bc62mERfhU0YA/wvNrVakRtodZo+XLWRAbAqEHJ/aWiV4LRDdg84BdsLNLpmduzXNdk1ZSd2
NjA1TCy+UC+9FodhJh+qTIf7n6IcGsVr8B7A1iS8RblXgP9Ld1np7aV++Ia0Zta441YvinTVFhsc
3lSO/EImRy8Kndho4OkNBgw0kypB600opYbpHiHzWRKJik7w9wltjRR6oDbByRMBdmpuKyoX8hyo
HLbdQ0MFG4l9sktDUaN+OJ7rPBuXvd7BlG6JffG6snEUYxoWcUOlCITx5I4aBQ9TlF2g8uMCNDoY
SbP7IajDDp4Ydi56EU7qST8G8kycVsNkIJZrlN6Jk0rJPjLlwgmr6lurwe2Lyn6PQaF1upCU5AmF
NmGHy9JoaSLHnpMKKWrXyis2nJN9e1DzYyTn16SeOpwsdhjPnGAgVLzDey6RWoeT7Ls6FqAIUFo3
Ct2dJF4kgQqwqPC3qpdiKTTha3lggOjRRCAL8nhpjgZkRaU5pAJ++DipAJ4TACD5/n0LP4GboAXT
a8QyJOj+meUM05OFYrpstl3bRfDWqnsf96c9oekZR+mm8QdXH0hZjwZpHWfRtZ91+1BTFjH2G1vX
J+IDNdIhC2Aw6yr2AkccrDNJ1oZrlsprnkj1WoLkgUsyJ9Ewa1aBgltfie84an9LoxITUHkSgoKC
pBXjBExYW80kgihJQJ5hYiGDSiYqj2KBDcHAzd31yc0QaxvYeKNNOBsJ4ibXzxERDxNdDtDaUiFW
rIlY3b6/z9gPF5Hc3A9e/01S61u1Rs9PjO8qC6wTOUOEodE00Zrvg0GtFJpl77RGXCzKWCLdA8Ka
0rQ3XgSbKY+klsqov/Fr1V+XTXnd6tMjNfenUgMXMYTEtVlROPvRVMlRxfauC6lISzEJFbkebAUh
34qG9ZwBubBFv0S0mUs33HSXYaXeFrWIeTI/9yJxcUOo3KiAUhdmIMIRGoSjH6iH0CgER4lxVIUJ
HTgjW2XS+Jz607COR3/ddhUKmcC0nEzAgK8QhIQwPnuMsjnsbk7NSIbJ3FniCHhTomwnTtU+JP8w
7aHfeTKcIDJcdOzE/TKpx5MkqVTYA3h7VXkEaXFHNTnYAo9KXF0aXuPQuo5w0Nm6QpKPlAyAJafx
Z99BoOg6MgE8X1Yd7lRAN+o59MDAYeMRSQfbm6kjKoYdSwI00CIcqe7nmkP04Dr2h2c9aGjp61nm
DroFVqA8SIL6GtMHAZNEqDHSSyYUVMUJumIFZdHPw/U45Y/ZG34RDqMxAxkLyIzijGg0BwFOa6tT
9JfVjU8mMuJrlhJJjg4SjMcR1uMI89GwIBxU3i5Nok3QlDdeUP7ER1wvQJzuR6iRs52vmDGSyoj1
VKS0S3QI61414yYJKnaNGUAZQaLMZiSl0QOnTKAgaTOusp/BlWHXf7NmlGWbE6vczXjLLIwfhxl4
OUC+jGcEJiHDOSo0GSrpGNzL/Ws/4zKNGZyZjeou0NPHYeQXlSxq5X0jE1mRf6ugmTtKDQNM5W5H
sBddE4NStEJBvs5fLFl9mirxZycxGaBM3BYVDwzKtrLQkqZmicjKZZka5w7wra94EgDFXiA9pjvS
dyLhVKdNHZymVOWapc7A8U6Q7QkYrMHmvghMcdPmMc0wVNsbtddu5MJ7CAxSCqokfE17qvWe2gPk
4HKzruPuDmvK5FDfw30DLZ+mxr+npLdTksLZ/L+fkuac40X46n8g25j/8M+jkv6baEpkqaDCeJNa
vDsqGb9BO5iTCzTuEBzR/zoqKb9xgOfgwj2YZiR6vz9vCYr8G+VZZQ4rp1jLSesfHZWkC5kyH4l/
DNLCzG7AJMe1+9ejUhhFQR0kjXKQTD0NHJyqDcaeVtfibRqmfSE7UjcZFfQasZDhamZk9bQ5Ousg
8/cKx5rnOJhpuGjtxPIpMhJJOvdSTXsi6kZsWXWXWac0b6atr7RJuCmbUb7lbCloG6kWiRu1LKE5
pZ7ibeNRF/E4xHEk3YSGlah4J6akfiGLVu8PlVKAMi/Qj3Sgh145ZbDWZ2GL4EQ1W4hAkSktrdIM
u+umHJuNiosW68cUxJPriWP7NKlkItlGGYg7GTgrqNoyYgHP+sANBhrPVVk1Lo7WcKc1Ixwgbypa
TJ6e9dzW7GB4lr1+wsDP+SHOgvYcyNozrMMnI/ZfIh1IMbe+1MEK/lo06atOrhBSk7RUf9CNcgiv
cuTS7zfZJGrLJhZaChs+gfOySEBjHxM2YlqESkCKNO8lgTg2K+69lyHUuzU8VXkTCB6GqlhO17FU
GUejbIfNVBTlStW6HILdhBM9xuqjmeQFY4ycOHiCow3qYqE3Jn212uOgm+7M1qJY6FXGYdS0aROr
7PohVjtOJ8HKCMvUrnwZFsJoRk6OlpZLW7woTOsVWpKwMrtpnUjWSQG2tiKpFjE1amHb99gPacs9
qHQnF3E/4bAkYiqXLNi24K+boOqPsTI0dNeJ27OSGV2E79SNSBY5iX4c3wi9plzD+MteI1GttmkZ
Zvfs7pVDdgg93i76Xbb5b1ljtjr/91XrkGfNK1lPH1Q23i1aRLMjNaOqSJX0d6LLX1oz6hfGXNXS
daLR3/LX/0DE6OS5w5OlrEqTj3/tD6GZ9hv0UlAzdJdkgPh8wH9Q1zDmssqvlzt84VjRqZWA+2NB
uyhIpkWi0n0z0XYrU7csRE9d4OB6NEzfzY32HsLuXTxdeWO3gnHryqV51Tb+nZdMsYMmRyEXMiaZ
eDxAivKFF6WP71K87Xi2qmgFEOW73qARA6u4KdJoLfoZx5s2R75WeU5AHLADPPNJyLriu9RkIUki
Se9yOPPAuEfQmit97fnVllUltCMluE9RFGSj9TihOkgKsyJ3vXweo/jKCpTnSpcehm6UHb0ZDuB1
c2cMYuBLZbRrW6RcGpr/+1E0n0IAwruswE8p9RoVjyK6i9vkSRyNaaOmSEdq8otIdl9PpfzU1enR
yjBy6MYNceIx5rfSyitAJv1dG4SPZiisezG/ryvB3xoyS02tOmnWHaUI6Smy9mEMjzOirBxxU1O4
+ZEDoeLOC9lb74/WTOPKQ3mj5kv0eCBAkKzIN3PQCcqcJn4s5YAjWxGt6npC5gPjI1HRUzRaFThx
JKMZUD071+p63enW7LPEt+0JewwO/TpvjI68k9bt8whlD/ZSEf2RqgfcxpJkXebJj4qO9qKRayhj
lbiq9Ildq2vPo2mtxYhDtUj4+CrI0OaEyNeSjPESJCWaz5JoVN/FaQxJeKIZZE6LnF48udPWjIbf
s07jFLWOaaEu9Ejjfj1G0HACQqmMhaFNmElVlD6JqIFlnjlfPuodR+87yU5i4pcSo8aRGDapw/WB
yRZayMJSsNqN8YwibIMFtlm2NcIayKqznvGqNwBbGBJdvFJ5GWdfqlpG15nETT/gyQmFcqcBDSrT
hLRYQzf3pSBtEjM/FNHwBPj2W1DX34vShO7Zj95i0nUO+VEbOWPFdSqOmk03NvmiIzCwDSn6TSYn
1zBIr2AgKU7cDWuqfPkSRhBYjVHv7TjfKDIOYfB5P3keu7woTmoVQPsTVzjykRxxCyw61IJjotxE
oIDgHu0aqT/kk4x+ucm24OP3+LQ3csoelEABwtD9Par9jRX4RCDIia2b9W1fhzdFK9zRK9+IWb5t
ybrJdX0Ti/4JmtpTVid3elzyo079XlWqHTGqh7aDQIvg5ipJu9XghXu1JZ176teFlW+kuSsxqhQN
g63PYYXSorIrkn7X1+JZDNRk2QIc8vzmoTe4adXqxGWwORXtnPw7GdvKkq+1sNjFYbfG6dfyDdN2
E3UEfInVwS8MlFQdKssRfpwv39R5fc9BfucN0aENMFb743UGDgVTQ3AfJ8GSiv+9Hxsrzc/XqR6a
G4D4K73rA2ZHc1Ayotmpkl2pCL+ojV2lQgeZRyydoK02nSU+EOeecGxIkoUlt9cAhfbtHE1PelxA
/Gv6QAF1bbTcMEiilYeJkpKZHZREf5pMa9ULvdtYXC7D7jGDT1tr4s+p9lsiKaiYAKMLKd1RkJqE
LL2WoVM7idkn5L7nGmvfoChbUhfIOdSTneW3e9WKN0PTsttL1i4IgpPaJTvPH3sbZc2h9zj8hFb2
vePwYgtVAufBWpW5dazIfINmNyzTUpQg8kjfQqndD5J6r8QCNOLoZpofIQfk74U08Db6MOP7neQL
94PYnRRJOooxh079/9g7k+W4rWVdv8uZQwGshTbinjOovkgWi71ITRAURaEHFvrm6e8HydwmaVq6
PhF35sF2bFkuglUF5Mr8828ckhfG/lFoNF+RCmDWleAGDd9FZVibvMUjonSzL0rKw+gB2jVRtUuK
eJvk5DnXtnEHXe6krLtFGGIrUmuXHVaYS2HeoA8jzmr6GqfO9WQ1wVlulWqvB4i4svygzb7Sfon1
1mR9MZS9dYS/MCWminFD1GFfDWKXAMQJETwnzLU0S4V+OjrjGbanYmMYuEboGNw4JQYX3BQKQ1AQ
CTvQd3XW3td9dF0CUI5tcONX9S7XAOQGYpLxctnynm+CMf3clCH6APMima2I9G4pYnukrAxbyywI
FQ5uIn2qVy59okbyVjO5+6q2L6fU2FWBx0djHLWyQpUCW65rxXWSFvgrGPnsqtAni87oL5W0DzUC
M3ud1ppI121fRndWFjUUf9s5FTnE1sxNZ2cDe5GVMHcjF8OdBGQVivbCrnhL46h2jLlbJ8g9fFQs
F3Zpl68nLSIkj1Z9EXR4RHZt9rUjCMG083jDCQOBFxvYlcKIaIBIbBXNzg/JFxgYSBZF53UnqKEz
PC3H73lFljVP8SIZyTuTcWUs7AjnbCtNP3dFIMAZbQLHSZPa4AvhaIsstoncyoIz+KDqmJP/cB8b
Di6f1lRpm9btrcu6zydoaRPE7D41SazpSBNYqx4F92RoZ3C/T0jSuxBusjGHeO2I6S4r/asAk6e2
FPDWJU196mJTYJT3fm/FM/lrXRk4FXXJsG2xrFjLpvnaxe3SSNwH05eHroeIjLcj0ZI4HFhwX+ob
WIjjynXCRyrrnS6rHcz5o24Nz34sTzFWs0hchacWgVXUmrxXk3XqRNmBgFzJXJ/hUAUBTsHeazmi
2ahAnqz8Yww8mybFVVPPEeHZtFeBfWYN0c6oCPFM1B7bMSxY9GQVMcIQhi0vvT67bvBm74pxXGV5
fpOTzAagmpwCle11XTt44G20QlsxlPvGx4QsCfeBU55i+/bZNuVpmhsnleSklS4ppOoJOG9NnPzl
4NMpjJApJz9cV2B4Vtk8Z6F3puX5suamG0iZbb30iSwkYku9fF/o0VUl4rUtImzVQOVlRi7GoF/X
iQazLde0JZG6hJgEa2IAN36HU8vsI9569aaJjV3Winv248s0NoaNpUFKx5KS1qLEsS0tqe7JfYpk
j2iJYNFXYu0lrKvaICXsML7zPH8r3elC7/AFSBrjZuyNjYzV54LtBXgfEYdaF33zq6JbDnHfrptQ
nuPed+4H8sugN9iPxQrLEmcbe9Hei3RvEwRkEyfTsxqt80Zh50d9b85swc0SFL0FHg4uH47KWPuj
7R4LozjJTVDQlA1X2OiXqamdpQ0241ogN3UNi963Qux0axh14Wg/WD1UdY9KA/FwOBsGF75wX3we
rOlSafaDELG/UVF5r8MBXeh2u0nqLoUlyLt2fWPnzaWnhNWMuU24C6o0XloqOSiI5UmgTUes2U6V
EZQrAeN4VVYZ+BYGDOVYYkDKn9COrowOZ5ZoUAS3Z3uQTlx4mpY82fnUtsz7YbbMiXUs2aqBgbMc
zXMjic4xhV3ilxXunXCqzxSEUpyRJYYHaXDSV/6lV6cPiATM3fy4E6YLfSfnNIeYIB/csLnOlXnJ
9iM682SOCYnaB0q/EaSmTIWlw1JugV+LlZ4lZ2Wgb1vHrLDtzb63bsHQKwUQnHuTNMVJBC6ZsMTo
0n5Y16K5H43yyhvKOc3AOY+N4DzDazh1zPEUV/a7MvUezEFeQdorTi0Z5+sWn/mNaMyHKfP2HlYT
y1iPQI47frBWGpvCiDAszs1uF6eYxtYIVMhgMjNdXg9GLBgjqoodk5uOpmCBIG1tLYzIn/65Rtaz
sfh0MMFgAw1x5C3kIyJdH4TIo2Os4Avkh3oaFp55/WqsvPjJqXlN+HxHT8BAar4IGc428ZkzQeXt
RRKfBG2triO8yPZaftC1kEyDm6a/+fVlZnjqFaHn52WcWWfPwhuY/h0Hxtd1jylAp3EX3/viVpO/
4a1+8PPZV2Ipj7M8H9f7z6r2Rrso7Cw95j032s71H//x709On+AT4oOa5VhvP6bAmddKVpkdXeYO
68L6w7X+b52b3hFV//L5vPuuCUY2WDry+RB5o2XLBOtmfEXZEj6n8erXb+WDS2HMQjilC/kW97Z3
X0XqsuXopyI5YqgDibjRFzhrBeaSYxhvll9fa/61333tb74W0IbXC17diLLOsdP0qOSSrQHhwTxa
1NSx2/z6Qh+9qdff/7s3lTuxB/f254XY5ZFAP4QbzpH5KFa/udfmX/r9m4KuQdoPp6MUP7xBXm2t
pZWLgoM3P9Zy46eP3bC2/Kdfv52PbudXl3h/u001YGFg6fkxdx9j/8HU/he38xwDA9QJy876gd28
egtxmVqNqYn8GFMBWTul4/+ieLHX1zEGljw29g+h76sr5FpOf28bxXFyHnvnvJ331M1vatdHXzo3
MRQdcw5ynKWWr+8uoudUji1WdkSWgUBs3hNblx2WZiz45W/u5A+u5eq8DWE4LvSI93Uy9F1AttjK
j+E8U68J7w1J2y7ZBG7F1Y8v/1/IU1Ae/h7yPH/uHr9xH/+FysWrXrY0AJ6sfLivTLI7f65i/iOu
NT4JV9ehqaOehU9CBXgBPL1PlrBxSOTrm320DfEn5kkKqG7BvyLTE2HuP4M82cW8qQysgrC7clDx
UlTBXfkt3t6QpFsrafnReIzyCzk6zVL4zN5D490Ok+gX+ijKhSfyM3dKr9zR/DqqVFs6EBMIukmx
KYxqTOwb76ROgO51ateg2V+9MDmkrXeHI+ut7PPvKFA2pWYrQmGch1RlauHWNusflh66yM4QvCC1
8TsPpSe9rl6iuOIwABJM7thkTHjG2ehn0C8JHBgWhbDuMSS+C8bpq+a7wHyJt+vL9jaJmovKM/GD
8o0tDNBrLDpui2IIzv2uOSn6Ti1GrT41XIamgUSfbCh4z9MqduWidNt96+JBZJM6ykOzyUPtc6sY
EFjCwpc+5xDaTGZIoXYcf+3nNbKMvl1BFdiULuJeie8atuffIGcc68Sw8Rwsx+sJN+2o88n/UfVy
KgfiFGIZLXG9hCeX4z3oadZDNiUEDva+Qxqinp5gWeutSjZdMIr8LaSbeOX2M9LpWStvNOe4xGkh
DXbwiPCYUKw79uNEIwUwEGjT26DButEqoOEMNjjprdH3NHqIfssQq+NGD9dpjLYALDaIYeiFQWqu
/AIMsuyiM6b9dVKPWz0ddlPf2esWheIiDjA/0s1u6Uw+fpnI2EwHJh761mcVW4dUxy0SxQKLsASn
zZobB/vS2ybPv0QI/HwLqW9akBRR78e2PR0qEkLtON8RwaWtw0TNNsLdwdNJsUuA1sJQ/zya9kmm
wDoza3wsDau8NTOEeZl5ZRAr0at+DwtwO8SxD5fHh1sU+Tvo/sUyKOXp2CbGwtPQtY3aCFMwc++0
DsGnXWqb3hPIxDtYUXApXL/fTx7+knqh7IUZ5MSWaM2SbJFtFIXOQnemi1z4G9kiktIgQVdVezeB
C6SW+F5IPjM/Zu5xAeL95Ba93UOQVRdDyA59aFy4NtN9XWGQrUOKAM5zlkSsrvOhOclah7s5nu47
FKXM+I/NGK1xSz2Fe4JJqHqwo75Z+RKgLtEZvdMqvWnN6jbkmF2oFp9o3cHsjfRONcEEa5yH0mMM
rlr7UCnnagrNrS5JiUTRu9VHlMht+8VygysCzjaOkR9ROR0HpWOaZk8CEhQMrdLOz6akOxcy2CT5
twSGTct8sa57f1tE/ZzFasKmscaLiCgoV/f5Nz1rz8apMfSph6Vvi8fMJ7TQ0hPWcTVpoWkgoJGM
N/aEuH4oUmchK+eGXJxTFHsPkxseUm+4lELbGnpCGGXpffMzfZd5LreRU5JAn3ED+rPIc1j7sXjG
P0bxQBk33Mb3TgPz0/CL8yZCKejJb940Viz++ovCB4DKasNcwl9xcHbH1ji12bS6DeiOlQzpxZh4
VwlpJ/NgXO79jmT2bDRIqLG9r4PfPCZpeeEb2MD6juWv6l6H/jWW3rqKrVPl1ubFJF280Yswv2Rh
HF+r3HjyRynAP6bbqSjO5BR8NcAs2rQdd5nvaesmEedhg3V5rcIaXSyAkpc0z4VyJjIAwoTMFTVr
p0tvoRqPTwChIbUorZa+WZ1NhnPaCOMkao09XoFXFbgXSlO5tyfzHBOS0yLjXUZJuVJNqINFaeYK
dv0qDrMWPNj82ZP/e+TPZIm/P/KPmJwGzx8c+bzq5cg34JzOdFTYT65pOLOK5uXIN9xPHAIWIRi2
Sw84m1C/HPnyE1tMG+o2RhxsIGePypc1p/wkXdvmf/xYC1Gb+Cdrzo+IGbS4yFSYYAXqJfddE1ra
BLb1ju4fiBwmSnVKEw9SNbwFbSj109ypCU3VZl6DGYcnkT8+uIGB05ATP8nOMsB+rN7ZQW/NunUp
8ZPVVanWA57/hP/YYXFHopQ9LjEUqXFe5fFCnR/ZgqKNg6yZ+tFz0+p+tRG5xYFUwzHIAQZz6uMm
hCRbrpu0FrMToEkwbxWjqIcQ6S28BG6a33p0CZHCwi7GpBk6QvVdc4OBZxpCmBX54PCCIuIaoMcz
7VCTsbfBzQDkbwzg31aohQGu1VScsrk4TFN/acgJB25v1p+cmUW6x8h0PwCOLC0bI3fgWgu6Qteu
RG2GZ8okrUFpFzHP/JXy3dNGhRxmAW0IJlekq9ZFtRRan6xHO4bQqbR4BaPiODT1UUvw3+zZIC1G
wGBqRL8OoQB7lKaGnLxIjtX3RDbXUapf67aRYTScNvmFVibTQZpQ/Eq1CZQd3pMJvnSgXvhEWaCr
Jc9IFuF3pyZwUChQS1GQzuC1dAsyu9Zsq98ol9PBwbV6VVUEr5e8XYV7ygDrdOFPjr0SRh4eu4BI
r0gR0SXhyTaDVlzZPRAxoVGQlDGV9mBtKGGwitQOREFvOptskrFV5m3t4XjEuQdIjK+8jrX2gkZv
ObAZW0zKUQ+W385xBRqI5SLHs3lZY3W/ffUofoAM/WXM5YGb5V2ku9BwAxi8bWZjPex1XP3jc4H3
9kamvXgMRz6nniyjP3S6/9a/GRz4+/p3kT4+PVcf1D9e9VL/fow8MBT/4HHozDUv9U+gXnFN5h0b
YA3Mi6r5Uv/I+UOsO5P+0VQCIPKql/o30/sNcLh5lrXxZPX+Sf1D7PHXmQebZBfrecKlZv3m29uk
G/vObEynJ1+mAyBuks9FN16RK03UsxccM6OMn3jEcvK85Q2kTppnqfnXoOjftVDfwEQxoWRiOR4Q
bEw+Fxsph9UTZrdfqwBLkSEl0YONyZXppQGDSOHj1uwf3Aw+baicr62Mru1u+hwCN7DlgUgqlLkc
ihAGlqNOpKozfuLMUPXyzZSKa6616hsDzy7om5BgR7x8IaYt/ck+NIl3CwDI5jYJvsW1ezABtnVz
OIZBvSscmkMasEsR6vrGxLpyEZvdxSDYes4q94UjiCzFD2Duk2C0lUuJpmfPLBtRro2dgT3SxmtI
fWW2ctftqORaJv7WhpWODXtG0VTmDQkoi270Vq2U6xYK9ILMs4iU+nE/GWSMNnnosn+e7izvG3l3
q0oMh7rOTpyuuW/1KVqqGCMec06KbkfmO7vDMt8axudOL/ad4WwcqWHpo4d3gUGRJyKXlTJ7FnYD
DFnTLhYONkUQ10zCDIvqrtCsr3BcTp0iYYlEdA92OWVt7Fs/uRQjfITAsq9cPiE/cjDlKci8TtPz
yvSu7Ej/mgyTvkCwTpuok0LjOf1tJsyHGBSV2krubJebG9UaqKQH55S8sxstZVlnT/pd1MXpos/J
nZf+rRqqc2gIp0GV4Babps+mFn4ZOu1GSfbU4XDVePZGt7X7VoufIMwzZeKsvqwUKXLTvEklqeO7
M47XeksOd2l6B76ms54MAc7ElW9+ZwO89gVvp2+njXKKekVKzXUBVciO3QJuurOdYuIJqrz4InP7
QRLBtiTK+9Fse+4vAwZEFuTsaZvizOjSbz53pFfJjNA3HF1S+6S1x11hN986zUSRG8ob7LC3AaUf
iUuJqgOKHjrRYeV49Kq4r8YrLcS7aJTuLPBI7uKGD2liyF1YjC0LMxNXja3Wnsoweckqb40bhzrx
MbU4F21xN9QPabmXPHMPuGPDkCGiPgw4UabGhLU+hpdjX3l7P4FVUTj1sDU7tsd625vLtjSwOWxD
2l9NfYeM1HjsZsuG1jz043HdZEk53XY/ZmKrG1ym1cBPzOvcl0yYbL3uIjMu1iYzNYJvcgWYsofc
ZNye52435gjPvS1CDkZyw3VXeE6kJ+yNnHWGrQlrXflQdFaMTwOPWxpyS+d9QwrwAMcQJHOpRdkq
cL3h2lUgAAUshyGcvs1nL85b7goe4kYHS2jJPSKvBypWbrvhClECOyHnfDBNYggivEPczxHIROha
/gIB3gY62R47WoK7xlUKlpFG7UbN8+sEylEoaEwauIcJnfY8BQlJTPuaT9fYlmAkdcycCmbigZ1U
RCYsA7//WtvmXVHI+0x3UtzDMBROJbBASQAXnJM7K5yVQRNcXlbr5/0M2OQzdJOE6ZkOlsO/FSgo
kIqWjfXAalCRr4SmVybfR5AgFTt3qowONHZfqxpPEz1zjjbYkd0WOhzYUC4ksAebvUBb6r7xVR/i
K2JRzvjyAKHiiRyvxLnNOgK9plQ2RA674ZrF4sqeZx0gLuR+jD9Fw8M08ug5DEZ1KPb1PClFjEyo
g4ANjBOdUcpvmzMc5HBVmaestLdDYpEzbyGjLF20jhuvTFKo1j4DmhZOzabwSiIKWi9CAaWf5/M8
182TnWDEmwL/URuzMwjBt9o8AxrD+KTNU+GohmFZ9fCIajNfZFizkcVRPvXsTaCz6GrJ0HYbufYp
4pmnaAJ/w3cquxlyMuBycYvFVrb0Fd9G6vgbYA195fq0V3a/dzLlr3y7JT2a00E1iANISamzlHsN
BghtW0qeW3VS6cbInJgG+ZpxpMa/qKm9LyIj0/JnlMe/HZHFruPvO6I70N/2o2TE+WUvLRFzH9iv
YDGhw8+hRvzZEiFrtBzPYrIzPVd/MxKanzzdoE0xsU+xfxozvrREEhqtiekNakfH+PFX/4D5+rZv
BgQmt5COyKIlYm+rm/Ryr7cSg64FXVXl7fk0JsuyIi+Feo1Tx28WEsaPneafe6gfF7IIYGSMxQEE
SHz+RV6tWIy06UobCOdcby3vllxBzQZETMdp57quVUH2z1tzX9f+dB0LFHb45JifY9cJHlQRoxYM
Ru/U4M5fKES8w0U4yis5Fl2xssfAqSFBxLX80g2l7V70ftl1m9ggmaQzu2hhJ1p67OMU3DZSqhDr
ok/huJH4RkxdVPv5fZSM3tpyEdis6vzJSs2elkIRXd7qirQglaTEdPj4uKWgZVo6Zy46UV/Io97N
WYxdGh+rJqGdUpDlQ++CFOpnrJ6+5WWw8Wv9xiH8kHq5tTSSHnnKKc8qWnumv/GytTVkex9BEvF6
GSRS1G/pWH5HFXc1kSFpkCXZyu46nYNQerOKH5yEA3920T9ojqrOy9qyT9LIOygvSzmHBLbAmia/
m7g+7kw/pGI1DOkcV5BUUo10yt49yMY7xzSsX03C7Va0UmKLXvR2NLR7QisopHEIuaxpgNBQRkNX
IW81W7PSiNbsuPgRDUS0xK5uK7ORw8p28/CKWqsBZhnV2ht0WPsphvAgGsS01ElbrUytQqRpTVcl
0oGTUIOG9+rZ+2AEFG/3kD9uMawLdHw4sHqQ3NZvbzGIxWUQQIU7r9ek5CJnvZ6unYWGY3Ozy3dI
osJVsCYtcV2tMU4+MTdyLXb+8neGUdbbIYP0C8IWHBeqAmOOjl7+3XoXcKJv8Zgrzn0RnIBEDMuE
qDvczkyyvpzEW5esBTYVvonRgk3dIXAqNO98R3BTs+XoYAHu6+PCFdMXeFPepsZgDiWg2mAv+AVI
0lrAbObMmobPZaocfOew83PqWK4GYocWqOcz+q5hPUo4m0a+jAE0StP1Z1O33SQ5ZoXYkgNmcFhX
3BSeueyyfBcPcN4lRJZCJ2+3D86ED6SP/N7Adg2yXhbXKx7i837w5LYM8NsiOOQ2wI/TkNmhHQiq
1ly11RNuNMcryarS49/sUN+urP7IFYGTTL202ai9d97x2EvRQ/rVuY5KcUshoFepEMFoUbimxSPY
s/xdMtrsxfBugc7Y+eqa775NbegQKiVBjY+gBMqoADaCYjXVzs7M8MgpfZ3sS2jQTkkAUFo3C8vM
R/hJTDKuZp3he3evR1gQdLX2nc5zo8qSsC37UvenJysov2Rw95EOlOpfLYoBroo8hOf678/kq6h7
hur37QOgdn7hf05l89O8hhfmfO4CHL06lJ1PNstX9qGgpLgG8X2/4BQ4ItMSAsYSIYha7i1OS+nh
pAKc+8MS+R8cyj/u49eHJWIXG5gYCZ9tC8md/raShSKHT0fdPVRFWSrnTEvxcUzhU+l1RpSoGSdH
rxUygcTsgw1AR5s2Bnpvhw6aPG3sSdNjW5Taos8GbW9ZuTy0iTauelHnpywksmuG4f5IlKg6y6Om
eEKe15+IrE+uTaMnRr2I0VA0g/NMyJi5KygeGyOucD918Er+AqLA/kjraGmrniBYL90mwuAwSXPr
K8HxxndNRtOVqO2oxXgyLzAfJqNPdz0AQbtcDSIWzNhkDLJpSy6yrPVvBD5qV63S0vBajy2eNwTH
RjkhRwupJxXIOeeM4eSB4IItvgKsl8Dbq3A19i45ZTh+dpdVZbisq4pKsNeccGc9x9czXmdWVMa3
WjxZ86YzcZzlIOySdMBKIsy1OvyaEO7KvdllzXoCilo5KN9mp0i3UQQ2z2i13lWeddrNQLb/A9PO
Zngb0xWQbq2cUe8xyqXcjkYd78kJdLxVMZlXk1F3BNXN4HkBik4Gb3iibJwxDxYylz1xUlF3Nc0q
w7Gy8kkSVgo8dci8dMy1nxjpv1363LX+fUW4bhvUaX/FLedXvZSDGZzkbhHSkrP6FWrFa9zSM7FB
ZwNjsNqZVyYv9WDGLQU+TOxn/jAYeY1b8gzzHNjwb1zb+Ud7G/qoN4fQT64GCCjOKCh+uZXfdc+d
yEVTat54xFqv3pB/la9rikGCMMT1y1NXjweLW9uCv2z5uTr0PXhGZm0tN0GVMhumRqFunQ35wEEU
YzPSsqM1uXuX6SjrjTDoB20iNHcDC/BLYXKe2WZDoN4YWNs6Lu498LwllsBPeckSwwinyywi/Nrv
i5TE5Y7oyMA5TvD5l3nRcSIqHE+jop8Whov9RxsFOZY74jKRWrrvMhCPzLcwSQ2tneYM7HCkX++N
pM0xa7dzCzlGckVn9dwn5XUBN0FlfbWqwMz28aANJwGuv8up8dRRb+0vPLBXXslP8Y3kQMHvwbHa
VT3k6crvvQOzCAFhSIQwabnUE+j2rbr14vI0CusvuoZOTGX8slMv8NCNz0wL3gBD9GFS7rfJAyAd
R5yhXdGhwShmC4S+XGqYRi9Ce9h4wn9KQlkvLLfY+KCljlYecqHu4yijDcJaYZZG4R5gjV+nSJwb
GI6se1ddRZAvlnosS/yfJWbvW63NsfwMZ0BWJ+exrAp4xxU2IUwMOAvoXs/k0Jy2hreBa/88uW60
tpwO2jDTk1P9MHsZwYLbWi3NjNpaueQTegE56r0wPyNJOrT44q9KU627QVirenz2CXUUQs3Un2CW
HX9vHXobJ7HyVWNOxcbQGyxrUnHhVyOIMaG0YA7qMqymR7fEGMHACn0ZpliTVrOhe26D2ormLo6L
y1bPdAxGcECZ7UCmcmOlGWkpMt+2hn059MFnIEAPzUkNTop3dKexU3Rtble3BuQiX7hZOSMuIE6a
R9jU1OBPc1pdVHp3yo8vWPqVYLv2qd+7ZMWW8McbK3rELiUAqC0enUFWy3pA91Fr/rTzG6bBvklI
Vg1gqmai1ReAvGo1mAH5kU1w7fgO91QhxQ5X9kPjo8JrcwBcorQ1wDoEUtI0MZbpL4HcsaqQBFcM
GVoR9ISZLXYc59BHAu845HW9SjVhLZ3QQPWDP7utDPpCPLrnIL5jwZlc4baMHjR5auP2c5zJr2rs
L2Kz5YwLsmeK1HklAmTTpER2SADWsYsexq9xb/HG+kIq+Q15qJrpBDuZjl/72DsfRH6NCiFeZtYE
ntroi1qzgo1rxfFGBYz2jU92fFFeioBeIo6T53hiLh2Fj/d3T3hnqtmL2sQ62AtmNDnoeaijdK2p
5HMO6Z+zls1qZz5Wevwlt1t4WQ3DncIwaBEVdBiFexdXGkKr7gTvbX2tD9baDsF5C0QsbYG1DkjE
Iva0h6ZE1BMXZ0UF4tY7mEuwDb1vJoFLcSC9Xac4PuvMy3a9wY1X1p55FEnhaqsSQ+VvP06Df4/F
2ZbhF8ciVhOL5yp/rL59GBMyv/rleDTMT4bEbh2Y6ucB+efxCOMBiyX4CfrMJoSw+OfxaPE3zMJE
DjpMaxgW/rnWk59cePUEblrs/Zjn/pnfxJxg8mpGs2i6IRhatmNBikRars9//wpc8gZLUwSIhOda
4oqVNbdx7jTCj5lbu+5Hl9cw6yKSGzW6P3g6dIJ+X9bxLappqHg/esV8bhsZxIKByjW3k6jm6Czb
n21mMJQTTSdmSjEtaPmzIZX2zIpLfnSq9MQVbWvzo4d1mwbvJ6sBYco1dO8LXCfim6xIu1sTHpBY
polOCISBJ+5CYJexUQrwpoD/sBtDHuzUap273Og0JKNQ9u4UxKiB3byaxqWZT0a61OoyR8+h3AuZ
dIodTxk/aJaydrCoceRir+MfgSQDd8EaIzpMNTxH3LCmLFi6ke0vvUJgwqRny0zGLVIKJzt37Ly7
yiByrCvyS0w0pXm3azXfIhW4dL+IPEMp5DVeMWEu39qkzbqR5Sxj/M2v2I5gCDM1WbRLK2d6yoSG
rUxgjnW+HHWkimLTelaM1ZApWxTBbiebrVXxhdSrCIOfB9SVhrFOIIOuzZgsjnzNREATT0PeTR38
zV5Ok8eB5vKfjaoKto7eTJd11cVf2JbWl55TO/hO2QasCvgaN/iMnHuyVnDCND7NixyoU18H9cw1
DPyiLfehMFr/6EYifkggntwMHoytYGG3ScwyT4/SnS5zwgmANfx4XxpVPJxkDukhz3bvBs8eZgdb
FLM+itiwmIEUgLJaq8dFpiGISNyovg+loapjqRFsDxPuJ6r6b+WSDN2/rlwbyFhPUf30kVEOL34p
XOQb0bHDxYLtbIO+U4L+w0eQn0CpIVPP7KqfuPxLX+98IlPXmdvf/7zqBXwHHMBK0yKu/H/hKfgX
wJLL47aM2er8Q80ZanhdtqxU193Yr6bj1Hwuwefalzvkb5U680/4E0hwZ/yRnwF6RYATddGcf4NX
hXFSvq0GJY0jnRDLQpowYn8snP93r76AD7DXt+/kr9d5N5+QDqHKKrKMozW7dFZnvfPt1xeYJ7Bf
vpMZGnz1TgKjzEXL03QUg7PozFvH+14gmfE0kJBuDSVvWXcPqt210UWDV6ERPVNUA3JJissmvw6A
KRpScKxg7WITF5iXbXzdZyFZCNlvPoqZoP/L33SGh1/9pjLSfLbE82ch15TbRak+t120LAzz2LO2
9v0Edsl3B/utkv/r2tHy1x/VzKT5yy8AycWax09QXPGOC5XD2Ws63RmPGNyQmmV4VXqWoHtplqMy
S7X0Yj3HhMBlqzIwuLT9lcESlIpX4KOqa9Oygi8OMQWUZdME+knvsQXbptm9yORJ7+s1loVabNwO
EhBWJh4GfD6BWnkcryu72qsWH4qu3BjNuOqacRtOx86O1hl99gxJYbq3Rap5kTFVTDFulPc1zI+g
vqmDeS+RYg9nrzpIW6LHN8Kii55SzkC1SsihADyF1IFhAehNNBrLFuW/o7MYIYm9vK8Bvkfs7Ms+
PzUa8zKOD/GQbTskULcZWLGSk1wX3k1j2iuTTXHcDTNzMDARr5XuSnczc10k6QOUPOBu6Gue5ddz
5MtvIit/KKL+fCzncf7Ng/9+GdZHMNWaoZ6O+lbu/P101nyWWzT2x3phnDU7bKPWePwtx40kYvIk
I7pveND2yabZ6lv7EG3in/vbvy0T73D1v5SJd3ijmaatk823bJHsmerzflURNrkhWuXXt+ZHd+br
cvSu4LlRNqVhyHW0fJHeDN/KOexpaYoV/civr2S8RUx+VqTXD8H7lpAnppJeJI6hXDItDquWbTyi
7Jq2YhkcQQl/fcGPKiDwEH0omx+A23cVkMTwwXFSKVg0soCbvnbaxa8v8FEBfH2Bd5+dns/dWCDE
se5WLbqFXmO8/e3u6qPS8epdvKuy3uDZEw724uh1p1N50tg3wv7y6/fx0ZH0+n28K48jZzVEVEsc
MQKGL4fQyL7y4nMvHP7/dEeH6Kkq6uJ783/mvuupUGMVBWHzP2//WP/8c/BczFGLb/6wJoqjGS/b
52q8eq7blJf+fPDm//L/9S//EJLdkCv13//1+I0kjFVUN1X01HC8QDPgCvtv//1fPzcgFv/u79uj
mzZ9rJ4/ftVLX8TUhg2+DhlcEO9ozZuRl77oBylBgsVDE8ckcA53fOmL7E+0K7gH6nPBmDVofw50
sx2XZ1DXkLRB5jT/kc34X/FOLoziE8YV/zRwLX33NAV+qZd5VkBLSAt0xVH7pRp7lpEJ3bjezUlR
6WfL8KMltp6HCKRrZZG2tKzy7oKYv73jkQFWW7hpeF0JABSdhm18wNeqR0IWXet68g1PZPhfRUf0
mNbDtOkFbkMY1fm6HSz/L3vnseQ2tkTbX3nx5uiAN4M3IUjQs1jeTBClUgkeB959/VtHba7Ut29H
9LynUlAsFYmTeTL3XrtogXtM6vO4MF1szRevRkDuksKIhVbt8RctAeQEZVOPMXUK3qCD3maFfPrJ
csu3ahaPQ4xlSHTM4kLbxqXV7UvgzJ2nPIflDALUIdo5OQ9ZfCIz8q0VKC5wyF0bw0IRGLkYUmhi
yE+zt7oOyEgTr8WsztyMwGCITmo18nEH3O9x1iuSlroxMM0FZo+MuzLHBKIJAU9AXrDr5Pap7fIH
sCRkr0ZEemTuHT6zr0xVrgliS5RaUMHUKO024The3Gp4wZHzwcTsNaw5bkT5QRPr+X3WRJu+xADQ
OsU1qrwdA9QVqKE3IgmGTZW7gJ2RhyIfFR+j5p3ZOHXrYm4I+tINEnrNwguSeiCmTXNOAESwhoWn
MoKLQnZnMIsxUJuR2a63i3Trbl6Gb2jzPilMD0YSbdmZvMDKLdaqww/Jh+Sp4J/HEfiUrgIi1tF+
3NpDe4696VuOw3odKupWYFby+4YzuVD1ZzOy7swOqBWk6gcz0r/1uj3sZ5wHK93q+4Cr6UuhQDYS
MQNwyL591ydr9GLp1rbzV8HiLaAvuuixBQQiY2AIAcZaqaayspcsUJ0qXRGusq27WEgaCrLWik+t
6PTR1y173ZsJ3cniBnbSttuwBRwdFvVhKUjlatKQkMxxuXNyazuWVtDXJuiuJURBmwGpVbuJoOel
Tdd5zzfOcigA7sKXeG75DAu9ikAHLfcCC8aKOXoQhUMQqv394hqHZMwMBL85gOQ6jNZRjlBv6LOP
TkwvLgtARrvVF1UD51aKENEas3Q4xjt2ZIovlHinIuVcK05W+iqZf/asYtqicLeq4u26eASjMrif
0KBP7kT0YtWCKUEZvLcjiC96D7InKrBj1tYh1NE88G0soA53X9req3y1wTFpLtVyLSZbP5ol7GNo
4F60z3VwdussG5+B5RCY2ChtnDzxawi7G72TVBwblHVg4xsrHxwOZrE2uwozNQ1vG/vMVpwrgMvE
vhIDGF+Neopek77atDlfoZWkSl4qQClQl3BJwbZVrWgXOx5pk7Wq4Omwpls1V5Cp1omxmZzBsFa4
9pf15Nptve+x0TCaTKbvIE4jR3s3Y/Yc81vYDlMNOtTQX7IRjMQ5L6uecyaPtfVkOx9q1KPgzuy5
ITF6DIUntYamVcOM0p3oQe2cvH3VYc+E69hY9Hhdq4UdvmVWAkRa1cm4XeGd66tfW6Z/pwnG368H
mYOe3/Ha/XfFlC/8vWIySQC5S4QZBe43rd7vFZO/snQSMdDyYZ78aQTq/MKYU5cJxlzGZDbHfyqm
I8cPXM6Q//3zdIKfu8/vFwpPpyJbukwm0P88AG37sa8Lex5vVHFtiKicEYv/0ENcf72c/Ihe4Sf9
06WSEa7NO/E/lDaNP7Vt9uhkRu/0/U1rpofEeVLUGw/YlbnTwus4XNDW/f376XLe/LfvKH+iH+7R
EmqWMOjsIcr0yooQYszNcyt0NOCRaG/HRriHobOqi52xMGrtwE7nelOHE5vFruicTRqV9tvEYGRv
G8D55hoEo9YKtMZufLJE/lS6euZXjYrOPfvmTcqLTL4RBEAQHo3wPY0aKZvPLXKRY3fT5IQwFFES
QfKzty3FOWBVa+DLSsQ2nKfST1BAr5ymJ2x5IRQM7QQEWvDpfXLnDsORPkygGxxOSh3yKaWsoUIE
8zV2X3PGUG+PtyHbxRUZuzshtOuALJrJ+75U+2SVpdFRYE3oDeWxUTSQSuXbsBhQx+Pd4CztRoMC
nnTm1qxQ11HXWU9SUZWqodDE81kQiXLvdMyoGUszlL0XdWxzwleMb8t6VwPD7G4RHPIHfdFM4ibn
2tshl76UxcJQue0W8GJG/SVT3ZNtj2dYfqfKSfZTBkbZC8HzZZd5sZ+13ONYZOAJrkuq3JIPgm6+
5oqwWIKa56kyqQLGesiqUxeOG+waewINrioOlDKsmQXPp3GeTr3LArRbCtWPrPHYDupz3esb0xRE
VJbLIxkZ0SosZhKs+/JaZt0W+NolW7KDKjJnNVU20MSO1qOeXKrekCEzh4TRps4jhD8C2xQ1CvSi
wvrfj902D/X21sW2f8oh2Qetqx/z4qunjDdm7N61PdZhDaA1pL8m0ICihXly7UvlfhwQ5St8LIDt
N27igUTrvjoxkErNTlm0jRuvL3rsABrARTl0mG+7XjAlZkxmj+Z2bIZAhW7c2TiJNHUthLhfSvNa
hKjJxqkdVl2eDXfTHN+h9NkjLFy7lftCKI4/OVbzULG/9tOk+Vbi70HYs4W5gJmHgQroIfBww6c6
RscSHGJtssDnBAOhCW6W5nNDTgAW6ugaJ8PZtNJdbRU4/a1N7pR+P4XHtiVpG895S19ptcoFONNa
H5W9ati3sxt1QFxZbRqIWGvPeDKbVm4QyUXPylHGs867jCSTfZOXEMKARBqzcsja5YGBPLnleXdJ
GnGfDuo6TWGd9iHX8t7V370+fU8dF2Fdnq6goGX+2DYzq0+adCsc3N33Y+bfoscN7G/uiHDmu/f/
43NRfP/vsidf+kfZA1RC3WNPx1Xsu//uj4uinK2DsIIqRCqUhw7mPxdFXNAuEYxUPNORtj3GCL8P
0O1fABEZOqgwvifMAdx/YujDHPhTkaAcuSojfNVFzEf2FVidn4uEo0VanjeWIDMVxy6+GskWIWZ0
mmAv6FOk7ccwC3KDrOsCWQaUt/i18JxDMZBoSLaTyMXFYRWUWsrNooQb1SzAlqaOOJFiLG54tJ5m
1XxxvQr/RTtzC1S6zTBnD7/CELsFdGzExEykzu0UYfwnnTgldh7AHnw41xrVjTapl4WHbO0t5rCN
ya73M66Jq1LtwLaSpbykyG20CNQdtOkl5MLLhVjsenss1kqIw38GcTfPkDwQ/1jrWIbmDIP6OGhI
JPA4jXqHMtczM99WuSiQivMBAjn2q4J/t/YQD/cDDA7Yr0yfy/TDSzx3M4dkXvQFcbn5HO85c8J9
XnEykMm4ESU3J5WY+aNlKeMJWDMyCCTCPvLzR2jueMTzTmOclt4IPEdWOuMZXMyARvqhSWqb5Wb9
SL7RTVVriAgMYLsTRiejDvsVGcz9ulTyyh9NlVjqht9pVvfnCmEJCBCRB8ugbKvGOkCuImFmYDgk
p+Yj89pl1HaOUUMAzJKvg2aco3K5LDpZ6AD4UBmlzUveKX6I1kA6xU997KarCtcpG9/eVxZQ8SJj
5t6K1ICzgGA61+09/f9tFiKdMUi5WOtLtKnNwg1GRXzUOm5IXW0hY4wbs1a4ThanokhuaEuOhrEQ
L2S2x3rgOxP27bVO7G7lQnb01WHuNybSm7Yk5Sntt3VtnB0rZoTrCcWvoXKD3C/XWaVsm1RhPina
80JMAp9e0nAQ2ne6rZ+9KpeM2mFC0WOi0IA8uzLEgsHa7BhkZiowrDHctEzPJw+G2JCW58gM3+aa
9PVccbdRa9hrq1OfzJocBYNgdQ1E21x3Nlfg6DYatZM2FeslmvAReF8be6wINm75Hbb2nnuPtlps
69T17U0i2lrhauPky+c85WTFFwVxAtVTxv2ILHrSzJPFPJd9Vh3SznsVmXoHnPurW82EIOAdX6KA
fmxdtePB65SgUfWjyONLIsRhStsLAeLXoQRHW7dxTz3ux70dWt8WW+npxEbD3CZ96JAYUQ7LvW4v
56ims9HyZAwi2e2Mhs37mtsqb7aj7IdAsuxGGqTGem1lv1T03mNJpc5ppBp5DS06az/SYkVcPfsF
J8CQEN9p9bccdghvGKboFkaNBD97SMNmgKBGHSFIh+uOgpbO0Rw/nKP7Bb/nypZdXyz7P73peFAK
0n28SKMBkn2iQcOIL57UIdlD6rKbFLKvVHq+ORDYEQnIrrOg/STs5sUxy2+CtrSQ/SlcgqeFWAxL
4w4/yR7Wkt2s2oTOykmrLy4L+pOXxWdIlhwTqnotRMHD4NTazWjkn8biTBsgep99i2+5sKc7Y5yr
vVEOb5ooAuR8L3PioPKqA69lI1bQMfuu2ZpbhO7PJTtxsheo4e68HUKQl1Vz9ZL8qNqoumQbY9Xh
JYXHsiaKaEdol3dwFOvR7cM17zz4hmc+aKqlb2ML28pSa9WmmtJpUyv6eeIxuDrCu6Mh3ZEMhHky
H0jKgWOpV6kmVUXohJ1uzf81wQEIUd4DdB/XWDc7IgVXwPo26A6+Rd5HAvum7Yy7jN8JdQAOc1Tm
dE/ulelLoAIA5gjLzFUVOji0l5F8jCHdxnUNeDjNuVl0yteEf8518RFaMlneii4xViTkAMlwNBWt
3PCBzjtLn+6ktFArKvwkAncEjOydB+aUx7aJ9hPCsVBh+w/NCOko0gnnTW2XBPI/jNAJMWJkToES
1/d6gp0abo0fxXYPAEp6jqP2I9NjMFGtsW0sB6FFXZ+jFjMOOr373ppOyD5RYhr1ti8567PqMgqS
lCttBKY/3amz2BA8MAeoZY6i9naKpowP8TL3wdjrn5nXT6vWcW6L2MG0miM4/ref+u46MP925v5b
P0UCyl+0U3KC/952/+//KqiFf7HQpwB6kbBUJub/mbvTThlk90Lmkz4CqRj+Y+7uIGIA0OZ5v+V7
/jB3p52iCdKh/JGy8x2d8Pv24bc7PYuL/7kGZMPy3+0UcgjwDfR0pLbLzKEf79yMzQVAE1dOvxPk
n5J+3ei5jse4fE4Q4W90ychu9SajxuNNhW6+ry3t20BhXImiGA/wh40VbUW67tR+F4loI+2Ha6Ph
3i3KPg2gIW9SJ/0yhg3YNEnxHkqksvgDy40jGd9KNXvXuC4eLckAr0eDsShYcFjAj1HU4R1OnkFY
P1CGyxtHC5lQTnQZPY5+FIdacijy+Dk0o2yTed4t1ZgMY775mtL0QQSe5aHkqWDKc0yraQ7Uqdwo
7XRHo3IzyQcpV+rLwJMVmfXWko/awDNXOM19LB/CZhbnVj6WUWdsMzCx0BPaj1k+uiKKho0jH2eD
5xoE3L3pzQG+aSgqmKrapkn2A2eBpsUOV7vxMkjusbuQs/H97JggLsvTZMoAPeRNhqt5uQu/nzjy
7HHkKZQn5NgVHExelRw8eVIB/d0sHF2pPMMSeZpxJG1Heb7V8qRT5JkHrTVBXGIEPcehIc9FgwMy
lydlx5GZcnSK9qvOQerwz/XyZE3kGRtr7Xvcl6bfyvPX5CBO5YlsyLPZAOuDmo2Fuzy3bQ5wl4Mc
xYG41oV2ruUZr8rTPpHnPmMwfYuz4sGUNSEbvDXeqEeAmN6BXgj2BfXDppCosqK4dOxgyI+t6PBy
MgXI1S3I8EDIWqRZybMnq1Mp61QoK5ZH6VooYXM9v+iUNFqEN1PWuMIY7mhmuIxT/njnaTNREAdZ
GUtZI2ttvqayamJ0O3uyjg5G84VMFmcFLEzfo1q332KlcDbkQHrWZi5bqB8LOdUMnJp0qC5YHp1D
JcdR0/fJlPN9SmVU6Bxg1dD8uONhINrSDZ2gqaadFIvNljGujbB59UxyG8wZl2ZW8RZtvKr6bNeM
pOP1Fr9iNwrB68bLo1EJbWXq8+gblXPv1vax0+bPPK6ztZZZd3kYR0d7GTZLAcMtJrfDAxyd2eay
gov3NV0qb98J5ysLanBBrBBQSMK3FVp729UkFobNOWSqs3aasToIh6Y2AXVfZ+YmwsLCN9ztV9ja
ecU0YOUZoxlzbfgtr8JrDhget3yn3gxxL3y7Z5cfLvmx1kt1s6h2vYv6BXLCsCad8TCmOmK/UH9N
KxwJtt11p9hU1LOBXOZTVcPsQahmtcsHd1ZIJIxHsfq3Ov1anTio//dG+D6Bxj+L/i9qE6/7oTax
x8PjYqHmZZhNlfljwm2A4eGWLXVq2N5+2AmbjMVhiSHBNaEuyW3tH1d9UyWUWtpjMLEDTZFTgD/V
or+rTZojRSg/iWZMCqYDzZpRMQg1mwL5Y23SuGGxgrTFdWpUJygHkx1OZZIPY46sbdC3D7N0bqij
ym7VUo9qXmhkPJNDQLqNKl6SImzP1F8aIMOo79PeNnfW1LeXMQurr1UXYg3O8ZrEuUMECAcveBom
gFQzTZmubVN0N3Wamq+KaneBFmIH9MNQY3tZhuUlYx/61VXiO+5G1k2kacoBmf24XQjAe+zc2XrN
8ZHej6wZz10bO3u8LkhGnV7JAs2axZPRq4wXjVb/FFafv1hqXu4iq/XWZRW27wNGxU2sYvlwGowg
TopJr4+H6nbkSc97IoC4XVTrYdTM4SZWwMF/kHsSm0cNFPg8BZ3I+q32PdLajLw0vhB60ZO8hKOg
uXHiikS2SJvi+xh1PpTRHr/q0tG/s2n1aAnYDptUMnKcRtdBujNUo7JmvZ4nR1spyR0iMW/+QqxN
jUl89EjMC6dXe8yNd/TWllgpk10GdLnWYe7t+b4bxfIuBzoMTgDHH6MRo3ESad42rIboC9+kxFfL
ZXkP23j5tJPppVHqoIySgyJhN4VmD/5oNdVOqcaIc1Lr5202uxB3tG4+ZWKquPN6GYW/EEqOPTJK
grboDKYhgyQIZPWz6STUek97NDJCwiuFMNpYHQdsPE0HRae17924KvadAg63Umv7Mnm1ui504anc
LizxgK2/+GyH3PuisIk9GDnKhGoqbrDyKeumG6btoNBYbMa8rrs1uUIVkj/R7ucqLO9szSV4REVd
EMF2XC+ekz5OYZaenNRMz62ClFsjPtofF2c+tRnRqEs/KUe+vJFvODg3WU2EL8Ckx8cybSjZYmLV
QEjCNR7gmpSo8vN1aZpDu2pbgHMDUupu005Wu2angdcjKi0bV6L+6dlcqXPj4EyjcUu7R1aDKmzt
sxLVEtRywOtVLXlbo2v9exb/qs4xUTz9zVks8ve/SkKXr/rhJOaQ1Zicwspg1f3zLQGdsEuwJrBy
Kbn5zy3BJcMTCQ7HI427o6mMQn8furq/4Jp2VETLpg4aARnwPzmJXTlU/ekkduAbuAiBUA8R+fBn
3bLpFmlj9vp843ZRc2UEWdwlWuW8iNzUD/OYZa+zRryviwr1TB8Wct8eYjq3YXlyvLG7j1WRbyEm
cXpASMMy10FkSOqYzGn1kuexdx4MLTxZltfcku/I6wdWsmvk0e5GFbRRiusdJn0hCLSLu51WGdlH
EqrlNi3HkMweZD5N1U5vRRxHB/ZcZK0pXbqmJ4Ejye3Gn5v5ydOJxZInVFg4h54nkkNSGY9lJiC9
inEC4+uFCNTUGxafgvtFlvmeXWcrlms7ut9uJTwDE5eaLh1chzQlhEUbTdTGxRpsUvSN9vo1nqKQ
ke7gJ3IsJhaPYJcy2+uLB06MZMNrpEWobWbQrkYTmFV5a4la3SRqp2w7O1rgC/XGASqys8kZx2pK
3e5Z8nlrIi/NbZaX5maAjL2ztcFdJVaEpqbAcheK4XZpiCOvcuxcvQLYSrEIxsygg+mRd0kNjt5h
5rej9NSsBD7nukg0ZOKtTma3M1b7Om4PvZ6+YT+fVgUwSrmKTDdaVB3iqF46mcgeb5RRa/C6ZWoQ
2touRQczK03kT9awLboMBdPSV++kA6TnqTM/lUyoiBkiwR2GfnMsmYSn0T2UtlswesYqm6atPuRP
+neMF8nmMCX1/GaotavQCTGKWjDKBpMUxtMTp/CKYJpNWPE+tp3hmRnMCLycRRZ5WRxbQ/u0LNEH
rT3eD1xIubailoGpzKCtUG+cyNshMdsi6zilE/iUUd3GGjvGJY803w5RjYSMuKLkplhQyNgdODxS
EbnyzmdrrtZVpjyyGqH+T+bRDvGNLH34VujNFwMA2dqL3Q8A3luoyY8147nVBC8P2H9L4F+pz8Wl
zrgY+bph9x8m5BmfvoxMPGyHJ2+k5nMXTrKThgSHsOk5F4fKI08Susp0ikgv2v/bGP/aGLN6+rvD
mHve+1+0xbzqj8OYuYzpoHoAxwCu5k8WEgsJpQuj4XeKxO9SSZe5DHAJj/2XXE1JuP4Ph7Gk00jn
Bw0tMQ3/5DDGif7TYfxd6OzBiUJDSW/sOt/5JT/IJFgJ5FVGRuUN5na+QJJixHqXb1WT9pvBpAtS
izDbYUqABKN5T2FH2FHYAPlBvfClK/J7pxg9thz6GiO9yoIm+dIr6r4d6lOmAPZtrAZMUj2AHBu6
IDO0t9GZom2rj+2xqOt9PdCULMmN0Sl7wrfOLbRerWlZ50JI9weC3VdO6+7KhIEjbaNjdOtutAXC
suWa2X3oM8O/w53w6nHtJCu6vJ0zReNRUR6UmGVIOKSI0ZMERZt9zNMXuEJvY4QMM7XSu7ZJ1VVT
tz7M3GOhkqpHfuR2FkI/q5V5E7OTwOdL6DM6kaHsj24bfq288Ziga9ZnO7s1JwLVozI8jyYxbgyI
XrmMbhAAaO8Me4hYz1xgL81ToqtfIyeNUTcatc/g+XFylK890Se+yL1dlrnnOY/ijcb/IVSzc7JU
7xjn22AIs2QzzgR4xnptbUsrZOATg7Rwi0dq4w3anbfCBpKeOfppcuttZ2Zi5RUFkfRgIVzIi3Vo
3WQ6S0Dkgbt+1FR/Xryn1PaCHp/6OMRbtXMHv3XT27Jg7z+U08ltl9PYuupmDKuXJAZFSHeesg7M
nuqW+w1S2hdrIchSgjC6tvgm3OZMfm8Eyo75UmzG65LEsbHtO1/r9F0bohxp6+hBzxuwz4yoXQeA
32gjqMMx+LWMnPsonLd9RtAVG4jDLPTvapVPICPHhf7fTrtn/mxXCgZp5uCyA9GTdhWn3bVs0/zk
TcWDfRIaClKP/Dmb5wn9Wxivnb79BrRylzoNWZdERGBHiQi+ys5aX28qgRNZzeD8DUp7rw3NFnzI
qzlr7F84lCvXOqL68PxO4AAvywLnTzwHdUsKS7fg+MZvOMcOUBFosn62NHC0yJVNC7zm+mxs9Ugc
M8sMcg9RR0ZDYmbjIY271I+b+dKQb41+49gxCMUmmDjzB3Sg5jkuO+l+9AqSB0Tp3OmV6mJbcdHu
3aqVV9+BpCZ0XJuSoDPUIFNie9Xr4bcsIp8PTpsfC2LU1No5OOX01NrNly7jvlYJcUvd2ipxdqsx
rHQJRfQN21tXEzZMwxnWAKQbLN/dRTNyk/9cxeiKYY4xpTvRTeYmDrk2e7mz+OnQEiwOMhARaGDY
8zvqyzUUhTcwgxvVmx/5oEEYpQr6WOVU1vE2zpR9yU6T+Cc/SokQVcJdWsxB5pbEvKFkms0FhG33
rNXNOrbmaK0XUzAU3CmMhLtNQlIFIHxJT92OiISKquADeeqAQc9TL9MT4VD1e/xTEdgpZz0X7TpO
vJcCrzrz0/g0YPJlhZR4wVTY/WrJ2LvQMQIz+2gR06gkjs6TU20yGiSjms8mQFsYL5h5dLU56uPI
Z2shr8Il1jYffTPcMP1bt6n5oCaY7b0Z1H7moEa1ICZmPIUqYQT1JIkLmXpv9eFnbUt7/MDFEJG2
3zrDToucyVdqFFJGcQ1V9qAxsKw0YZDtwuqOzf48OuVxIpKQLPXcNyP3lYjAFYqfHaNVJsrqluQO
khWGZ1Wv9iHLIcA1ziZLc86/qVRWlS3ujN7rYFQ05MZGK9I7dlKHXiXDJbSXh1qIVa13t6HeH5p6
IOwC2c7kzWtocIFtNxuDhF8hMI4g5l44hY3As7ojV+zAZVTge4zb6kr9koetvur0/s1I3NxnVmHs
NSe6ahJMEUW32uKePBdS7UICZ2Av40G1M98RTDGzKgKzoyTe3oisfouZ42rkSgA376p77jdDX4Ky
qNatzS20cZUA7mnpj0p3M3fVtXPcRyT+sV9YFvEsheWBlNfzl8wI53VUDd/Stj8S0viU9yXbenGK
PYRRfZPcsbZd66ifrGhGSKZVl3iagjpdHjNNXwD7QKIFydGW1m2jhCiyVe9VsZvnqZ6OmP/AJ/SF
w0zV9TstPkId9OOJ4Q2KKbOTOgJz3oc1s1QZQDObOyJVsqcBAgRjV6XUAmXpRt+d3E2uJnvdosOs
xgJ5sIi/moPRr+dBTJLn9+4ty43WFAbEPwf1ta4FEyqRVWiA+e3oSb0uO3eJw3GJinDNFuBZpPpV
QM1F6DUSngiTNm4/gDiyVJH71fmmtaf9onN+NQ4AqNIqH6dZeaom8ZAn7CzH0lhXOet7F03okBFw
ay4uyjL6/BzixG3TpdBD2ADsTJlGa6PumPxCIwfxVwrZ/14p/Wz3YTeF7xZNLGRskg3Qpv5po9TW
iGpnnNI32n2xerGC4Vr7rKF97/3hrj0TkLgR4PmSE5r3dbwTQXxAhZ2e4+2/De6vDS5j2r9pcLv3
Mmnz9779iyaXV/7R5KoyZwKbsKX/jmr4Y/Yrue2sI83f0A8/7CUZKzgk0xAn4eh8wHIi+3uTi7qZ
rlli0mC2OzoBV/9g4mBI4fXPEwdkXmjNWIxCocDTzI/+4+xXcRUja6Zc3PT0bMsZAoOVXjAQpfqm
o4W9UluGzi9y62JV9RXdz4fJ9HXT6MXDoKF9KrTiVOvNK+rOQ96WdwmkzU7RxcpIobNb1pknJ/NL
Z9xGBpmvTZudGAc+L2n56SUgysWgt9CObXFL4nugFaiDY2ypfUh0i24ibsy79NwhU57Y464bYyi1
L3hkV9MwRnkwRnRye9UxmuSgZ3YXbTNNYTujDp6NDqUyUpuqpFKo7KHaO4lTbGsHODIpwuaDEXYs
38JiTEl18Jjpnpo0aV/TMSzX/WAUejD0Q7rQFKVHpy3t1M89qx0ZFFvK2mvdhvVa6QzLpm4itd4U
zPgjVEPTl94u6Gbz8tmpOHaxcWzdgXz4KrHfqxBYuzPW023q5mPA/OPMfIXYorZDQUFscL2APYw9
3LTh8Kir4ZPSLPvOUe4Gp/DLYdyz1gLp052m0cJLSLi0WwEJyvW7uU3eK0UccZwqOJn6c+9QGR2F
GEzZhZFLcjf0yp6Uhw1y4IsbVd90o1kVyrgj6ZR+s9jhDjtFXnkp9OnSi+aLOrd3XpzvCLF+zLyB
1sOB9hnd2DHzTwiZ93m1EKKdrPNK3Y5We9d0hHZN4z61zeeCek9g2Lvntoec0F3fLYhvTb1vpQYW
PLcvBkG8o3DRVS++hkorTNor2T2vcKzpTN11pWib0okviyBvEzEba9tLiS6+nfTnZRTngcRasygv
fJbg7sfAi+NLSnJRa3jQ4rH5dN2Bm8wWxfKbbqWBm3TnCnNMJNx0Iz/6yPEezIbkjULbuvYEsR3I
ZO+plx5ryFynl4ak95rlYLcoj1Zs7DE/8Qn3ghFFsW812YiA1QrrT/am3A3yZ64xj0KN77pYCcLK
OhmmG4CbvqgpIC971k6jOX0Bddf5Xqmts1I7QYg/oEHwm7g7RQ6lL6GCTvFetKzu3bn5bBz9bvCm
u4ZwpVUYDdYt8uRtYo/xxQ7N82zpBB/mJMbQA2EuT3QBGENubFbWVN+oiMxGja9U75n7nJWtX0sl
WoUkbUaapiJRMwuDDjK6naR2bSLreshzZ20ga+vSma8fOreqIjNNKt8UI3xbmvw8Sk2cW/QPGSI5
QzG49UjdnC4VdNp3LZ1U1SlxM/nA08uNHmvn0DTvTKnBQ99OBJPU5TE9v6YI9VqzWFcsuHcVnTAK
HYJ7aQ7PHfI+RHC+RWuscl8i9JnteqIzIfSkKBD1vV8iE8QDBwBrblGWk5waZicDQaGGsLCw60sl
lYZjXXxUUnuoLwpSa9SIeML4ZSFQtHJ3D93cWDdSu1hKFSP8185XCLQTUuGIJQ2dHKLHIslRP9K+
sKx46aQucpYKSaVYLj2SyQnppC01lIqL5K0iN2pKyJso0+HORnBJNMEBatTOVfo8gEGIPysZz2iD
Z6ALnACFVG56UsOpSzXnmFR1kPbzSUilp20kN1lWPw52b/txPD1EtsX3naCYUkarudlNKHWjaDuy
lYGUlEa6RNGFutSUOlPgW/kxtugp/63932u/hRr6f9f+h8/4/a+GW/JVf9R9jeEWOka2CdT4n+Dk
uvGLarN/kDog/fvO4Hc9Eotd+gRqMfWYEv/dPfx73fd+YTsHCIqdsFw0sCn+B3Xf0hiT/Vz3MVxB
sOC9sDchyvnTzpeAFUPN+TFuBoIl23VqGI+Rpe7SslRIV4swvZiENSnDjLiv30/jrKFC0u2NNniH
zspsvzIMLYjS+cFVBJK5FN5YqWGPJVZyk/bVR6RPMMlYjJK3aNuiV9aG0j+1HNZ3c5GOW7uxQ0QK
MzLhyUGioht+5QzNmeFfv7IiPQ4mR/vShe03FZvorhrLC/nyGooY0WabZOrvZm26dYbUvq2rIkeI
PAKayEsCXdgM4+OTUiNskKvZg4YHRWDjTlmQRr2y01LSJlO0GCu3T75qpT4BNZTBFx0PK5cRbslI
V8mDMMClZ2Gp3YR6StZeX/JnsVfuHC3XVhVvvyQ4PxtgULwLAvGFSccKMRdDauP/s3cey3Fj2bp+
lYozhwLeDM6JOOmT3oqUJoikg/ceT3+/TaMSxZRu1U0O8kZ09qC7RQlEbmCvvcxvumPsBU7DzD/o
U3VVl4Rz2tObOtZQS/FQdsvq1pi0bniR4YdMAnTYSjJVq4k1DgqHw3IU27tsEKxo6MyUCNLOZVu6
zsfq0ilLQqVsr41iPCs7vNxpVdwAQr7PyuykoGyYlIp/gJLJGUJZV16LS1SHzmMbOU9lrq/lxjkm
kwE9VCEWr6S6Bbo3uw27+MBMg299WFfTwZGees/2p00NuThuvxup85inVrFWcOychmltI0vIsrQx
6ZXme/5RgAMakPMqQNAqO7OH8Cs46gSpXKpoBGz7OdMlgjKV8mSsqhsoxd84dqcZUubzyAsQ5PIC
wPVx8TXTHKy5ZIC8UEK9WSX3V9ixT/Fhb7Vp0Mr1HKUuiD6Qn7Bkb87yCuKrbHXopIx0/fP6lrnE
A1Ys8Mo15SFnAgxgzK8PUmS8XcmGW0bmtjB7zcVBtPL49ThfNlBKJ7KrAycNlMKY5bq2ljBHW3rM
5aaanbERMvtpCOEbRdWdJvg2jttZcyWsolljVk/MF0zudkim7P18mqdRvMCBYmL6Lgym0nGmtFtj
lA+zmOLTH2eugj2QAPZ1Q7v0WhpOvt2faq27Uo30jCbFqRnZa4muQKOuwYW73bHDNSu9vsyhtwEP
sxBsNG8sJzmN0gKKuBYOMzfsSYQByxfBY5XWt1bsw4DqmallYY5HjOWU0wy5sUkdAv6K8mNVbZaV
lFxXXrOOCu+opoO0UlR8ulX6DHG7wt8mmlidw9ve96dJrJK1yPE3vwpODBOQgyl31josrCPVSU6C
Ol/GkgZivxpUiAHRKCBJwcxDlQ1nGCVYN2FwpDbBEVDfb7HSk+lwvE9Mxb3WLeOmKatTNYl0+mKZ
M+tDxZwaPs4xZYqxJ3qGsCSaeumR+6FpOtIkYkzame7N6HJ/Rd7gkAMbfKz5d/QCeyCF8SwPo7U7
lo9FqulzynvB31BXTMxGMgec7xyWddrW/o3qaud1R0tRC5qB+X6lz6K2NFdRIT+h+HCoB8FR4Psw
4WKAbnFazOQk+Daa2pXr8txLN8MZqY4leIXKhWE74A0Qz/G09FyV8IWi1fNkOs2SlHKYFKnt4kmE
vDLIfDdVr1q/OpZbyZtYcA0DRgkT10rO4wLithVIB34XXwdGnc6grB+Ygz1vvXiYQM0xpnh5x1Mz
xSMv1nH+G2X/eEw7wHLMvWZSGT95o3uFAh9Ji0IbQwv8fNn74UOZ05fJgPPIdjfOGJyi1Qoi6bDz
pHFV2/nC6sC2jcV4PmhkVFJbQyaByd3Dc2tUaeW4+aHjJC0j1vIAni46qYrvTYsiGZYaPWxch6H9
wSe8TVDJQvRog6BowJDRF9Tw9gS1y2vVaI9GC/IemJW53uqLMvTmbWYfol6wCjFXWeFTD11tpKYz
dHk5WMr9qOTHhkfMRjN/bob+vFDKR3ovx3VfbMbem2MjARtwQARHU75ldjpzIxv3XvJVIHkrqyaa
evVCb3kJZOKRxkkBcsWeMSaJp/1gXUEuPR514zGqCZSBZmZ406DQIAOFqsfgmPwSq8TKOS2d0Vuq
ekcTDW0fO6aCtbrSZyqAegVtbZh+NA6tMcM01ttwdpbzLPBxu/BBlMsMlE5tG0IJcB51WVYllhnK
pZE28ZSh9rVi1d/CyAcUSVyYVKjCTmIrV4ggygKHiTvNtftl6ZT0mbO7MixAEdrZA14fNFNDwIEp
PPeTNAqNmUv5zpnHNIafdbl/WDs0SfEspk0nZXMnaR5cMeuVreJB87GED50KuL1LZxmfNSWnLax7
g79wMgpBj6EzNr0NOOWaCObaxolvyeyyPEgnEgDnrPFWA2JXc4s4iVQAojrp5ZCN/jKQwu84st0b
gGU0P0mWyHYtySN4Bm57qRi5AomH9vwoWeu89jmKU/hXMakRlC40Gk1JqU4hfM28IXmK5CijrgRh
bMHMrCTvSMZriLZf/mRLKbBl3fnWoaE2l4oEekBqbiLfMOi5Srdy0bjnpZ0eE80rxz3WGfb4Aeny
NKbLsZbxgCtOsjjOGCCUgexh2EwrZJzLilP4L7JV/+FKGsxU/5BHlwESGMPHBpr4Zz8SafUL81xZ
AeqI1B5av+/AkwyIX3RThazd64hYJ/UW1EgGxEj8k3LBf/87i+bPEe5DdhyCI4Pdf5NFk8d9yKIJ
+YyaVYf/4lYE0/6nEbGEbqdZFFVyliq5rh9XakNEGpoAhXBouZ3qTPoeiI3Ys/cg5L6PYgcwsbjU
xZ7QrLuh7fx5zmYpIRMWYvfUNsiHRrdOZLGzqEJJqXM8wlCzaGe04310UtiLfu6dSGJ3tq1fY0SS
nVZD/SCJHWw43YMu9rQPDKIRuzyzg8Ne7HvNCY8lAkEpZ8YsE7HBr812Vot4YQ3lg5QxLiXnvGsB
PiKegmc5QUYi2Ph4JU6YTq8sqz5B8AZtVhGWjKL71pGVxvUQT0Mil2bUtx4T/CWWgjZFOOHNA0GL
D5xDb0UEP4UoaIlwiO02mtRESNQ5TjOd5MUf1UuI8cUEz9rzXpUPEtl41OtkqZXdptKDQ11FoKdE
i72HR44QCn/bWSVyeYv94zrrYWPj2HibVeatE4IWgVSla/eV49yXanVajsGNkfX3ETCrGcCDERap
eSZxsxD3u1Xi48IX1giojVLjLWBCXlaBdoJzwskIwXIayoFKxR8zLC7sZB0qQDkNhdF2J+tnktGB
zRaVgyHBQvB65TD0TW8ZSo25KLz42C8aeW5X/bVZAWDtGA1jkXZgZ21Ikyw5zQcdVbqoQKouT9Xl
UIueYZjNSjG9yYfYXkaWX85CGS1vs3X7udGoqMUTqqbWoK5Kr/vq2hZyqc2ZKTeIVaTdFKWAYlli
Q9erqpC6AR0FjmnS15030bsRyWm5XCcSIuelKrlLNpo77bL2ULbkE59Hwd8s70KpvDBb4wxcwNoL
mciZarjE2O86qfWVo/TpJBrN6xqdHznxvkIseKTylRj30gI2AAJDs3JoFTXjbRoWOSMaVKut/EZq
GqS8q+5aIlZP+aeQLSCIzLU2uhwkdZhjpAl1V8meEvJSBO/zY4Ydp5GOoFI99MDCsu6ooQk871HG
ObU6xHelsLThUQTq1MWAr6sbujVa2W9qNw9n8B/gzZUVE9sovGmwjIuDa63GPMMGHTFnr81AdZKT
1Fa9THFRnBgdONheUd2plsmHGBUe6ymucEkYaLNRks5hZPgQFwqalSo5b4r2P87wJpbD6KP33ggY
IdtEPeBW3rVLXTuQBs4rhLAkr7zAbHGuDX04I5Oc23r2FbuDJ1mRmXRZ+lM5yt+cysEAMD7JsatU
UWCdoBTgz80BNbchKS78ptrEOiKYwbBGH/hAbxxGVjCiYcLBesRMHZn64Umtyu+e1Bx2WX0e59Jx
3SK0FKT1bIz6Y82B/6og1zUx0k6dhFjh0Sf0Mcys66dcSqii+05QlKxNUJTfwd2gfJ5J0UTNSNnR
cDYP6mYA/mVINtRu/ZaoW9DmJA1qY/O+VmwYMkCqZgTkw0oqe1izaEH5Y3tQu1o7VUvvwvT7DTNd
4AQ6Fj51UcXoyNPKqvRiZSaoKwA0oYXeX9ZGwQhTgLJ7iBhFFNDGTo2STZexJWwTC0RwMFnvcmjj
Hao3bj+1JO/SdfXTLHcuHVdfaf1gkyQ7gNmH+MLNoZkgf7rwaju+LbsqQKwMDRFmMnALxcY2whsE
uIGotV20IKzqOAn6d30KbhvBqUXbpQcE9ItBz9oVUkLMJNXmHOS8CmLQmLXQ0ZY+A/BpW2k6tBWw
zXZ64LumPo2K+Kjy2/MATyNkqlFHC7QKcZSSlrcX82/b9tLAc3Q1ps0drGqk0fLSnaip6k/NsEBE
aZSeHJ28vfbLYAmW/DwdsjtTY28XsWXDkxWWrj1pCzj19ETGn3JSZsUt2k3uFNh8jHEivpkaWqAT
H1HeWUbMNvJUXoRgJBdIPt3hy3gDrE6fMhBZYCCJ7xePfMJxV047TYsoPJD6gKnAmraBuaY+QERa
h7jkk7FpGbqgjd5e+0N03nEmTmthoRoYFd6lluFNcd7hdbMtKueQP8PhAjcKaexmEUhtxEYzqOl4
w3py102kyLw2UDwt0+HByIyz0Msfe/ipEzRzbkVtOekAskMoTY+wyStOLAMbGEFIsKx0JSvKuo7z
cqoPajOPBGMBCYx4XY3Ftaay8eNUu5EG/RStwIeuiBeOG15z2MuHgVlRYtrOugq8UyZhV84YrTQJ
VX3Lb3sxCaBnAUnChYhkpUPFNAsQCDCndqZa1n3QZ9IsKRF/LQToe8jsCwVVsrlBNYuQDQS5PEel
vI0bdy2Xw8aUeBlqv1UXgJ7wq6TQtV3pIPC8TYnskAeYBeGOfJkVzK1TKz/LIgQ+AM57c0kx7vMQ
IkFTB990mdZWWJhncmN+zXQT8H/cr0ZPewpluhVay2BbVUtQwX3qL0yLtnZtYnkiZwOvX4ijghIM
DnJqyjezak/QPwjmCNhgmiARtTEI9GahxVjElMKNnKrHEaXWtA7ckMwd4TUBlNfrcjmMejNtNGFR
IEerEBLtFGdVzruaArRQ3XSaCYi96dgPvif1k8L2ygXiAzIGnm07y+SB3sEooqp5A9RFmXgegulJ
IV35ZXdNM4ViJ3CmeA4eNZVCet/YWH1WGeQ/3b+sTauY0xVfN15TTRPZudbT5syLO2cK4Zw2VC41
DEPYTxrgu96T4hkqAGuJzEnoxsugNKq73EuEsTPbHjskOIuo+cgdHaPgsYNOJ+XmkykDpoP6NbMS
wb9zIizjYc5B7bxvh/LQ4SSfDJZxX7XWEp34cpZ6yoGbaimiFS0G1WZ04yVJNS36Up3adPdDKQGP
dyfb1DJOok9sXcomShMe5AajqrwJcWIPMuATJT+zo28e0vQTZphXCsUMPDfpwkqAAKlJttad7qYn
56L9NEJIzLN0XtSaN4WKD2s/Kvg6OixRuytR5830QxvOmm0PAjBXYKHSdU9g1OmrgUqce5G2kNvm
Nm/Zun6pnGN+KoYu2rFmBrTjjLCcNFF+aQY8IwPrHtLLnjhdpse9XqaL0tTpR9b3wJqAFAbIcvd4
ZSSNfD3GwUE/xFeqLiWzriKkWvJd28LHtAFbTJza6mZZ3BzlVblI5d6eMJVkAJTLGW9t+OiQG/st
TrN5nz6OSXkwOnQ7Paamqor/JD7DNRyQvIV1WZHlWRGhzy94M32ns1ApCbjJxlrKfflk+qR0VtYj
+U/O14bMmkBFMkZduy6KcVG6ce3oLqybU10vDpKgVmbI7y1caLYT2roIJVsXva/MewM0s1tkl7QH
VrnurB0GxoUcntWwwqG0DpNB8wGMCXvz9ghJqHUT5NPYkFv1oAqVYVp4lhqdx+lo3g5ZYNonhQTk
5jw26rydDYL6buTSwXPp9Z8a1IDu9ocatOHdSdLHLUUo/+6tCEW6FZ8qxQJYrAAGkvnRDxSH/MVk
UINrrEqZ+jODT7NxwgPELCvq8yxHlKhvdShq9zhcQTNBoe6Zy/dv6lDzF3b5M1QZQyxkf1QogcIz
630dqrQG+EdY4qej4R/AfwEFmtE7R/BxTMNs0Rok4qEbH2O9SiKj6Su5UZZBXp/6IAJwtsGUWz1P
FYlwrRx0Vb6JGv2bW8EiSOvjflRABeir0TdL1E+zYepjHotM23lL72ZuJskGMLY51f2BfmWMfOKI
WONhMqA2EUcomdpJnd5kmn/YNJl9lALns32BRRWUrxFUb+lEd6ZkLDRXoeWdneYlE9fcCW87pcXa
O6VDRvKH3iX6Y5HSBaeNmT2YWUYiQU9/OvoWWXcbKWtjsI/q2lprbnJFdv0IbPK40h0Bv7uiwZ5B
6vaWmdkgV4+YZdaap0ZmHcR1jJytb1xrkjTDKeR755uLqkXts4QWMukc+0x3SobLqBZ10UnY4foj
KS6bEC54aNHqVUrpxhGaQBm+R7IRHuHj1OPINxwyx0Cg1ojxhY9GqmjTSRZS6HzvEXrFiPBIb+zs
JC/O0QRaJByztDZPLQP4sdYz3wJrGCJmp4F00xQkjWLpttXdG/qzC7OhvHFwMMKlKLkLhuY6B+cy
S8YmglIcngwtS1dEzbncu+SlkZl8LfQ1bHL05GsbogjTovbEk+2FC44Z2ojZTYemvfSHcM7/Dhbk
PvGsLtKvDbfhwruZRgGHtN5lSyOQWRtbYT4+oNHDcwhDiYxDtuNZNtgykkraRWBnh13nPugF0q2B
aV7pmXkhMQ+dSrV55CSo8DaG5U/9nMKfVveFBH7bQGgGAUFy774IrzAUuLflYJa6CbIa0UOYll89
B3gmNnMkhnypVe4qHVYFSLnS5/amtK8Xmi5Y9hbo9yyIUEhrYAEmK2OMwBO3q0jV4nna9AN99+YR
gFI+002A6rKV32ZZMndA/x4hpO6jA0xBwHwAzbVeQY6tQlVBAqoxGXuOSMxQ8mM0Ca6LMaKSaMi4
ZY7ALABgj16MjaQfo8i4zA5lFOwYdETAcKvbwLSOEIK8SNssmFqBk0wlZRyXSUqGn7olIJaBMw8t
gO95WlzaLQ/e6LzZAPRFbtwHt5WUmdYaF05uXzSdu+o0xpyK664tZIknBi/9BMGLRY9hHNUgrR/V
iyrQk+j1hUVJyjIOG8S0qinVJCk4KzqpMTSvW2kmR0x3B5BCioBRoGC9DFCAmg/RBXArBXjzpPXG
jRQNm7o1r7y+vYpiJFp6+yxSUdPpvJFKQSW/w6fhK5xRUtnYmgubd39ozQOAqcgVK3CLgPZTlUjD
huc6HOiVMc9yGDwYDGkzVdIf1b46jmXpuJfrdB7YQzqHeLYBWrIa8tqYMmAeeFyBMK6x8OUsScLV
ortMrC7Dt6xWlrgDA9vQKLO6Nk5nXcMbyJ8/qTF6voMRu6BVxPA3li7oyjxWCa+EbiYBmYd1nZfF
SRWjA6Qq+mOeQ2eSukUVUitJaqzPUWkG+aswTpTH8shV4EulOk+bFT8sUr40UzhUs+r0m57E9MEl
YrAX2A59OhK2ePBWrm72q0wZNoWJvKVDaCS/XhRaI4Hs0I/H2j+tYg33TARQZ0OgXXZh0qGagfxD
JS/hB17lI7EyUy4Vr2C8NqLlIWfWxoNAlps+ODg9mHUBzkiG3FxL5qhM8dUs5nFIr6k0eKmjyv3W
muO3sqaPUOneyosl7OeUZs5gPprodXOZ20oyKyOeryahtkb/bdohNDDxElpCZUyoyKeZ75wS6JZe
4SO9pFdXg9t9jdT6pixs0LBRc6M72MwpaqfQAVD9QySWwdHbvjHFc1WIjcINjhVtXVbhZWpqyzEH
WuVGyrcuoo/h4G5nxE44tR2g7Vpuoj6sfm3N8646GN3bjm6gr53TVZrQxvtK2nwdaAmPJq2XZpqd
qDndzzxWqpUcmo8KgX6uYI5BocrWpv26kgwyQcscg3lsMXsOdEyane6oymPwVurKwo8KBM8wHwfl
ElLvoZ8xo0Bv8caq6XnIRX1Q1CcCgFcbqIh6wLnRGgUKlznBUi1KNCHL4EYZxiUyeuERrSMmNlJ5
7AyWtEDELFpodR9ORlqkiFZSVxv4gHe5d2DQOZ1Wpg25Usk8GipDg3UeQ71HXB784y6tYeeTvxvW
TZgl3bIE4Ax0oRiHE4Vuw9SveM4Y/Jkrz8bVL3CFjEt14NYjUGHUYk7lkdGeW9X6ugVdBxfBtjeN
PoA46HuVeGwXcw6PEK65t0gM5RhI6JpodGCiCh/ZOt3Smj6YVOra18DKiRBtQUOxklak1Se6Xnmr
1JcftUF+RMTrjiMHWTm/Xw0yxbBtUWXJfHXuER5hNov6+L4PItptno8NYwhM3mX4mnrmrd8n7RK+
azjvGCQVCMxStY5g+CVBkTEPPYE7vKvlA0V3LyLXWklSpyJ+iQJ83uMO2STKNIrla5afU1yJH5HH
OmhVz1rk4C/LylyGNoaCBrzvBZr06H2Xcg7PA5aBUnS3ad3Tx4svDX2YmbFxnTgFctch3aAxWne6
uSgDhNXYJ/TE+oVS51do294TXM9qeIbT2OcVCMziAn2cBQFOWXY6jENHQZHNB5JmjRB2TAiuTpic
MidErM/1m3ngRMO87GveBwCu2BCPPpgQfNf7mBLH1Cu0u9TNWNFtjDv0CihwcAI1T0hyb8syP+qt
2KJ+luZK0E+Nzv7G0UKjSr2AvnDIzl0BKZbR/vEFkASJ2gAwn8JRGylHgVsfunF2wwjuFm1HzojU
uqnU/jjrKW27AAGDEDsicJje12TAHFzBcnQMDkq9PKbRtMg7lV5OYJ/7Rs4ZLZnXTd4ej70/wWLj
LtaNgyKi31ppw1Hb281qKAcKx948ThQ7nZoJgVCC9GMEdP0MfRVl6lEnj4dNqWlI1QLxMxHBDbsk
OdOgg8zo2kkTqSvVWesD+W3B+kw7XaU9n6TDNK8sHau6clWBLpmVcnhndeQwdt+cWTkSYE7ZZkvP
qaqjpECMuNA6GHCWTVByYf+60tJ5xgWrzxhhMILghc1aOkD0IlmafrZ2nlHF8TPCeHxGG/+nHHuB
1v2RxP+tudtsKcXeU/jBwOkoMiD+rWjCKuNHKaZQVZky5nBUXQJZ/2MkqDn8xIFqKvgSDAcF1/St
FLO/OBAoFIcfCSPGfwes0+QPuqmg85Bm1bHzcAxEXwRt46eRYFyXtYxSnXxaY+4LIMVYmnjzHqpS
w86xlRweOm7AEJTwFY3capEhTTWtK/2gzIwUegmd9UB3jKMSJNNEf3YZ7sxli+1wbPf5cTlKQGoB
itX2vdJGDBeSDtI8ooCj2a0d114Qk+UZwsDLRtg/pY4AI3X6dZeWKz3w06vC85qpl+f3WO0ht5hf
l4oujG21YGJ6xX08YD6eVXQii65b9Xnf02vO/PRc1pjnhbp+Jml4w5qdM6872Z0mneSiQ1SC9IgJ
kG69sRrv3k3sbqEOaBV5Q16s7dTBriuTLpANjM8cNKBA5IFOjbUS2thgWTM3IF0Dc4JwiTtQBeoY
9DraQxWYhBPQ6nVA+POj20DVrurMyWdSqD7mEaAyd/SuSyTOAhj8jUmLNCGywi56wIwknYS+v4qc
/jyVkf8wVcKhdxiOzpWCNtfEGMW4U5WvcouDZ+Qh1D6evbFLb1Ktjc3QVD1ctOoW4RaIcjm0nwKz
CfRVz8B5KDPfDc4Dhx6slHToUQ2DXE5B9j7JZQ6DSyDTg8N2yLy1FlYXjQnPs6fJMxlLGn6WiVUs
ADagPjGu6LCJC0lqCh6YajEcxK8yQvirTOZBWtmnjpoPyxhZ9Qkn8xpdcQftwvJRLbCEdkbLO5fE
8GYMjHsHLv5JMahPMQR5oAsmygCoLTonHEjeNE1L8M2R4c1qg5IkxUDhwIuyU5yUGcPF9inirKDK
TCpzb2D4FoFyrhR8Ukr1BOUS9KvBWk/qQKfqaNC5VQxpGfY0Mukpfzdz/2sUIQhbNgDdVJ/ug4oM
boUrJ0ApoIJQZ79aASRmN7tLCLTApjHLTqVzxc6faB/MGx8UHsLi0zQyy6lclziNxsU6N5ODvjbm
uqedDkp0iptIP3WEHLqchTdy514biVStgGxkU1+yrsvaM7ht9cjN1YqijVIZQFI4AeB3kQz1gdwF
yyIKL4LAm5tN/K2TyzskMTJ0vZVqNtDztsuomZVmR0Unp4wSWFxDlw7AOupLUxbCv84Q0cu1jpBi
u7fVUZtV9XCTaypqSUq+yCvRYKjHYjb07TpyRxl+gHzSxd2dz1rPTeFfnZpBgW1OfqthLO7ApzOx
ug6F57WN+XUtdwurFPNC4YuN4kGGpkNz2DMlBpyJm3U6GA+1oCkXKkISGGwXLj3kQHhuU5EtQ7/6
bofFIXznawVzbkWqzrk/IDs6wnnYd5dCbJMbnnlj280cWL92gT9JM8oXlaN9H4QLOOpEMer7OINT
+Elr8k062Axq2qi41Bvp0cdO3DbxFc8TJk5QfXEbdy2uMpY4kCecwaVL6yYU7uQJNuWhTOJiI0OF
v0uFdkaGm3kifM0HG4dzcjMQs4IIKtzP0XNmWu1BlVFl2POGfG8Lr/T/X87Z187sVi+rH/pd4qdn
GQPZq+yD4dU/+ktvIPHtF3o1wPpn5lhCnOxdI/X5xp7tuf54nXjD4Kx5wH5LM9DbZFjtQDV7/tCn
jDPkpV5+jIonzVT8PBT6mD8/xu03/9ET7Hcr9YmLoHDLOy6CCpJftQ1dQ9VIfGgmv1sExfiCKLwB
Zp+l4PPyG396Xf7fvuY/Wa4/PsdfzdKEZPxuSwHfQSRxuq6SJb1bA1X/opDdYfFCi1x89vR1kMkx
d1sDUlNDUTUd/5eXb8oue78UKNtCI2FP7OuLoEEu2XERrC+YmRu6qhPKxefXPYG8L3YyOktkPP98
L5bi50IFyayXd/Rvh8J/Eh551n9HR9SIedBoPTrP31Fs/HdvAlMoZlAquEbl5VXZ002h7r4prC+a
jJAzverfbAqYUqCJLEZy+/M+8LV/jZEyM78dtwZccIwaHUTpfrMUqmCEI6GkvJzP+3dQaMBid1wE
jgN0XKjTKbjF59f4gO0mo08Zvaa93BMitO+8BtYXCPociHQynj9E3XfhQdjGMIS2hFoAy71/74G8
+3vg4IzjMLpBjfH5w1f9dQ0AE8J201823v4twuuN/btjQnzNH+cE+HZLEzCEtxeBV+vXRTA1UkgQ
Afv6JuycOgKuQDKZBtvv0iYOS8Q00fW3Xt66/XsTXhP7Hd4EFkFogYDB5zu+fwXIrBl2O5r8kkvs
Rb607Xx8eUN3WwOgOSpgGngd4vMhJFBT2iJo6C+d5/17EfTdzwbwSZqqsgqvmeGWIgJQBJWWs7eL
8BmHA2agGifkS074IUmgu8APUVMXgCk+e7spXp7RDptCHBEGEwhVZI7i8yFX0DlIdY1cge2yl8mC
GJzsljQKNQWOBwQOnp/2x6RRdJuEkiijoj1dBHn3ytr+YkGbM9TXpFHkoR9OCmEJD0hivzfF7t1H
U+RNdNaU1yD561KIlMGGo2wr+5o8Cunx3TaFaDcJa2RMUX99EagjGUBamrG3IeHlxnaIixquTrLK
AlivzbYPr4DNIjgmNNN9LaaV3TMm44uGggwNx5cdv63PJFoOZBT7GheV3ZMF8wtfj3JZp3H3/Pll
O4hmGz8jo9rXRdB3L6L0LzRcOf5oOf52ERzGcZCm3n6+n8nC7m025wv5EFYOlEzPnw9lhApOxFBM
kGV7miy8vqi7hEf9C3Zhqma/bYpfywjF/qLCaUB7/aXY2tcM+rUVustSmF+oKjkLrddO06/NeJJH
+isAhgSWaD83xe7JAmMZC9SUAabq+fPr+0DLEe6LCCD7elyquwdJi1ED7i6C9/OWIb/LoDkpHBMx
N/xa9jpI6jtnDlRUtNNQtNN+12vB0sGmU09vck83xesQdZfIQK9FZI/oi2x/H9D3I8HERUhU3XsZ
GYSVxW5lBA0G3ZEd8qPXxOBDNcGrgtedTha5r4uwew7JaUh/+ceQ8kOXhciAtAbeeq912/61HgUn
cbc3gZIKeWtAr8iCPH943u/CI6N7FKyJGns7lzJe0pgdYoIAslBOcFK+bgd2/vtFIHuk4iKP3teU
6TVi77AITCNUFMl1SqbfvAkMKGm3yZykexoTXkcEOy4CfXY83F7riA95I76eukMHem/HEa9V/y6L
QNxDGgAJ2dfkeUtMQJlJ53jY1zzhgwLwP0HziJrx7zGt/AUEn0lB9ZviWszrKa2Bdr0klvsaGfSd
w6MGnIeikdL6d3Ae5QsdN4UXYl87r4JnsuNBidWv6LPjAby9mALDghOEDLN2X9+EV1TuLpEB+zZA
OizDK8ZtW2RAOl1BUm+viylt97qSshEqEpOZ1/jwIWfA5pl1wrB0XzeFtntk0L44tozX32sr+mMv
mtAhWFu4XO9pzqDtPpXAYBa5d5pJrw2ED2+CqLbEf+jai8++xgftpdbbJT4woDEAKtB5+7H/3yfS
LIWsyoDG9zVzeN2tuywCDAE02g1YAr+UERwRCu0XcJCvy7Ove+Ll4eyyBhazWCHQSvn8dhC8fxHQ
hVVlYHDC0mgvuyyvN7bbItB6hEj69rg/BAZSSJW8CaW/PV0EfffoSCfeIk2W31pNv24K8mgQcLws
e1tMCJPaHZNHoSX1bPj1uy7Lc8yAdiyggHu5HfTdM2hUs3TMvAzzdzM65Qv4PwZU6Drv5yK8Yit2
iQkMrjUkxXjdX7os7Px3gVE0HR1RTb0Kn+1f0/GDItu/rq0pKNHbRuuMJvTz59dFYDoHEFBR0Aza
1zdh9/YzGD7QjJr8O2bI85tAKWUKV7+9jAlCyG7nwEjzmQNQMG3e7QP6zvzAQoFhX89GY/csScyi
FBBtjBieP6ID9Y5QC3kQxIJN+/2fvwL/IGL84B5P/SB+eKYmYyXzzAV+4Zn+X//CGyf34wV+IlE9
s+re/U1BVX659gvVSvz//9k8JEE6C6q6DO5r9Zn58tNP35gwz7/p9d+/fsWPv/zdL3v7Xm9/uAoe
y015jxBBCqV5eL3Rk00Ct/l/Y/7rYfMrBeyF+fP33fz3f72/2Z/e/z9fHe3/x18vLrqrb3+2ncP9
Y3P98eLJ5iEr3y60fvjv/6KBj76xqDN3vvMJNovbbpw3dedrTzfxpuWRVG/X+uneed93vz7aoNWH
R8rCELs/4eJpXW7+mmZVve1XEM52/hWzx/ivk6zcuv7Enp2vP4//mmUlL8/btX5af1Lena+/KLGn
2nZxzrOdL76MH9P07To/3Tjl5M7XXjXJXRY/1G+X+vvygjS/8+XXSf5YBpv47VI/Xf4ztuwaqfgt
l/6MHXv4WG5Zc4ER2HlRDoPU2xIIBFR052sfbaItMUzAxD/h0lX1uG1NPmODHmXVX/+beo/x47aV
+Ywterx5IAC/rcNPL+JnbNHjDQ5BW679GVtUXBsJyC23LiBjOz/W48f0IbsPtkUvAUH6hOuX948P
bxf6e90Fn2f3i2fc+9t1frr2Z2zT42zrmnzGLuXS9WP5OGy588/YqSebfNvb8hn79OSx3XzMHQ3s
Yd++yw7p3Wm5IQS8Xeinx/kZW/Qs3tw/bskdxahw5/fwDNXKbcmdGL7tfPGLgNSxCh62rIyYa+18
/cvNfUlJkNZbzlIxM/qEX5D+NXnEQW3bL/iMrXq5Eb+gTDflw9ZAJnQdPuVbzIJHb9uX+IxdK77E
gh1wH1T3237HZ2xf8TsOsk3RbDuthDrOp6zSURNUf53eBVW+7Xt8xmYW3+N4Uz9uu/5n7GeuX2/+
mmzKu822nEEQWj5jpfgd03j7b/icjS2+BSKG49vt/h1Txbhj96/gb7bWhALAvfvF6WFsXfxP2cxB
FeHm17zd508L8yl7OYs327IHMQvefWFITLa5uovhze4XrzdpUMWbpnq72E9L8ylbV7RZtpzDQltg
57v/o+H9cytsh/Tk6o8uoDtfvSESbDnixSBm93X5s3nMrvf+lRtstu1V4TO6881/y+ItcV505He/
9O9VnP+8Jtvasj+UjD42a98kDbf9s/e9aPE37uPHTfk//wcAAP//</cx:binary>
              </cx:geoCache>
            </cx:geography>
          </cx:layoutPr>
          <cx:valueColors>
            <cx:minColor>
              <a:schemeClr val="accent2">
                <a:lumMod val="60000"/>
                <a:lumOff val="40000"/>
              </a:schemeClr>
            </cx:minColor>
            <cx:maxColor>
              <a:schemeClr val="accent2">
                <a:lumMod val="75000"/>
              </a:schemeClr>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ln>
      <a:solidFill>
        <a:sysClr val="windowText" lastClr="000000">
          <a:lumMod val="25000"/>
          <a:lumOff val="75000"/>
        </a:sysClr>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ln>
              <a:solidFill>
                <a:sysClr val="windowText" lastClr="000000">
                  <a:lumMod val="25000"/>
                  <a:lumOff val="75000"/>
                  <a:alpha val="60000"/>
                </a:sysClr>
              </a:solidFill>
            </a:ln>
          </cx:spPr>
        </cx:plotSurface>
        <cx:series layoutId="regionMap" uniqueId="{00000000-F1D7-419B-9901-E71813AF16C1}">
          <cx:tx>
            <cx:txData>
              <cx:f>_xlchart.v5.6</cx:f>
              <cx:v>Sum of Amount</cx:v>
            </cx:txData>
          </cx:tx>
          <cx:dataId val="0"/>
          <cx:layoutPr>
            <cx:geography cultureLanguage="en-US" cultureRegion="IN" attribution="Powered by Bing">
              <cx:geoCache provider="{E9337A44-BEBE-4D9F-B70C-5C5E7DAFC167}">
                <cx:binary>5H1rc9s4Eu1fSeXzpYcASALY2tmqAfXy24mdZDJfWIqtkOCbBPj89bdpOxmLkrN01ahura5mtnYS
qqkmD4DuPt1o/Pu+/dd9vFmX79okTtW/7tvf3wda5//67Td1H2yStTpJ5H2Zqey7PrnPkt+y79/l
/ea3h3LdyNT/DZvI+u0+WJd6077/z7/hbv4mu8ju11pm6YdqU3YfN6qKtfrFtb2X3q0fEpnOpNKl
vNfo9/fuOpbfszKV6/fb1/Dv7/+I18nmYf3OzapUd+/fbVItdXfX5Zvf32/dB79/99v453ZUexeD
9rp6AGFCT5hpMcwcwh8/9P27OEv958sGwvgEU2xRB+789KtXoMqbNHrUZ/3wUG6Ugid7/P/dG2w9
BryNP/77W7gf3sYAgA9Y/P7+Uyr15uHdrV7rjXr/Tqrs8XWVnZsNj/rp9vHd/LYN4X/+PfoLeFuj
v3mB8vjV/rdL20D+F5DdDJ5mwFjpQyDNTkzEOCeEPiHNdpFGxGI2RXDlJdRv1Ws/3nvvMgH0vXJH
hvxtsD4I5pZ5YlPLIYxQ8/EDk3g8uwlDJmPY2cZ8ukb70R7JT8B5JHFkCP+RrB+y8gDrNzshsDib
mFljaM0TSjHmxOSP0KNtgKcrtB/gkfwEgEcSRwbw1yzODgKvQ6nFLdMew4sAXosi5IyAnarIfli3
pCeAuvX9I4P0dp2+m8mNfwhc8QlFNrU5HlthRE8QLNiIEfvJTG9P2zfptB/i3VtMwHlX6MjA/iPO
Zbo5zAzmxHaQbe13uxCHiUypDYZ6G+rpGu3HeSQ/AeSRxJEhLCqtDwEwP7ERJrBCvwIwRie2bTkI
4dFKPVmh/fhui0+Ad1vgyNCF6Hldb8q1OsgURtzBCNPXvGjzxGEmh0Ew8qLfpNR+lHdvMQHpXaFj
QzuLK3WIIJmf4AFIWK5fDZhMkxGHW+CQbQfJUzV6BeftJ5oC8rbEkSF8vinTA0xl+4TQx7XaecIX
luStgBis8cCSIIKBCHuJ71R99qO7JT0B263vHxmys0387ioDPvWfh9eCoMi2IOwdiK7hs8NmWjC/
LQJs5ojOfJNS+zHevcUEoHeFjgztefxulpVAfvzzaBN2QjF3bPxMXXM+mswYKBDOEXCaT7N95H+9
SbX9mO/eYgLmu0JHhvlNvL7fHIbsYpwOgD5RWiYZA45OTGoRZOKn6Q8D4uUaPl2v/WiP5CdAPZI4
MpwXkNFJDzGxnRNKkGPbCP3EcWylKbPhHzTywqZrtB/hkfwEhEcSR4bwMt6kh3DDIGbGpo34kHbY
QhbSjYgzRIk9MtCTNdkP7Lb4BFy3BY4M1lWVfMviB/3P22TIOFHmIMvaRdYCYhMRE3LNT5N6e21+
i0r7Id65wwSUd2SODOjTJN+Uch3/80ATYLCBvbYHa/v4GdtiZJ/YsITbCLJTw2fkfL1Fs/1479xh
At47MseGd9odxh4zE8OKDZmoH3N3a9VGDFZt7jiMjUoHTifq8wrCL6WnoPvy+0eG7OX6AdjNA8xj
5wS4TTC39JnxGjMiEESZDtSFWGjkTU/XaD+6I/kJ+I4kjgzhcyg3OwR77ZwAmQUlXNZzQnEcJQPl
5cA1SE+MKa+pCu3Hd/t5JsC7LfA/gO6vVdx64qH0648fHs+eur23l+1hyCk5HD1HwuNZO4CKKKYI
pu3j58dvP1XvQYLgZ63hU4S8T6f9uL6U3XrGp0f89Uv5nyvKu8wesvt/ftkFptLiJodp5zzhsxMI
QemWBRgDFb0N3WSF9qO3Lb4Hv62/gtLTbYEjQ/diHR2AhiaQRAC/mJpQfPX42VN2x5GNHEZHCcOp
+uzHdkt6C8f99bRb3z8yZO8qSI8lB6nooCecYW5ZMIEfP+O1FzwmwjBCDI+m7lt02o/wzh0moLwj
c2RIX6yV2hyApAIqw4KqHcbxE8y7bDOk/eGyxZyR4zRdo/0oj+QnYDySODKEoaI/lSpeV4dwjymA
aALf6Ly2VkNOwcQWlM2PYtu3abUf6T33mID2HqkjQ/yjhFoeJR8OYZwJLN+mTchzBcBATG2TGRRq
BKgJ4dAo4H2TUvvx3r3FBLh3hY4M7YtMvfsj9Tfx5hAT3DoxbYwJ+xH/7lTcspNhekMt9VN5F4yH
l0nDNyq3H/d9N5mA/D6xI8P+Bry0gxTt8RNOHArFAc8B8E4piHkCphsiMDLKIU7XaD/WI/kJMI8k
jgzhy3UpD+Cewc5FTi2ooTefyz/G8xpSiTZB4JzxkeGerNB+fLfFJ8C7LXBk6A4bA8QGdl4eKO9g
46G6+hXqEkqrLRObkG8cxdFv02o/znvuMQHsPVJHhvgwnPPsINW39ATyDJCJYM8h145rBou6Y1GG
gVrZw2q+RbP9mO/cYQLiOzLHhvcmBQpUHqTQh5+gIaVI6XMSeQw4JlCvSR1ChkrOl17Z5VuUegXr
nVtMAXtH6OjQLu9hE717gEYDxHS4w5zn8o8dcw10C0McvHDrB6u2DfhUvV5De0t+EtRbEkeG82Cn
LqFRwiHM9uMyTil41k+r9I7rDT0lMIOZb41irTcptR/n3VtMgHpX6MjQvlrnh6gdgMiZQ2YZUsdP
FOm4BmhoHgIEqQkGfXv5nqrPfoy3pCfAu/X9I0P2MjuIYQZkYUfqz8V6ZyMF5JdhCkM1tjkiyabq
sx/ZLekJyG59//iQ1Zty0x3AFjsnDoW+AsR83tC4M2/RiWM70Dhk3PUH3vdknV5FePsO01Deljky
pAfzc5ati+pQPAmwJBa2noOqPWBjDuVBnD9VgO2xyW9Qbj/q+55wAvD7xI4M++tyDcz3AeY4gfpc
2CnDnFe2pUOjCWZDcxhnXJk7XaP9WI/kJ8A8kjgyhK829fogrdvABDuYMmI+V27umdgmgo3KFh+x
Y9M12o/wSH4CwiOJI0P4Fnyw5DD+tUW4Ay72a3b6sY2MYwFrtu1fT9doP8Ij+QkIjySODeH1fQlt
D9ODsNwMmrQ5HEqsn0nNnXB5qBUc/oGN68Nnx0C/RbdX8N59vimY70odHe5DdqNM1+XDYQhQ2BQF
7SSg29Nz9cl4DQcrDaVmJux6HU3wx7TLWxR7Dfi9DzgJ/L2SRzgAFuCi3Ut1n/2AYE+tNPAbb+27
SplpUtgx88SRjavygToBhx3ZjOxB/qdGU/zG14Hfvc1E3HcFjxD2i0qqd9ffpMoPwZHawIxhB9wz
GAXPi/pWFRIUkTpQoQRdo/bg/0bVXh8B+240cQzsEz2+UQCdeMW6/LY+yNYra5jiQ4HC69vcHc6I
haDf0OPnxwL0tIkDouO3qffqONhzm2mjYI/gUY4BNz7MCIBSQyg8g20CryXF0AlYCAQx3KhI6Qn7
yWr9Cvntm0zGfVvsOFEvq36KhX2j6Ycdl9RClvlj689OJhSfQD9fsAvjuP0Z9Ila/RLzl/eYDvlL
qSND/A6K1KCl/j8P99ARATZgAgX7vIjvhHcYChGhGQY0ndte39+g0n6sxzeYAPRY5MhQvpWb8iCm
HBqaOCbs+mFPIfq+vSJwEYw920+yT9ZrP9Kj55oA9Eji6HBWkeyy6gDTGVrMEQjL8I8DM/YEbg7s
JrFh0/z2dL6V03V6DeXRHSbhPJI5NqSzeH2wDDjkT4Ys6f4ADay0xWE679SeTtboFZS35adgvC1x
bAgPfZsP0U0Oig8JxtDX9zn82vHDIAsO1ceQGR3lT24na/QKwtvyUxDeljgyhO8qCK8OkQOF1hfE
RJD3fmWn7lDFwocAyx6t1dM12o/wSH4CwiOJY0N4E6wPkSED5xr6SzmwwesVCmWoQAMCBdqvP1U/
jF3syXq9gvO2/BSctyWODOfPkCKrDuJgQ+NecJ+J+drpVY9TGXqROeZot88bVNqP8fgGE0AeixwZ
yl+rb4fIdg+bARA0jIOiwsfPTtcMOEgBOmYwqEvb9qyn6rMf3y3pCeBuff//BbKvH0/386S/2Vqv
549nBL44oe7XVx9fDpxtOBJ93nWxP+X1VKB/+vD7eygAJhDZvkyDDTfa2rPxeP7ED+S2hTZw/tnv
7+G0waGBL7Q1GiY6uGYOOF7N5vkS+NvQzohCKpQShwwH56TQRTz4/f1gBGDUAL0CjBmw6Q6EZCqr
hkvQiQVzG5pAQzUrgU0m3Pp5huNNFnd+lv58Kc9/fpdWyU0mU60GaTAX+dP3Bn1t04adKkDYM9CO
QgOQQb/8fv1xaJQF7+D/1Hmr7NQPyLVqLdPt2/q06axihkJCROkUi4zgSpS6+0JxT2bKt+5Lwi40
76KZbXrJImw9a6nL4Fw3mSlSM700QrMUrM+rWavqq7Z01MziJZxsmFXfOp5+DaQ/75L4Y2SFy7TT
Z5jgj0WehyIsukrwHCtRInyRJpEtfIN+UhHP3JgnetU33qc+C7/YfkBFlvWt67TJte2Ta9Q4c15k
ZzQuTiO7J6d97ZVuFWHm1kG79KN+jln+3cqDj1Xj22ep7y3zrvzGZCe46j+3KslEhBMsCI4i4VhJ
OiO555ptVrk0Dz43qPoramvLDaJghassFbmipUgCUgpd69SVObmKkuIsjiwimrL8XtQBEq2RabeP
2bVMytxt/OI6tOv8rE10tKik589okkUiCkrf5abvXSknM2cBr3pHFFb/neE6uqotet9LeLm5lwQf
sNeZIlDlJtAmvwyz+NTmBhYezrtlkCp2rWSbzCltALUqsETpa9+NkrYRoZ8Gog6Rs5R16wunrO2V
1VL/g+kTtOzz0BeFL2ORpMQXpGkyIRPiz80uDleEtPHckBIvwyDuXdJbgjitDUMgy1aJ56EZajtz
GVtKLiwz9xZWQ+J5mWi81BlJ5ikJL1BanPc6vI5SdKo7v5/JhH33+tARIU2suaEkmXVVF86RR7tl
VPnx3AwDBi8CdXNaFnypQ8cXYVtWS45VLRK/zGemRPJj2lC2rHI7mIM9DVem6Xmzuo6JUIQYH2LI
WYqkhyctWscR0jGdBfMN7YZdw0SX+fncSCokoiiSZ7ZSzdLHwV2H1U1Vmek8MFgnMp1D/1mlhAwc
W3QFt85yrojwUSdF1w+vSOL0r0bZ4ac0kEiogKerrko9gVs/E7GXomubBb4I8t4TEt67IKVRrVhD
pQgaq6lmtJIPUSKpMEPqzWs/MVamDheVHc89L+WiSZxcJDwtBbFIIpgVVsIIGzYr8yR2nTp0PvSo
/RC21UenSaK5wiGSbozjqwiKoFd2VHzXaf9NozpY6BxVIuZxeSlRS1zSOrO4LJxTp2u8C8eg9ZJ5
qfURG9VnyTNtzExdtd4ywC1CQlb5fQNa0d6IhBeEsVAsKJaG7O6Q0aBFG/iOa9b8LE2wM2+aDgle
V6dw3Egnctr3ro79uUxT48ywzJUk5FOtQu0qP7hLivCMhulNQ5VrGPRS2X95FJ9XmVP/2UXxpnH0
RWsZhkhLFM5YUzUXlaLpinMdClnKSPiReYHh14I8OK9r63sRMeyiPr40GxOJmtPPPUstIcOeCa2S
B0WVL7wkOc3C7gNs/7mobJm4WVCTWZqwbBlJVIu2DuxZ22WtqCWlooSvpwrnLlXEXnQdQIiK5Loy
/Nu49f4ys+prbsHywMy8ntGoPJcNWreR48xVRHy3Vpm/QBVaIklEEVnlvA4VFrRHiYhVfalY86UC
Pm5GDeuGt5SJLKHpKbNt+KY2Q1FFce3mOjuvQnMVszp1a8tbhGZWXEuuOxHGoSmMls90Cw3PPScS
di1nXoCdr5FXJfY8S9vLFOv7zKKnaWX/GXuJfSoTJMKy/9aiuhRV1q7goeNFgM1KJKifxQ69CkJY
ZXhmCFw2bsSNTNQZWhmFs+qaYhZiGQpDNh/AIl3EWBHXk/E3zfiKpuQK+fnSsIql3wQzwNRtYwR/
ttcBk9JVsvquJL2Ji0bP66w71YkVzCsau4YVffASzwBbULkx6c4DHX9IuDFDMriLI38eOOmKVnE6
qxJ5F0vtVtgpReopKpKuX3kMXcjYZaZqheLYJdjceFXaCbBjRrdUDCt2I5Modn0n/WjKspy/PHV3
y+jeZ2A0pB88n53884//ucsS+PfxGN6//3I4evnvPy032ZAEV+MvDb7Rz2/9fZTv4Iv8PNd35OE8
nd/8ivvzy4tv8o1syOD+LBHa8Y2GcxR3XaNB5oVrBA4WH/qwwukm1sBYvHCNLAz91M3hJFAK//nT
NYIjMsD1ARbThhIzBEeUQfLph2sEJ4dCO26HEcahxxVs9nmLawQHRu+4Rsx0oI8KVDJSzKA39LZr
pMsmTGMctte5huGXMz2jXnmncRK4Ie70rEdpdidrFF9jnSS3qvLKlWGialX1HnJR1QqfZ54GA0au
COwRnes4ad2OhhvSO7WroQ3AeVDU33jV5HdZl6l5VMTtDff93E2SlLq88rI7CxaE0qyo0Cmf1TLI
rhO/KETTpP5H5NN0WUHHkLlfgw1WCH1KehSv4phUy5CTZW5Xp6Rjd35RlYvWCvHMqXN5HYOP4FoO
/8swnWbFG/Y57bH8VFhNdhngLl3onleuEaWti+AVXEvEvEVrar4qssy+9hvsCJ3wZNXklM9in/BV
nvZa+D79M1N5I6wcjMKwClQFmHJufG3gZAShwZnimR26dpCfmZU1j6hvzrFfn0WlcV5n7DO8zcss
83Jh6kyLzKkSkUbBX3ZtrVuHtyJrsi9+EX0p7TSe54HfCM+Xt9pSsSCx4QiSIuo6vr+K+rpYGU6y
IX4QizZ1zpwSS6H7FFxMOwwX2rD9ReA14LPa/VcAOnS5k99mhndlxd031ssV8eIcnoQ8eJ26MVRa
X0SMleAM9+a8aNgV6Xkseq+/sjOAVOftrOiamygh3zApv/RNdG94eSmyIDiL4vbaabxA0BxpgXxT
CaPBp0MPYzeuWjVrfA7uAdMuTqyVo5yLrE3YPKPEEzYKvuZ+/wG89/OwoAEs7L0h6jTiAsYH+MAM
TNw16cyQfDOxY3enVKtoTgP/3PCsPnFLVPqz2C6VCKi9MVS0kBWzBDK6hdN7hfB4aF+adXxWh7IU
1E5DgRN0QagdiriuQ+GZKJj5NpPLzo7mrEBMKKPHH0vbrt2alalr+dF9gXNLdIHs5jLpqnkW8oVp
RqFwoh5eslTeqdGpwvXtCLkNTHDXhJFK/PxjnKYtjGzrtGVciTxKzLs08JTwLGuFwFKJ0g4bAVFS
MsNe4/aWmQrSeZuuwytpMBs8fvuu1N5fOE21SyPiwk7eK0vZ8Wlj2Y5ImsoUNHZODVZa11R3mWhZ
qd0cSWfRltZtHWWZ62n7wpRN7vK0465p2GdlXMkz1GXnhRWj0yKTgJLmYIP+VMi7Nhp/0fS0BVdX
LnUBrofLk3KpuigXfhfMWBF/C2J7wbIcpjpMkzynLbzY5K88UGctbfLTyKBsFkuEroMmJzOvMoKP
oSz8s9RikaiYd1UXYGJD7sxxx3sRpzWM8zpJhZe3HzqkGvBE8+is6MCXqTD2VmahrTlTmbXsfI/P
TKNQp3mRnvuBSeedX5Ez5fj9WREiY2llhTnPivyDY/By0UfdmWH6f+ZGQm5wKFsXVr/o1JAWh5gn
PzNI4/qt782dMP9a0ND/rtJkxgOYxh9oGG76sNdYpJzoUvz/aD9fmkIb3Mhfmc6X/Yj/JiSepH4Y
TwR11kMHMBMO/rLh4Bi44U/jCVV4ww4a6ALIoJ/ysCX9B68AjAMa9sCaQxNlOFMMKIcfxnPoLQQ3
BCaAweHqcGDcW4wn2qEVOPDT0A7WgWQjgZ16YPZf0gq6J1leVFV7lTaEz2tY+nKRkZBGbkSbGoac
3Z2FLSxic1gj9FedWfWnyFJtAT5aWnx58fb2sBxD2+9tkgN6rMAhiHAorWVaQ5HqtjZW2uURD6r6
ChcpugI2AMKyimZO4La1zrioG6v6SuvckODaM124RVhGEBX0iloubBlOH7jW5jXcI6hmOI7Rp942
GFp2ju1tUGegdvFrjTHsdtnRGHa0ghsDZA+cMGKONJY0AGw7fUVa2/dnTtvHn2pI3pKFpl1mi7pr
If6R1GOip84Qg0YmWSZ12aFZWWf6IWiVQq40cnumtMxqsNeBWQta2uAy+1kY3EQVP0sUD9QM2Ev+
WQXFeRQ3djuXynAuZRnUyfLXT7ULAxxlZYIjBafVwZHQjw/9gmuineE3Rh6rq1R7/HPmM4SFFWEY
GnlatTdNW/Lb3EPxn7/+2WGsvaS4oAEHcFyUwCmY0FkLk0GtFz9rm61v5cpPr1LWoysUBdVVqkpX
Mi/4/Otfgumz80sc2jdR6KAKpC8bjbM8tbq+KIPsiuWmtS6arIyXnmYdFlEezM2iGrgTs2OZGxK7
Sf7boBkGxfaDwkCBUy0sOLYVDqYZ/zwk/mXgp4m8okVkr5OwstdRPOhg94maO2WWic4E6JcNhFkY
Is+MbnTM1WnDO+uidUhpuqQJs8gNaZp8ImWOySxgXbfJjRqoFqNPqGvzzCpXNnH66mmhh/gFSNib
J0VfkpHDUVdj/emwbIDHjeHMQwvWtJdAmU5lp7btGZeo8pK1LDVE5siINITrpOtS/6wJZPTNZzy/
aPsiWDiZ1UoXo5p+10ArZG4X+NS1srDeyJLQh9rOA3r2a4gtewdkYFdgEA21b9Dww6YQtrzU0imZ
NMtAk8vQKnKPs5nmQb9sdUv4QtdV5ZZtYX6ok86uRBAEFPyvdKlwmQM9lmM3iovkYx7bSQs+SeN/
acIkO+2U1iK3i/yToyI284rUc6ssDKWQmoDz44UqvWpyQ10XRg/evo84RNq9lyYuroNkZTs6/ohD
/8bvUtKKuKLFlfaKIVgxCPj8GF6k7DCsDVbV98JsWHgRBzb76oH9PgsciJF7v62525iBBexH3MnB
W+oS0XSsn6HGNmZ92N7nqtC3lWmAF9okmi48VVSnlofxXRGgJlp61EBS9EHkfYMS4bIWMi2Mv6qE
JuD+KHwKRFR+igoeP8g6BzYrJ0l0K7nXUlEXln9WemXldvAelsjC/LpoknZuNWWxQAhYiXlsUwT0
SeOzwq1x4M0TRcpZlfPrwDN8c4ZQpldganDjpiYQi0zT+M82MYNzXPL81ibaXlY8NPBCOUm/Zk5W
zpXZhv2ijpi/MNrWXGMVN9+Vn+e222MN3Efq49pftDrMYHI0DbhRdcUWZeYFs1iTZJXCVwUYoDKD
F53UVIQqDA2Xeg0VNLPbXlg69lyijTRZlk40962qMz80BFkzqUozFiGMJL0guuFq2RLaXoDL3Mfe
h6opILAUnYy7tHwIgL/B/VfVGC1NAsFLWMqze9wloQYSutJVlZtXOtJJ1J5xWfTLmlfaO01KKXMR
4ji7NalBTsOOkMqtAAMPvEcTgqo+SBibpZ4H9lDHUVPMnajxTbeMNfi5QWE6NFtFHQXepmtjri8c
pQmMqMbLwAV1K7CFC8cIQu+6hqnj+G7BcgYDjkQqWaSxLLmICzBe3rytpeMaHuweAA7VM1PLzRRQ
by4w3o23aGIaJ3PlgVewgJxE0rust2HFTHFkVW4SlEYsatX56kZJI0nmmS/Zd6OqqTRnZob1Ulqs
Yle24fneWUqohgDGTVtV9N1KQXFbGcxzyBwkc0/VfbHgpUrlooudpFuZSiW5a+Muli5t7S5elrKQ
BoSEFv5i5BBUz4AniJIZ/M80roFeMxS88jT9EiYQB5+Skut4HgXa+dhXmpBFaGQYnQdNAOSkoAEO
9NIr6zy9BWNMzkK/x5AAyEGDeQZkaD9nqO25y8Iuby4T1sHQNmCqlDMPoeqsJLYdz3yP+EASpzXA
KakC/yTtQ9Jv4gh23M4YKJDMSJcExSkypbXyJY0cF7IZBZnJTHqzvvIgo2I0Zc5vQq8JLZfIIuxF
koe9cW56sbVAuefboC6n+Rx1QZ+dApXd+POIW0Ejhu8JxCVPYfj4pHDbRhq90K00/irhIKPOEBLm
Eb5CfSp7KVhtGeSuixtcXTk577JZygt9aVcpmCRf0QgEeELgbXkyQOlXYC7SAIKZJG4XqrF7eY60
r++AtbDXdgscoGAIBu+iSltK5srpJShfoTCZxaSIlMsabw7ZgOJr3DTgWYR+WN8q22m+5WVAVjVt
IHphkW1CmMI8uI8dZ2G7SMsaXfVtTqwPStvoDmkDvtE4hmKuRh1t5zVOQrkqW4yb05T6CvgQg/LP
qVkMgzMMC7WksQrUTdtZmrlm0QA2QZOCYpmCRfccLBj/TJgJozuBVbKcQdewNjvVinv4JiyrKPqI
WcohALbCprrUrR6cz6Brb+zIcNp51iTw05Dw6oGJxonul2ZEh4cfVAceaNArT9CVZafwFFVhw6sK
oizqXR7VMHXy2I/kh7SkMOXLCrwCH67Bmop1GlwXyOpKCKjzwAS4m7KtLhMjyCHTYVZFC6wPNcm8
qws8LBowmVx4IlhAWo4GP1mnyWcPjrM9Y7WUTLAAsgxu2/nOukkJqNGWYfeR6NZU5z64ueF5lqdR
eMvAWixVaqKrgvvFV2iJ6RQisAKJzzLm8+rcCzK/nnUlLRpwcDtgsjC8VtekRXcfxZF901bKzFaF
2dXRl8ZJfAVpKCP53gEnA2uILOJgBnEAI3OJu0AtcifhX4whYZk0uV8IasEy15VN8FFmWp3zJAoh
m4VL7MOyB6SjqAPMP5ehUfvzGKcwTXrDI/zUSjNUbBJYkLszOPQR5kYzrNjz0DbgjbZ1X8/ByDTF
OSqBhnY9HusaLC2pgYEoi/Cvktf8zujATT/ruS7Rg1Zpp4BfR7Q+lQ2GW7UJCnrXanzHP80BlgaI
OO4s+qyu9WXb0fg2rFUhGFUrK2khidc3DoATmUj1yzwGLuMydVrrwtCmlc2DIk3qc79r8sBltkqC
O/BE1IPJU1hGYOmEPFoUqEYJ3tSsACvQFbexXyD5J8p6wmrRgwfWfco1MTjcTHnlPKBG5J8Bt9V8
C3zTqN2YKic6ldxEH1pleP2yrAol57KvYJBKrENy00Zxb19BAiuORZHXpnNpocACNhS8GzVvghxQ
a1gqfVH2NIG1Q6l4DpmptpzVMWblsmcFjP7Ian066yAHqlwvV07xpbE7dBcGJYw1sHT8M4z1RN2k
PEWwwOKchwuWBE4j2uorZlXDhjRfTT/ZOC2aWWP72rq0PEihfCw8xUsw7jCi57kkgCYEDl17IYmO
sgta5gHwIq0JNJLXZkDGyLY1/EsgLvNmligP1gzwxip9GUMuBcJIHvkLFbAomDWtaZ52hQXzvoNk
vxSWF9DLR6/0uS7i2Xd+Suy/zAW8TA1MyTFcyvsyU9l3PU4ybN3ofy0TMbSDeeHE72Qi/oghr/Kw
fsnADMUdT2I/+JSh8e7QypGBSWdwnjrEJj/5FHxCKFAjJoHcEEEYLj3zKUPHZiiZhub61rD9CWpr
/+ZToGUgHCUJ1T3Q3hU6HUAK40dCZgvOV0KjXQpjKPlwoMcgBZcDjuEZhZas9QtesaC6DqXOz1jM
rcsybc9ZGheuXZWfnSSZFaGOVmlG434TZKowPlRdBz5eL11wL+IPPMhToaPug/atswwqHhZFrCBz
2XfAC0TACMq4toDwDhZ+VAen4Hyarp97loDlwQ9cXhfpIqF5XN12fv6VB8CjGtCvXFDwAEIX6jas
s7o1+jM7T9vAczvWybMqjmYd9oyVNsrvPk97oCRMb9mhDIIjFHFICvv15xxKWs/x/2XvzJokxbFt
/YtoE4hBPF4Gx4eYIzKmFyxyCIlRgAQI/fqzqOrqzqo+XcfK7N6HY7ffqszTwwccae+1vrVVhc01
oz1q/+pxmKkYctZt5DC4rMqWyYEdusR9Jik4lLatvMQLYywXbnxpoknnI3fTQHv6EJjhhgViSRYq
48PSWpM4pUZJIfr1OK3qxlUqTnU/vk0rv9rcNRdkyzzlXROfX1arRaLrYU4qLIVJzVi6zmrOe1zh
hJeOBoqg+We5yvB9s/VSHsZgFAl6IpSrQrnHeJofREMfWU36+TSEwtH3FdiHI7qatB9FeByDTfWP
oSbxlIi5jJaERoBoqLtCaw/K4BMe7XrawyDF3DdNZrv+bqvVTegP574VNyPxLkw7B6nWs9OFmbRY
asYe2IBNg2r4vvbeQ6Xjt/8nS8z/tsUjAJj354vHUPU//rh2/Pqs39YOkJqYRkZB7e7Di7BG/LR2
4KzJCAJtEPyquGKh+m3tgJGJ2hazjiiMHQilsBd/02JhZHo4SivCKP8YI0Wh4P6VteNfFAtke2Aw
4A0CC/ehvP3ByORTtNY1Ze2t445vvNIoqeb2q7sFp9aFmVCHNlXTnEdBl5AlOljKr+JtvFlZhzJ0
7cZTV41dMnMnnaLZO/CAHIikj2u1eDmLYOotfLsiusxCR6I3cfVzxQBHtG57JYKxTRdnOraN+uhC
cEez638vvUqlcBo43CBzMWz53szumLIGNyJW4TzcliBxt97mZHbabOoCk2H3hrkzw5f0NxKmWvbb
oZfbnbcFQebx9jKbgCbYv18ptJgMZdV3ScIzZLohG00PU2ZRDZghmgQC0lUfxXc2dl+W0oIpYgBH
hHDWpI00/jesq9TywUu6jpdJVJ4o14ctkmUyorBJvNU8W8GvddRfhnK4CHymRG4wzzrPe1irJls4
7/Km965L13sqt1ZjHYKXCacZQqxaoPU0Dkt8nx47ulVpyYYXFkxOGhKYNDwNlrHij9qrh3d0E8+b
9deLZup2oFoVrbtCMhind8NRMvZN0Q1rmPhzIBN/xZo809JLRMmuBfee6QhIaa7WWwfDEfOmmW3m
BZbnNka1zqfYKRw5P1BHfA/aUhboXGBcN81Fhh/afKBpO/hD+KE2Kot5AuA1K55Pw9rJ59gV/WNL
2qH5UXH7fTXiwVKC5XEeZJQ0k2DsA4zOTYnf94nonhyN9uStN5Xxrd+V6rzFZerHWFnXKDzqaasT
IkiVCj/ebmhtUShVslsLaD4va79mUdWJa2rkD9SB3pFIHo8AFJmw/1/aTbjF/+kc/R1lRcnw73GN
/9N9fJfTf/+s39a5/eBcDMf1Aoy0x0HZLoCJf9RIwFwBkIb7oPvfl0jsb5ioShBa2fPA0OF/spww
ktXFHEfI5b9irtFfWeawzv5BPgbwgcNDofXvUC3O8cbb+1mYlUNgm2Ar1S1p6VMj1aOngkvnq/vG
gC5dF1+cOYFu6frHetvqrGua8lAu4ZpqM5cJGQf0hRtAPCgZD8QHpyaGyE1WX4eJsu69JiP8ihh/
q4+kyNt6cE8xn7xkEO3jFME2t71kiSvNtTMSCZCyBvNpFyd1TFBm0KPqvF08BwTBOt6QvnvCSNPg
Olpsf1V73s47eCNqDNxiXhsVvkJ5wxa5pqEAN2in/kn0DLWP04GPmNRpHIJDyTQHVAa5I/K7HxDF
nyEoOknrBUdJnUfHNm5Sjura7tqBDfhXGIZ1Mgbzlk5yzfvpVLtXLqffF/Ex0VTH/Aj+gmfrMsMg
sHONb6Rps741TeZZNeTDVn+sFsu80dP3Wa9nV4P3iAk+0LSUJzWxu82JhmTrc8dezdo9G5+9B3V4
kqT2k3gD1hZHwdXEJ1BXxiT+wmANGve2Cac24WTOXUZwSWikEs25OkWTTxLIhA8eX/372BHfjNff
q55BJWhpm1aucA/eKL1ERYt7oCG2sqGUOm+bqc7KZnWTibArrxKnba78JJhEVrP+wTQKS46d3Xyk
8DWYQrEcxhCcQSSNOR/18sg1AcPmxi/ckXUiq6EYSX1WTfTkx/bDdXhfdFuTaCx79SLiTHqigaY9
iWTwh+NKFi8N9XimLj6LncYipl2dNqXbk7vB1/0jK0e8MMCMoZG31p++VQBcTt7i3OEH/hHLSiYT
sN2zaNzXaQQHBKE0cwB+ZtVKf5h1/rFE23ZQ2gzJqFh5hHb5tcMtCjraE2mDivpQrfNj4HF16RgB
4VG/DTa+2NFFrShFIVfnaty2IVGEkYPmpZvIplyTSakbXVvcPsuT4OXXUUTs2FOoxbXTPZaWCihR
88tIo1Mzan5kgTyjYm2xDYbdgan+FPLgyySIOIOODpOmto/4m+vVuIAZMbGUuebhlP4iFC4TFF83
3i+eoVtKwjLM3NJ/UbKe0sXOc6JU35+VN5vUOOAvxVaNICVbsNVGyVdOSn7shZju6jAAJ0vHzPSb
e2Bz98w8WydcC2gzNahcT1a4QEOfl209QydqKtzt2jupSopE1qHIJm8+EcvIaWTiFLllW4R4L8kY
0i3BsqgTBn0BuKpN5NgffT0eayfMagn8qa41+qDWcXGn+TqFjmiSzRdRFnOVad+FEoz/APN4V/M4
kWr54pr6EkzzWdLtJvanxyVa5sSqrhBO2SR9V1rwT+7NYuYvlQz6pN3EXefP9w1fn1ljrlVnX1UJ
uaqBj510sn6G13P2DTluSj1pFpJknHuSANOmSdyaq0aNeUQmeeg2pkBxmutyovdNv7W5Wd088oaz
N899sqn50w/K94q7tzDUbuD/3Y11hBptUV/LMjBgUO1rK1Bd+CNjOcTOd9VFEEE2UE7aA9Am/Itx
BpkvLX41MHy35pnOdXCs/LCnBXLIXi4krIqgktl/WhVCkEahf9qq/Hro1r9u4fuzft7CY/QdOBtu
z5Xsu/FPW7gPzzqCgf1LE4Ny4TdsBAdZ4CEXdEiA6CHiKv9sVdD6YJpnECOv+Hfd5C+0KjT6lz3c
j/aUDN4FxvxiUNT++E9evQ//uqflBla+XSFmVMuCbQiA23Vdtqlv1T0KvpdSgaofdVuAmntxKgH9
VICTk7yId2SvasyXScNwp3K6DxdZYFjJZS55GnbmRAHb2fkY1M6b5PxcAgJk/NatY34tK0j+4Ofi
LHIhGjQKsmG42e+tD7N1m4MGyh17iyAX5ow6GuCXfrMSEKRHeUaD5a5aNc3H3qnwOLnYxWyJR+n1
jukAN2mfe2feoFKSH9WgPlfrfWfOgPVnbkQ6eeaxYwZQtfHf1s15mawfJnC5sVWFCLHY+KYPt+0C
GvohdCHYmL6ziSnrDFNa8A9L9RmUs49/qL7BFchcT3o7j10lZel7GcyzMbGSfiPNa7DdCZgnWPHT
KlinY1jHO5Ctp2ylyP6kQUMMsEtBqc4Guq2nSVEdf7iVXy55ZabuKPoFcpDpmyOpthGFkDMn2jdD
TsppTQCTGGQPWHsg29acqLdMbhpWMIM3vup7sY3Ixdh2ul8ABCG1sYwIBbT4qlTJE7Vv9mJEFqXr
G/RfY/gqLUqsdW7W3J98oPAScKOeRZBgF4GXF5dBEUbrdg9Nz09qEPFZvS6pkKE8x63tkrLxq+sy
IHW2xrM6C75EhZn4lvQ+2plsRGGQOIKWhdvMn14sWTGKcU7HBpuKGzpfFyyjCQ6FGPNfIiXuiEIP
iIw8QhD8AQQ+SOYRtnA/4Kc6wcRpyaxSUK7tHaO8yV21b3/OVuWx2/uF3yJT0ywqKBCZ+NEZNy5g
N4pkhLt5F1nJz/jmbAKDrv9gEj67t1XkWEKawgVzAFIiEpRQV0NNBvaChnZy+q8D4AjsJ9DEVKCw
/DJnuqyRXC98nacC1BI2PURRi0GHbY6L5yelCj4rP4Lct4lP1/FpocjmCNRDHQU5PIhkYsz/Srq9
MUbuCGUzgim8mxBMGvwlL/nqOniXPba+HmIC7jm497VHjqttep2LmoGSNZSZQ7wEU/3ZdnI7MgwH
vIeBMqKbj9RFl5ZMFzpU6UTME/ZNYKqkDRLUGc1BtuPz5sQ8JRYMtYxXmSth0BqrN4ePLxg9aJOS
xVDvOguPrgPcUpOoQ71aPwPMvoMtV72DmowST3Bxtc0MDfeAztvO9wjLsSQIYfbKPhpP8Rz+EO3y
PhOY0JyBCoudz7XWKg366o069bn1wRGEa1RQsFFp2037IhJf46s4zU38KXGfOjN+F7pjT4QFd6Mr
zoMbRIipyJuI+N+8MH5ZWsdk7mTutJ3YiU3TUVr1qGz8BapgmRMQWik4bYRBwHNVZbUVFMVLWvfG
R9HRX1au0omJB04miK4clPQM4/MSEPth4EIm0P2OKGPOTVTeMrpeOwaF0EZjhjsF2kSPH9vOEvSJ
38fVV5TA/XvY6PrI6VKhfZhpYvZcE8KMQeKHUiV+0H2NVYA1i8x9HtLxDuXiY7gnpOo9K8V7pKbM
np9q9iRVtGeqNkeHh2HPWZVy5ffdnr1SuF3u5z2PZfdk1rS/qN7TWnVZxQVRQ/XQcmS5EMUAMbLn
u9Se9HICExfDnv6yew6s/iURtmfDzJ4SK/e8WLUnx+I9QxZOwSfYAJs1vj1tiJkRxM06xM6CGXk4
uhKvoHsmje7pNJCG1QEwNASNPbvm7yk2b8+z1UA5qj3hVu5ZN29PvTEUdUexJ+G8PRPX7um4UMDG
2vbEHBlLt4A8we+DPU8n9mTdvGfsnLoRSb3n7sY9gdd3rZ9gmfo7M/V/2/j5X6jKgoj892oFCKRZ
/YujA1V2nxr+8Y/kbYQDIFzgpyDfYMX8VOpgyjjm3CBEApngF2/mt1IH8VroUXgIUkLACMbZ/rPU
2ZMnyOkCJMQfhZQR/xW5wtv13d/RbkjeEpRUKKfwFtgvBwr9XOqYteRw90v/trFDtJ1sKJEcWATV
5S2cY9p1SNI63pGVewhqFo+bz/2kgQmQ9R6AdrcMqwQgX5PPsfYzFXTkSNYGoThDEX1d5Ie7WZ4i
zfZhR2WyjoL0nFR4aZEfSceyxgoJu5SXOh865ScLg2XLNotAXozILgTZElRTsySr0y25mHSbiVBf
5n6IEzeqXhY3vK9oX4RYDVNpsn6xRTVCW15IR9DvyXuLJgW78EkBxU+qVoJG0Q6CrjCREdWzH3GN
8iwcyXFGTBDdiXfnEd1ez76VB3AaPWj/VgKRGj9pyT/mGvpv50S53n6sxgsyYGL54qD0arv+2nj+
y9Bz9LFsHY4+2PR0ooD5m8EVCZUQWy2Lp9RdzIXaqs69yf4AYH+Y5XJx47VwAfJjbG6hqMonkFyI
TiKhA3EznRb6QyM31qxoxmKSIAZ91SNXZgPwXTMv4eFEOl2QPWN7CK1th2MHxNbI+qlFSk3r/n6Y
yEUgvQZjGHhB0N0vuKTzHnAjppr6QjsuO7BwOLtYcHsloGlE5RVZ4ivAPghXIDwanlGzT/euwfL1
Xk8t93JFJe/vHau3oehcBNo4acgrPKlYJuHSfPMCiiQmCrLKm7/FShwiD7vpyvBwNa8/EKtVaa1M
nHSLOepN3Ph9yXJnNdth1OJzdcIJwvj2FpL4SVtz7y7uO5DQM5H2rVrqGKWyonnE/e+VZ84r4dt7
K8YGxOIACJP2aBVR8wUEDXIw3YOEOEYTc66AJj5tFT4WjESoXZzdlkbBoRQWDWeQzUIjrdiEca7D
jRxt9OnW0gfXo58XDaijG1DOtoCMGo58U+BUYAZBX2KzhU2wTKkjxTfejBaxms0e2AoJrt544Tnq
rVrlUeK2SXuGUAkgK9SdykKHgDngAmAwq19CjXHuttJ5nTQ5hwN1UUTXX4JScCBaXgQdCioAmE8g
Ccc2ahA20vLcB0hiCABk88iCRITNpxL6duj8j0UhTdtCgWi2+ga6zGWgMCZDGV960G57d7CkNdr3
SaAIrfWyFqMByaAFdRMvxpywhr3ZSOZdG5yI4m+0ocOjdcK9YmXgPL3gS+SIRwNRkcTr6yj86jSI
+GTNeCk5Gy6lVK8hgrvgox+dMDwJym6dWN0L1K6Db2+6bjo2Er9Ni04nG9x+zgCLPizomhrwNXyu
iqkWcd6YuE9w94TvalEn4dXzQ8kWAb6zPWCTu4R75Og/XfwvXbwPf/Dfb22PAvvXf7O17c/6aWvD
IeDAl5D9wCT93w2VoH9DAhJ7Ch7BWTk/D5Vw/4btBlkRNIxoOX+xKf9uOGLeBPR8YNeg5DH9Dfvi
X9nacObOH7c2H7lNFoFVCDBWAiGG33fxmBNO6NCO7R1pI1ja/qwS11+flyjkiEo5t2DNJkjq1XXT
QiKbNnYcgRTkwPNVthj2Q87VNc45f/Kbvk17d2R7GYu1nUN0Y/TI2vkQatC/xj2ugP66Djl0bFNg
NN03FWh0mytWfSNyBEo+RFRfb3r+EdUiX2OaYw9CO+8O16PxvyE3UvAtrhKqgL07VTcf62E6TnF8
UTXPpRccrFfnzq7pusFyFXryCwIsN6snACpPflUI6320EzlgWtMrEhbBISpLIHdjtxWT22K7Q+of
5bQ6B0YvBwa7UHvOMaY1cNH6sVz0kBpK13xBpKt39zaPDQcQbeTY4c1dEE31UstWmzk9BESni25j
2n5H0zoUmwdNouINTZytfJpa+dkOs8lIvyIfr+pr0FLYP7nXoOcb2t3NCEC3yg09EsvRkp5FoPuM
r+0XDfPx3I3IUDN5LyYxApGMz+7icOQB9XXc74D3XHja3FfAPfPZOiBL4M5BKUX7iCrXgSZvRN8l
OKH+ra7dh00NTjKWMkrRpXTpFtIn21VvTT9ma9vRpGJNlNCquoJxjlwj+VTKhsfaGj/zqnnLoVGA
IS7pPcaivIga759vCLJbLm0aDv5xDmFCDAAeAYHPP2SNrJpqkdCbEr+CR7tpFzMIkK+viFGAjbF8
yV68llv3gMifSSUDDGMRk0VmtUnGHql5vcVBtqJ4R8RPx5nbNX7RyflWSvYSuCWuu5qTxkVGiXTD
mztXV7qurgCdgZXnLksB4VeZ76EvjYF9olahkIT1UJRU3vQivhqrIDq1CJImXFU3pJZvYz1WgHAa
mOvVlBm/T8MVb3RdbJO47XIcXXLnebDKERY5Nm55mfh8Uv3wZXaWQqr+Wkh58EPs4ayDo87VEud+
uE5J2AqSMbK82rH6oWBDOLUp1mrY0K2PSOaG8hYxlJdgi+4kEveI8i+PrGkP2PRGe6OX69IBGk3i
Ezf9rRv0d95SHtvA3jpziBTythQe2PdknlFpSgFP2cK7CWt0RU5XlSlocFjlcYivHH+074IhZaHX
IfY5h1lHlk/RwE8yHY1yb9hv1UZ9NXWYrZJ9RphfcZLOWKflHMeF2wcn4Y5BZku/m6CGUMCBfWwK
xzE8DwwtU6gk6yF2kI1CYCXhRuizLJv60C3+9znQ/mEWzXdJl1f4Wd8sWIhcqrZLOF3vtnmvDyqk
sTcd6hzL0UKBU/XedAFSoC9Ye3YFbojQlo5w//pOn4K+q8MDnYcw+LIQRIIL4U9uMfvbgHsJAbPE
RGYC0j1z4+asd3yTjItH2RGnBcNpAc1tqxuEAbb5MSadqx/XeHIo+IVZXlYEm8UrxD9vuW30cJRc
u+lQQ56XfuMfqirAlBY0/Ij0PqgS1YMG7e/7/XyYnMkUzAkvQWSqDBauD3kg/IbAtkoaDby2q/1X
NBwsFXum1yU2PFOJH3PTI2yKf06SLZDv4L0+RD15mWZ1lwCD/ES8ZUmpwAAav0dqiBAIUJOewG7C
gNgGlZkKlGUzONd+P9075QynSb4v1fppHZqinKwThbo14UPQpoqas9hOAVm7BGTGR9XIh7CC4aS9
fXpL6CLnrtdH4gEcUPGVU29vrfA+rYupF4oDjVo6gNdVBszM20yd+RiJUfLpoYEeuvMDiTGZaS8t
CEvStLAajfxYuUXdg6bIOCZMx8r2CX6MN2HU2Ax+EUbcOM49jjXwsjUKMJYGBLQl2yUGc57iWxgw
vQJ0lZJEF9RfsLajBYviKsrttOFeKp0nDUgr4C/epJx9LEuZCWdvxJp4xYtPSJw38RFpcRd2Vcsy
uqINWJlBkt8Maw6d7mpg2ksYWzgGykS31dpfz23UpWYobwHqJqpTKMX0RxivWw4B8HFrnTG3HUbk
lDE2kKCev5QzxMx57V8wl+FcOw3e42xfkfMQB9x16By1lajGPUA8Uv9QcfwFC/SBDO1V0wmdeJwe
aS2/jEuFQS6RAdMDC2yld7BnH+JAfq2w0aHxIzc+0RcMcyjTpffLorTulAZkOnFnwZagV57ALajB
nzenONhYsvA+rZk3Fiqo1rTy1W1TzXeoRA4YQPK8dO5xaEaR+jNcy232Td4Q9JvonMcsbsqogNgn
0mipka5plqJ3HLcIPcFOGl9oil7plgzwcVmkz3OP0ThjGJ8jZb60vST5JrEJYsk6OJXlBUbTXNo+
DtNtxfSdfYTAhbveXeiC+HMUzH9AKt3JetCpFshCyUbHEkk4evL96k7M9bMD6uTgoHtIsMhhgQvW
owXxk+C04DtvWiy4foqIiDTfeslfaDDeqh6zm3z6zYTgGBW07Ia/Qi8LM02rU9kNr0SyI4XxtzLv
QpEaot4Gyr3dA0vrB+/aYo68H3Fjz6jEMd0nGpNYk8fe3xdxJzhgrRfpf8ruX80zSDl/Unbj+Kmf
DoD5b1w0PP23+hvAH3wqTCCJsSxggAlUp59cNIoTcDBiGdDLryzgb8BfgPMr8RyGBxCyDjC57R/A
n/83pIjxNIKBbuyXUXB/wUXD3/m9sITwNvQktAD7aTsw5n5ffU8eRWMeRvyWt6gmvUvli+Snr+bv
ePLPSU0MG/3dazCw0wyz4WmAKLkL7Gb3EX8WrzpXknhoN4MwNSYIiTk+GM+rp0PUmWtQ+yF4LeQa
CqDFdR46w4QNR7Pg0dMD3F6m4/A6miIkTzGIbbyeJweBvm6m4Xgdhg5B5k/NG8/I4EY2VyvGFAwr
GY6NQOprwsyowhjk2yYJFWR1Q7eYhD/mSq51QcMBHskS3iHByot9lkQ2Sz4VlcNbL+eTrJ2i7wCw
PPaTFZ/Izi0H6lYYQwYAhDh53G6+h1EgLf4vdwe/c3MEIgl91P3QwNwfzXivISgjHmYP1nERqDLi
lQ7IekFrScDeYEON4XotY4F252qdQxeAtHMzi+U5aOjTGKvHqbFXvF+ewwD0JQtHjJ6r/Ktx8hEN
HK+EqE8u580JEZIq4ya8rG6LUVLdvpbKglTYS0mJlKXczlNA3oa63tK2jUK4/OPtVIX1Me7F1WzI
V0gRmJc0UOgxmASSsNaFzyHbbItjrI0h/IoYnhHHNLGDNiYoYL3ay7gNl6V0CtM1oLYrXkB8mDIk
IlJuBww+qa67NaB5SX3IN+hCrJ1O5VQ97KhnUffQ7bjTnCYLWpIrF3OyzJRPonvE6MOLoHurAH7z
G3I7Cg0UX1Nkfw4GsY3EuFXu++AvHdZnHWAiM4zXq4/9z63RkTTIVqG5Re3C6+Ax8IE6UuPPR6Ah
sIzKGC5nCeqCbPp6DAFd8Xg6LY3ZCtmSH344f3e7gBUT8n4XGnfIEoomqO6HnnUYXudXQeqiDgdb
5pzjpnYLxci3xhHQZZ0b7UZftHCKVpQIlW4oORqWzhSh2Y7dL31/iDFZp57KXLlO2oVrc1xbr2Cr
9rKR4osP+uioyPLiWlAaQ4Cxf3H8jhlA16gp0KFM5hy05M7ijy5uj/yfSKyPinJwkEZ1f6DSPUnf
XlFg9BhfhgFjktlz1Fl2CNCjTlHwZbRuAu/h6zJjbohm2KC75gpxxjte1i42lQZ2TBO/QTZ824/n
zKbVvYr9HmWIfzuK4wYtMgUVCzYWuZdIOE/MqC9+s+SGNyYLBL/zF9TWsHthBi3VRcvmFESIrtrF
fR4c8cRY9wWwBwi49RDx4RNBpvMYO2ckauE01yFGjsRFG7bznlvKqHQRG559/eCv9Rmf7xLU5J3O
Dhpz2lZJLCdx8OhQ33S+aY7G6bw3ubLoVTFZoY7btvJLp8vmwZQgqwwmicEbhhLrVFpkowNmvm5h
ugiNgZKjh+TAitviahmC6gbqMlrXFqyaSlHC73cYfDqJbkUvGG1Tsq82ZDwTQfjsKC/MFxXeIFFc
AhgawO76MfRhQRsMYJjby8agZ3MveNAEggYdMQONLwMQQLfGOKPtsRuaNalXNKoLBhAcEKN8DcPH
Glc+G2fHZpFRPYTdNrwuB4Ev2w4VFH751ec15uaMm8Ath0y2HzwRPjT4HrcGagW/qjGPDRMfyvtG
y6+zidMaIACrQQ+WDnksQ1xlOryruckxLvO41PozmtZb9G/1gZdA1OjavkHCO4gwet9jmzPD+Dkf
I+yAe9cDCOUedlu0XakSMjv45LqN8nr0vnehNsWAZqzul7cFljkwpyGx1fyu0GYNEy5zsx68Mnpx
e/WMPgp9s0Shb+pH025Xfbwe9ejiBl/rF442oFpxixpzvZRdwbsSEYY2fNDa3gYqfDMiuJFIqTJ/
eVkttPsViFlklwOixFgsyJTiauR92LyjyUV+rQ4Lvw6ABbQjBj2x6sQVFCBBe0xbCMJH1+KqqdbF
hMA+ekKZe9Y0xNDBirxhJ7hAqWjw++nvqsrqo6w5muMRAgXBrIOO5lhu4PCaa9rj03ciumJzdMSM
EOCPwVuMKX8lxg8MrLkF7H9sOnieIBaBgzcfDnOyYK2OmP0AL3AuP4huzvius8qaPsH8j7M/b/dq
IHibvjojWXycgvC9JMNpQXvhA0ME4JUxFtgD1HpQXpW4I775LMmKFLXt34lfU9gSu2TWFiNS/12v
4YP28rhwTMFicbdduS6Fku1dzVP1HpbyQiaKKU+e1OjOMRZR+v56Rzx4JWziNG/Y9NoTgWKXsFsI
yxLe8jhelBvxVAvTHcCcfKsAomYj4c7rOoT4vSC+m2+wJxLqV+13o6so8yiyd9m6edcIQpeff16E
IFv1U5mzlyCxj3EeIaoQeNiYJ/L7EsRtAhdT0krnpq6/hM1zE3/1g/9hYMn/9BJ7pfUTjbThVxw2
M16CjGBDo9t5uDX13Z9/jJ1K/ufQjt8+Bga+ozak0Ev/8DE8b4aOFlf8lgDrZ9GtxYBL8+Q42Z+/
zD47448vg9wq6G0aYrgG+cMQFEx82WjULPx27mw+1gKFIe7D8cvs362Lm4RqQvv/66yM/5jT++SS
f99KXP0Xe2eyHEdyLdFf0Q8kLedhW1nzBBRmYJMGkGDOU+ScX/9OgCJFstUta3vbXkgmUzdIoFAV
eeO6+/HX9P2P9wf5Nd/vDzD8sbZptikX8uSnma5/3B/Y3zO5a7ynDZXsIP/o+/0Bqx0aEw58XHje
r2FDl2pN7AoO44lN9R40qL9xfwD79MubxVJpb7bIonBNITqAwPDbdO8ZRLzVurCu0j6DIhfmdXA7
jqxut7Yep5uB4MpickxJerCWMIOznSmsgcWZYm3TAJ5JPun5aRhUL4VFirFYOjYWuAuThQFZzpWI
uUHC5lLMzYrEzzkSRDdm6pooN9hn8Mje7L5bJJ150g7hEhcbJDsbpl2B2gSub618yE9SiGpRpHQp
TWVSpGqkXDVoySZDv5qNajOgZ9VS2FKlxAUUt8eNIbYtLCCv8d6dAD8QqthcuztcSbexKzMxzZMi
5bOCo7JGT+OCEe/QiZ/kWOGiuOUob+AnxgUsStb7UpbT0OdAOu4Mt1olasCglb12UsgjPB8wvSLu
NVLmw3a1IBfW+0KwV3TQAmspCqZCP6RNdq5BTi7gq51q9EM4M1cwC7+2Ulj02tKfywHoW1Dtcyk+
5uBOLNRIdWLnLOVJby5wl6FYOlK6NJxpP6NluiK6TFLcjNpk10m5s5bCp4cCWkoptJKiKGPKVh/q
5xS1FEWw9C1DzOtwwgwTVtHnRoqrk5RZC23a2OiumRRgMZufCynJDlKcjYV4qILIXBniayflW1sK
uQHExkVowahwtK+KFHs5269qKf/OUgjuUYRdKQ0raMQpWnFGmt+T4rHZ81CUcrIVFimPfCRmQmF7
F83ZkeJzImVocurPJrq0FZovTJuX2lXusBw+DxUTIbj1r3iEpnU5pN6KTdE5d6ZtKmVv8SGAo4SD
HSTJqlkMjFW4TlDLJymb89hZO+jo8A7454moxJqIavPWY6A9jpYFVzLvRgQtUncID9Zkbvj57W0+
aTzYAyvuPGwBYmKj6ToK2TBOgyUhmsJb1QFfnMpXHFIGEk7Q8rhuY5bYTNhM6kyVRRUxl/fq1cyH
4TK5ibMhMjZcKmmmGAd9bxiJ4Zv4yI2ar5njSrlKQtJtzqiWMAh6PPxWzciTapO6Mo143OWOYi0s
OIZ71x3njdNbw6qM4xZoI1s7te/XQ5t/dtXwquaiidldOxkdm08uK5epccJlkyXn2mZG1bXHwbWm
WwEb4LmAFY8dF1e8oeFvCwRCXssbUtgGwhMgmN4EbkQCz8C3iGTMboT3jY43wim4HGgDXLbcNLlq
QGJzlOmU6j3EkULHV4nqxhIb00XcvIlO2WgGt5DeELvC5rICu2nP2t/aayFr1bJKEM3dQrzoTk3M
o3CHFeFionHYUvCzOhnEcVGtIZDl/tzO6uda05/gtwRrD9fIahCDuynmkVMpzaxNmXNXa4DZb/qU
G7qmy99vYOdczYIDW9UNlJFzzCeKiE+3TzxxiQZ+asCRay0sD5BKNnGOuab0sobhSJwMphh/jMjG
GG7Hb2jO/AoWZ5tE0zov8ktkxeZSJI6HNmUdXHKAi6FSN7GVPqu92HRKczunfb/IMpGDFxErEAen
phPheupwDsaO2ARVtbW75mtoACeyEH+XFfFJ/r1soZ/cMb/LmyQ7ss+/LnhFmfpib5WXlliEuHCs
pH2c7GI9mBVuafd9hGCzyMp836bDuAq1cUM0/fbjwfjPhCAzwH8+IQB4fO3fxWvzxzFBfuGPMYG8
nWwBYgz4Pgv8GBPUT55nMTF6mq1qloz0fh8T3E94AmiOAKIGA86WvrPvuWLnEy4h0naklCUYUrX/
n2OCyxzigcsHgqB7BAR+HY+L0MUR3btoiWoWbrGSbaIQpxXGq0Pn9BPBeb05jp1ebgx1JvIxdtdF
YoLAK/I3YerlslGaLZEWa+UZYvLDwTYWiRnVPsUFWKAh5C4jvMwLp7aRv4cxv64x/EcWl8FeGIbP
aX+A5HMUlrl1S8RbS4k2rK8eAzfkUVm7JxQaEqll2nP9avdhjks2Na397Mbof6ZzYlS+Dy3C/m3s
XrzBSZeFiC+tKl51CzXWtUIUCqtaDID1QEk5vZ/288kunMcxYH+lGcaTl5WP9tgfvFQ7Dk52p1j5
qcWE5gOXuS9EAIhdAxIWDAdnNm+KIuF4UJ51AKthHSK4kgBrRHWsnPIJRPXZiHLEE2vc9CN5H94Z
ry27yEUx4hFXnHYV2zNOhDHLloYYbUaBelq5btFhTkd/CZL8SuCOA1pmbMsI4jEhsfOQkSoK50Hb
WGm7Tuya7FsPhTnVCl/R52sjsD+zmb1Lu2k9uBqyX1hcj6a9nqJ8FwMcWrBmubY75z6qg3BVmdOT
LTX2eLBQmTQz9bMiLtdGPDV4E51NK+aLGAtnrUXZftSy92jOAda0+r0dkQUQmY5EXHpXSe/o5yxw
tqMb3tZnM9rZBA6B0x3sKUl86pPWsdPzJKqBybRzsmp5rgGXcZ8iG3MAzyadAyreEGIvFmlefk4d
u1wmLbOmXmvrzAUVo4arqZ22MYto0tzJmxDGu2Pp77SVhNuwNs8SszP2dQgasc9XKK3mg0EEgpnK
JVQZSIt4vc8te5dZGuyqaC3ckLQaWLPVNI66r4f2tHE/Qs+F1bWroVcucTV88eZ0kMoYaAyV6N9c
mw2L4HpvKrXu18QDPVtGzvSAOKkLB9g03a0uE4WlGF/ZFN3FarnsmxxfOBgO3rq8j7xHZGzDj2Q2
Ef9evYq9EMHMIVZC7Mqh5oA0I65Fxmwru/F6wKF6wGOX6CO61zHoG22Ry1RkFiZ8Lpysw95cEbuT
6UmbT/pakYlKFXLPYcLQERC2NGTqsiV+CTwZeRWM2q7C0bmI2gEy0UyIziT2F6ozPgk+KVieGYqj
6jog5BnlqrqsZO7TJgCaFfZLSyC0KS+xaSKEkxVlb8ie1y7PY5BhHSVP6unlF3jezKgkTXMzr1ZO
2qRLZVTSJd59Lg6WjOHWbFGjWdmQF0zmF9TLL704JskOFWAVl/WEw5W3QZ8Hr5OMvupTfQpkGLYg
FTtiHym0SIGNEj0oYfqednxkdES7FSy/deNBPJAhW+5BBvih7A4c41dPJnHZxoeQxgnnlgzaJvmc
hVKR/OvDujgq+midNGK92Ijq89izWANAmKwcbw6Wo8wBd0FQ+qEgGxwN/akXKSBtmRvOvPg2Eryb
LTPUdiLDqWQG/MaBnoEOneYLSHQbUAuXCebw2a8IKBu14ErD37SIZu4XSk+OGVpIsO5xvy/LujW3
Ug6XqecURiBYgPqSm8YhIxitBuodA2pJTKjfBzKJZ8zziM5cCpFcVaMmnlLPaoaVTXgl8ZsuOXRd
D16k7Y1cJ1IaFMBm4ubZ9cLIPP4zE3wTIP9yJqAK/V+Ldxq7/0trglwK/TQUWB57InY5dEB+FDr9
GAqo98Sngd2dAQBbLuuq70OB/QmEDo0KP1J6P2YC+xNOQhBGlq0RMWSU+FszgSP3SP/ZM7E6oHhB
wz5vQaEFlSSjgj+vzNDtLAsIoHKGJpL4WbnrpbujyOxiUWhtuU65fimNafhJlF9w6HNHigUPWKD+
w9SWyyxpd7PQ4IUS5SIKbJfgNqZgWdfugBe8eQMJ+gC376VS69PU0fSEE/FIAY5YmSWg1Mq4R/jB
EJ0nyxAo6qgnAJJq47NNFw6KHNwwQ714KiLA4AYW+WrxqI7OVx534zoZKm723J41dL8ZRt6iU1Ag
c69+MjsKrWKtghqgDOsEPuiyLpV1UafdQlME5AwUJRNHzqLp8n2EzQgTTlCS2x/IGi6D0Xypsl6Z
LoTT3H6djdqACa5s2vKuqxO1GhENzHDpcb8py8GDeoRm2jdTvtLVzvHryVj1VjGQJEuuu2RqFx7W
yLx0MZKryZfWcd7JiHmLIGZRYLTnrL/XGzgcwTQgIHhdjOpW3joj628t11+SDKfK6AmdZxhG9wYX
vB00zb5Wi7dax/9D4h/Hz8qaetb1dm7qlzoNSSQTmmGfm96pyBUfz51m5Fk5quZTYZYPZMTKq2oe
y6NaxJMPJXEFZ+UKyP+uyMpzozWbHGUn85w9RIQnoqhatUiNaYcWCdbRVHfAR7jc8HNzQeLhGtg8
W9RsNny+n0c3bOM9BTwc07x80CADxQ8GI78KXPUuc7N+nVdgQzzbQf+K8ZHDWYgf0kbR6aLKbOp3
tIGZUJ8uaoPDTrUbzF1Z6UI0UW/DfroENSTEWRhXzJnQYPVt3dgXK3F2QTZv0r7jRJ1xqLYh0er8
avSwwY36tEjV3jdzfvNDtYgSKjfMPHlEVLoDE7EZaNfIFSAznmi2Yxfe0ZRxFEN8K/LuKW61rUYZ
AVuyqPLtmqvYHBubsR+sNcK7vh5RYWysLAd+5ZzhXfKekAbrBd+bMoXWCueoxVIO0OJMOG22XnRB
JrJQ8ZB32WkOg5sc7tRustrwaCjmLc7/t0Jp8EzeiU7TCGN4lzBKlhXJq6Ka98LWHlQvGQi0J5sm
FgxOCek7Uqx0gb/kXYg7yCHg1bLWMOpqycYk9jUFghDdF69eoJUrNR+Wsz2fwR9cRar7CDbzUDbK
smQ7gAv5zahUe6kGye0cRleDZj7WYoATpD1ktaqtVJ34AYhIP06Vc6B6myQvzl1MXi/yirceEyBh
ruDoQTRcGD1Or4x/DQfp0HYtvWv5jovzEeTAgX9zXo1Ya/dAeNtF6iLJrrW4nXx7xnx3E3Gt0gGY
hc9JrK8KLFQsTFQ8a802jfvnxhvWg9evJpdvwXBfWhdhtjMVH1zA0tA6v22NrQirp8mRIc184rZu
2kdX725crc6QlIeMDZ/xFHdiNzTCz5Q+YN1mXowk3BFYuuik8Pxp7k9WPxA5tIpNUJAL9ES1jVJn
gz/2MdHTY6g2906BqwHo7E0b4Y6tslNEuC1Vu0eUplsR87vIq/6zmfNRU2n06vWrMcu7XThR8pXE
/TbTa1YW+g1vkn3Z4X0kznMFs3DdO2weebQ/5Xq9nCMzW/eNel1mw0HxtINCWG5RD8rOnMytKsx1
K5iM5mE79NaS+fY4eu2mzeZL26ftwslrdhziMFa8ZV3mkrzJ7oH8vqRDfMW8tmuF+d7AMCOau9OM
6KFv4lvLbe5gVmWkMZlcLIgLvfuWon1peQdzk1VyoIvj1BZ7Gmr4hGkDntf0gIfvZcyMW4/uGWY7
dHvKLPzEVjdmH68hMl9ZeXmIHfeb5vTPvkLj7v7n+4pdXr2L+DX747pCft33yYRKChMEoupplqU7
xs+uKI0pQ8W8SR7hY/Pwk6phfDINOADk7fjCX6su9U9EHChIhbD4Dcv4d0YTzfhVzUMdMSzTYgYy
LN3mD5Tj0c+jiRNxuo9KPWFQqrj0aCnjx6ly6Hn8qs5zYUG8huSCWG/EqjNvSztNBxa5Y8IcbJO7
D/RoWLrc5LdC651pgdD2mU8nYW8veBVaepsGaX49pQQ/69nW10xb2OdNtTmVtv01qtxkmeY679VC
pk+7jvAUJ+yqJVfMRUWzjnPX5DulyNp6oaUwOfzRbuiaSkJxrogk0j3nHRO7TQ+eHRfLphqmtbDI
RbQ1D80sV6mN8jRp/ta8s9lPe/wtR7dsg0MeZ+k6VVBj2NnrYHp1m+U1sKT16DnR8uNRWxtjigXm
g5aW4Up3u2KpmspzZmtXlT0Weyfq7jQbX3mQm6CcY7vCYjMpZ5HYn4eCQ6UuHW1D8P3rnCQvzD8N
YYBey3dDQJqtMpPpXmDaWLLUPYWE13ZdlLy3kLCfdTgxlzljOuztrF46TcbiYirx/ECM9A69Emgr
e1CVvVmN6tEivb2JIx2ZSHT2UTjOxeU+e5tr9P1E0x2VF3j9TbL2qlteHJu7jxfQUUQpir2EOFLu
5tTRFqY64NSeUuWoRaDZnElE1nNfwdwNVCMlmz5pLaYEZWJVP7PXF1cRv7seoHZ8mqBM4/wKNaQN
VHuVGcv1FCJfUALoxtNZtO94ROp3it5lMeIUBk7RF95V3E/4TMvZZTAECmNg72VG9Kk18L72mpce
9ZLgQZjPtyYSxvhNA/7n9FL/kv+6yd6L4o9Hl/yi70cX9FfXQmw1CU6xNv0Fi6LDaXSJD5v/Ptb+
c6nyPuHYJO3nsSZU9Y8D7/um1fuEPZI/i//Svu1n/4YgizD8+60KmZgyOv5MqAt0Vv0WqMJK6ehj
53pXOoLSIrG0udqIj/ynoRSRvrIiEMQvfLbFxfhIi2LSKvyZBCl0j6MovNSv8vQNIWM/YR3u9RbV
wDRZQFVGRhecMOZdAS5g1fXehVHpq4QY++Q1X71OZ+LTyZbglLLqDUakjUub41gpW4V2R0tQH+ok
5TFMhksqCyBtSCIhOpijgulLsBMZAt+3LI2Mk2lD7fFZn9VlzLVmMUQUTHbqtJ1k5WShaG84m6AQ
9NZO4PaqaKecxfAZnuyJ9G5myR5U+9ljgdXKUsvKKt8Jjy1TWXeZeER4yCzWV7OirEfoq77ea9ua
lsxe1mUOsjgzNRSxqmSZJh5dftoCb1hTzo85JXukz6i7SHBCiZRKTp3sUGRSeGt04VrI2k4yF9ig
aPJ0afRkJ4WJy3QEo0f3nGPK65LkNirKKxDd3LbywFrnsiKUSuTdEAOt8mIaKDUlt5bqYPZUelIu
iuvLWHaUGfjUjRzJeVxyK901bIYXZCy/THnvLlSX/hPqJh7czNRYzU6v5L9R9zTtK0kyQlrdbmin
Y0IDGVVu3BJ6dkqU+lGNWsqS1MmkLnWkN3WmPzVXiuGJ3+ehtV7mHAo3sSE2XPRuJnvVDm4HWcQq
iJE3S03z6oilVtHNK1TKMFwA7y4j9lBt6rHfCmWaqXEZia0+Ylx1xQhes/ZOHH/R3klLbkdQ6He8
LhUKpAo9DSqldxuAt6VF7UMlrUsyX72UTiuW+NmSLrxwQ+UaZ65TCP3oZFn36Ja2u4Vkpz79s2j6
WDSh6/zFMLd8z/51xmz7Xzwq8gt/HInGJ4t5jKnt30zsnzwqJh3kOuoS/qtveNrveyZT/4RhBLSC
Let75Jn4Q3wyNY5E6Iw4tmzD+uj0/BtH4u+zHFEp1C+PrCosbHZev0lPbdAlTTYX+nVBT62axkcn
TH2jn1Y/vTLcY2Rf+s9Gd5Kpv5y8/CSo+5JPidKG2cz6XeOiVSYlwJkO15ZFRLwNVddcWQi+eQzl
vdTZiSiDQxltW155U3es0+re0QUhIaB8/oC/fJUyGh56BjVsrx4FS1PL8WBVEq0rnoamYmpzsY5H
sm88arLbir/Q55J3XaoxmWsH/7Nbcz1z6SLwDcwMdFm7h5oqUS/BBFmA/V96lr01jLRYB3a/po2t
XXbEjZZNirnDMR8VBl3P7DxMIsYTt7zSR126Zbt9o+TjWVGscxurPcqLPL5d7C4eCdcgD9l8affk
yNnBhH2/1KV9pevbi6XMyMTdo+eKdz10XsJ8wkTJlS/tHBAIU3xtieBgA/JfAzne2sxfeF8EvyEh
7ks73MYu5qEsig4sMd+KIUrXPeMr/TmYTbNyrPBa4kDI2LKvtXZ+wejX0/uYXJmuWLsTiCCFvsQa
62fnaPeigd015t2i1KYbp+427Ci3yDrKAmdQzjdKZBCsP93tunWrTCRJc/w0vuO9eC3yijEuO4hP
7O1McnDgKQloOPz+kg0Lrq/uhNCl2tZJ6Tsy+AXF8DUkC82ZzvpADcYEOmOItHidatk1rRPJmpXM
Zs7NUxjCs2o1c+P1vLbRwLVAsa1+WdXeSwErBiDeDRCjaWnMzUNsA2QMaSBgeZfdNkO30yweMMJQ
P6u8ixfhMD1kpP82ozFf6fSZUjCe9JQliC9apn/RWW6ADtO2Zebt4GBp4CqGDRP+JadOanRK++gY
M/HSrPg8J9VT5HCxyO3yDlAEIbrawbHeGRvHGXzdCNY8cehC4C0G5dEcopU2RvVrkRCkWM+uwgrF
srFJaOrIpmQx6QK/jknycak6w1pzB9mGjac9yywQg5PmqwGihml8wQ+2iy1t3c9oXPiXq/4htQwe
W+FAHHFhxZL/QApgmSb6zkCk0fr03EoFz61fwZ3caKnyTu6FvC4Ig5J3492k93dj2LT+6A1LPD7a
jgcsffNDf3QJRC8VKtutOMVk1PSxhM0Pz3biNJhNqlMYq4HfVCOIFVk+0vD8hdzcNtthaJ/o1kJ/
8RK/T1Q6WspTavORNYr0GujCIVOU3ZxF5gK0VLSaxylfJ338xR5YRSQDfpix026i1t6MZO1SQCj+
2JHJtqsnfBtwX3dERqmFUbaT7QBvUl9mi9wXFDSiytlLZt72Q0N7fLevuChkmIeSQvg6farLyDNb
FB9jNRjmttfJvGoRQI+56jeGk7RsDVNez958KRgW2rEcloEiyEQP1abTiqupHJ4JwdDuMpkPbau6
p0qhfeqOzjQ/dDHRb0udi9T/OkZ/BQLIU5THhYkkwegKkgd0zi9X76ZpDDOY7Ol6mHxnYW6C/Xhb
nnasFpXX4hF+1A7O6iI4EMbtlqR4dn99jP/msf3218NJ4OZv6BbN6b/+9SLorF6xu/m6d16rYOep
rM/HFwVr+t//e3Q8kw42TdtUfzfZei3PrJgSmGstPlLAiFXn3Qt39Af8j7/n16fft5eT15NnIJcL
Bxbsrz9PjXxsdVqkXtvWQdhXlYGgaD7+9c9i/rff2c8/zG9/SRepaqMDDL/u180DMNlVv1W/uEtJ
6z3lvMcWN+R6Fvla396fqbFdnPtTvH5oVsHqkuyHxVYsxRFf2yJclmv+s3r46+9P/1Vp+vYiyCoM
1jrAMOBa/PoiZBTZQb1RtWsWAefgoq7Uk/YY7nVUab9bTov9s7YZ/XO9HraW5ecHYuaXiu8XyLv/
8a38c69WeeP9+VYQ50MrXv9FR9t/45XIr/0xS2qUy5q4YTyNoIEuiyl/aJY6bFESNv9GgNucDN81
S5edoaFTgMrChD7bn1FczieHzSDPcfsbVfxv+Z1RQXmr/CJagjRlAcmficmBApjfpkkvd2aPR3J/
lfUxtYK+qEt1j0RnsnWmhZHFcn4/JSF+kFE5ugWugMRC7xlAFkRcIbkRJTyF2kPqjre9Oh6nAMh2
Fdk0dA8ua+x4ppGvfRjy6ezkxs6KaSoHt7+oJdN/HAENdbY/UrQQz7ggcp5ZwMEQ8xw4Bxidvhoo
X/7w0fERp5NPPZG+EqmCf9aFbpAkLowortNAnp4nG/5uk5nTivtwvlRFdUf2rVuYnaLj+GGCrGaV
BHS7MMMaD3IRPGZMiq1uQwRvmiUh7TebFFkS1PmSC8JnqL8Ip3b8ZNecaLaDwXkk/FbHzoKOuyc7
NDeuU0HMGwxQqkJZGE2+1W0UAgrdt81IL83EMotquPFtKoO3vB2vVLnbw4v0HKtoILmZbtJ03LnA
X9foJhwcPbXXblh9CVXTWo5a8VSxV8RWwm056Np3O9Dnc5NOr3FlBQcQZ5RsWmznotBekc/WbvTG
EUuTikYQp9itS/y+CHHpQbPqHtMC7rFFxxVpLR97s+mQOwyccp1Nhupn1gi7IcI7EXok5ju9aE6T
6o7sbnuGTyDgyyBTJr+1HTzETRqtlJgayUmNg1WhNvEB3062AUzZ3upWPz8AgI+WpUr1Gu5u9QQe
m4aNIU2fSwGqmcWA/cSUmt80QquvI/z1O1cT47H2ArwnE1l+3cbpsVBMMzkCBSWJppQjOZ4509FH
1OBtdGPFxX+s1LtCVy9p6ZFZjYbqHvyq2W8Clr0vCnzbrybcHCZ6AuvsCzpCPq4/ofvgmMcA18ve
m0bQudfoJ+y7vOoDYc/w2FCUw5Lb85W6OwvZoRPINh1H7WFAy4Ydx0JDgv56NmX7Tp2jw1CRs6oR
5aiUDBep7OopZGuPLft7ZjPV0ALp9HFku0/ZYRZi2XLrGB/NP3QAlbINKJW9QB7FlDskYLqCZGsQ
uVCaSigSGmWjEL2Fy1F2DP1zmH9sBaQe8+eH+W38LsTrH7ek8qt+HOP4UdEZNF5/C3qc9/MxTv8D
CEMHwhJyHYfof45x7xPvYRxshMWJlPwSe2dLSizBhTfl0AbNTfvvCDy6/NZ+PcbxxDhsStF5GDjJ
z/w6EQClzyMA7+oVi4h4EeQ4Bm3tpQy/qB5EdiLTwi6OsYsZMh48/Yi7mk+w7lzZDMZdXa0Jft5k
HWHGZiZGrIwbPt1PhbA2deXcGAWzsoeTvHGeWeBWi2xsV7ODUmCRQQ0bC5NZ2N1XY3HH7hHniKdm
fl1rLSat6jlIYlgj+sGCXJpr9etMb4mWzE86dkA/H1tQTMWKnKTjp3O8bTqimEkxP2mhs+V2TGIi
ba9HJ3pGDb9HPTh6CZYUKCaL1NK/KlA/OCMeUqwdHPTWWnjKenbm69iDscRPtqm8pMMGUizdmDIL
I4D4Qj/tjmJwiSamCQa1xKmVtWhYOE65+0A/NKsDVP7d3OGaGwLzkKjsDZJB2dpDbFInzF2hU0hX
m+NO13gYVvbNUHU3U5uL+8yaXrMKeqJdu/swUh/VHEu7WuZ+pY6nMK2sxRA6yspKim3bKwnXo+5g
ms3OphkAapS1n7QvBLtfwqC7n1yLzIvJ/RkO1kuqNrJP1jhljvluOFUPYUu7t2V+aFDN3lfMYE1x
NH7OobcBLE7bpMGgicG/6uNj1/CahWFm4mIJExuvPwQAcaZyU4tWAXvsTcs1dCTgLEMVZqW2u9J1
w1XreBNuuZZcLrOBgFv0gcPmXgMaO+vrgbuMpbcwSiQ8e/wAaed6SeVfZkbLMKprsDEeDoK6XtGd
9LmQQG4lIDhjmGCXSWLyvwaCynPz2ZYgby+tvyJZSIcvK1wJ+3Yk9ju00htnrqaDYzhnJdLpKNUr
/gwV1pISPWWj+Vy4YMT7sb+tJFjcU0CMo75/SWCOg8x5n1sUBACUD6ENYZwg0omTnM05oAgh0eWJ
hJib0MxHXWLNvXRrRuIZHicNxYqZrSwY6DQmsH03AQiAtP3SuLp0eA1c6XO4WUUMRl2VQPUsVM7h
c9YvC0jrxZh8MYGvW0DYdZLnVjof7KLYJGV16Q0cjzCh7iszrsAjhjJpj3TKOiRU7ccAe9fG4v9x
teExnOtLDAyetXZzHJpnGsMbbE5KeaAZYo6X/FHjQsXJDSVRwUANkkqJGj8TI06Hgd84LIGbbirD
Xcr+abaL80x4iHjKV5sGBj9jVlHX9ZSKz/88V75tm7mY/flzZZX9a1kKuoX++GiR1+PvjxaIKlQl
0t4DPEXyT359tFD2jbGQTjSNEZ173vcbggfrEGzKd/1N5hi/C3AyBaGTqAK4gknwb0YdTP3XGze2
Rpc/h/WFiqvR4cLy22WzDoPRUrSebiFsboMsF+mBayvsx8nqNeKaLnYqSNioPVlm1XIkZeCEHMUB
zDaPzCx9sZ9DaATpzCJHpdsE/cgh7eMyzWu6tp5NIo+5bE1mcyqT7V1JSszr/VqWpiS0p9A2zcd1
dCNuC869R8MKq6dibUvymkP7ChfmcCsMh0N9fAwGEKF9Ut2KMiK5rMTeVlPDzwVtLqOhHpS8O5cq
nxP4tdpCFYm2niyseBVtMNkQb0D0z35JTwx2+Oeg1fetXTW0WXe3ah9m67CmKZzPkrqAmf1mcxPZ
ti0VNGLEUeCV47td2u9gIZNlIwtrGpprvNF4KvSy2FddBreDdhu9jy6RrLvh2/zsFfkVyb+Fa/SO
r0R2WT6MYFvxPmobuHflxqKFDJVvHZbZJQ/4YM9W/o7RYTXKxrIyqzYco18cMdwMdhpuuVa4gCos
wpDDPC+TWLFXnTJeQYqDtxHqDzH9aAAMeFzqWgl0yy2xvw02D910k/XDzrDbF7qaKas1qFyDj3A1
yxI2V52Q4ZLBvR4bZuOqHWecF+zNvGOkVF/nLrI4i2DeNAlneDmiBJpzNm7ymMBJHSferoLqcDFS
/V6LJZV/InilS94HFMfnWXUWFbgEr7vr7Cw8ww6u9rOaC5p3lXSL3LkaMIFpGO3ZRLoEB0hcoHnG
DzKJQWN05y4opkiWRognrbIr0B0l2TtFKa/DBGKV3UDCtdU7R+F+OiQUOHWoJ5kNgqDgJea+GCTj
I5iML46RHwMY5ph2ax6sosUhoXSvZt7gtzeNZyyVL+zgaekLnc3kmWBNomSrq+Q4nBIkXDevFd0o
MMK466mA9Zc4WErTox04J61TkDQm8BgkWxkq3FXfuRDcMZv6VUr8l4HgM80LTwyhRFDGmyxqj1Ov
3BHveWnZqaEkeKAUlEM9irNqBPdjkRymIee3FegPYQ57OBLBXTA6hzbhFar00FwbFcvt1KVHQzef
A2e4J1c1L7IwY/hQeNDQIv/WmN7NIJJzKLOeAZQJ1+mlRfHGmPhZ8iC+CIg21Mj6oFf3IcVXnT0c
KsV6C6f2QWoaYWGde9O6iuJ5a4h8Uak0FaXN9GTRP7BJQoWJLYYmzTFHI2GtcGmfyhGTUc8lOxZP
osn3htefUkPfYTZ96ArI9xhgDL82hh0iaezzhlUX5PpuAOC/VUbubZ00wzdquxvmE2OVYZZcBW3Z
rFhl5Gu6irfgBONFUuUJ/eXgRhuqkXRAPPLE5ZTCs5ma/XXZIVNQq6KuO6ywoQqqUAPerPIScCZd
jMk+JZ33GR857y3Hvtdt8wQDKPGNbtIWGFu45sojTsCD7EP1VveKdeZEZHEqnEAN1gOMY9k2J8Ci
ZS2BpLy1fZv3WzeHt5pqvjk5/OxQd0+0zwZwOZHxEfluNMcA6xam/8femWw3bqTd9olQC31zhwR7
ShTVK3OClVJKCPSBNgA8/d2QK12ZLrv+5bmHVWmJkkhEfM05+xjhZHqvJrH2G6PMCXNw5WayCKAv
EpPgD3/aApb7aLo5uk9reE5JYzyUyVCuenDlb1JoZ5cIbdiPnBFJ8qzEcNMEYg8U6APFstp0KLtW
QuphVtTSCJPW0SCdt3PxXMSaF6MbJjOkc4dqwzzr5PjNQ7BkHTVL6tE8V1+rGTeltAeLjN35JRpI
PfKG9tXtqPDnvrlAxTgL4pQsYpVG4pWMnpwlq2yO+WxuspjSqu+cW2KVrvtAY9KypDSlxDX5xDbp
GhOLZklychSOMvw5DxYhT0nEmIrQp3TAq5rRhPHTzC/BEgxVT0+Fg11YpRc+D/wRiJAqiJKaHSYb
HZ59OO0ldDmaIVSc9yUBVAaQWp1AKlsfH0uT8ZPtXFwCqySkIKYxPNVLlpWXuxR6gF9CVGgmmg4c
sKVOLhZn7BrE6B5Y4r5Z8rE8LMHU2ERuLNlZEFSxAX3macn0MC8JW1qmDuVn5taSvlUuOVyIGJJ1
sGRzVRYpXZneALlfkrvikV3ikuX1T1X2W1VGhfLXVdm2eW/LPyvJ+KrfSzJSaMGS+CztLc/Sbaq1
34e2uE8hhqN6cnX+C3ATv5dkHpAKOnAWycuO/7Na+1GSOYRlYzul2f+3D+XvdPve4mP9tdtfpr84
YaAGwE5hHPFrt58VyBzHLvLO8OOPcVcP5XWnzAmSQTFIuSgU+xkGF/rMQhQxppFAEC9bBTjruRbE
l9Fq7wtRT2vRlhnyoH7HuGvNso71pV6azKhymqogfbUw8fGgOslm0nAMlATZY6mBMp2TIaWKu7LA
u9JXRnbbeVLcIxDcBzRDJWQJVN/MBvREO2cRfnQ4sPWmKbT4yyQ7cYkikbgXkUPhxa3ORtYmY8Ba
uXhVK8wjhV4+uJ5mbSPOKbVpRyPqbmoNiMRTz0U8EHConjMzEBaL/mqfCEBwXMHNtUrto+qdO4gI
E8lO5ZM+5w+9jaCpEvLNXMyvruiZxJIM3nQp55n1KsoUy75mn93exM86PvUCJJpFQagN2lorOALi
xfNpS2ms/QntJGxLe2PY4hmLoc8yOcOF59wjHrtB8AM3Sku+m4H3gGj+XbfTZNMW/FEcv7v1rIy7
D8/lXvH9mZrI7OtkxdyTYJL0mUVuvezji9x/qHPD3AIRxjxkdaiYUnMvAMSVw9CsC5UcLAHGyIHH
RNCOt0RaZeUGw0/OwTEdYQXcRmaP2d8STCBtc19lbKNNP1NhMI3mAXMLSoJe/66juvQR34Za5ET4
WrCplMG3WFQnN/BOrUVyBFgQRttzcO9FiMkC0W7HSPvuBPM210c0o/KM5g3OV9SsZYOoCQYT89RI
fnQV61s3UYDZtOJNiWBkrFu+8JEGuhoM3t5dSn8+Xre2wXSp86tzh2OIujG65AFai5jIwlgYd5HU
WGxxo670sXFgWg1tyOcNVFn10qdms4IVfOx4B7u235JJnuxGBxu1q9fVZi7tQzFMN2PtPBttdw66
5CEF4hYmevtUxOJO2CLBqdnvjNjVDhzaqI1Fczd50YOuEOfWPY+IweybvHSkq0nCNKSJLn0076c8
0tgJaG9NrQkkwzLbTQ6X1GwEeah65v+x07Ij0O21YU/zsZLeTTpVIDmY64SyL62wGPJuVdvqCkvy
d7Ldj0nvE/vcJtduKlkd6N6JNHRjpwdL7g6aW4MHYG0b6bdGl2o7Bd1N0Ngvgyb0kEd9WKVT4Yai
tz6ALM+rTFZ3/SzDDmbXzF9m5XnjDM0YkniXYZRSc7nXbD6d0VLStXnynk/mzOXovTgKaCVCh8NQ
MYXLG/NAm2itLd+/EoOGadZGSaKDr9iqOr1JYpcM7OyuyIdzLPhsK4HSWKXZJimCixmX9dbN6SeU
VMhXGsYudek+KINFjN7oH5Fpf9Wt/A0F+4Le5Z6PO/oJzXy3W+2pXdAQRVE8FXAFN2bQ309AzneJ
W3ypJvvkaNXEDJJYi9Y+evboYjTxpYdnTp/CSdSvlioJKHVITV7yWXsH1qa2jDAzuqthfm0s80vt
B9Y+0BckTOBd5n5gYNgJvMkNgyiXTI9VIKY3Ih7bg+51qB27PPSlnu8nHap872HbKYT1VcKJ6Apw
jUr4WKX7SK2bHp1JKmVJ4qd+HrBLb5B+vA8zaXulQ2WZmsN6gBa/R/iOJ5BJ0yoAXkz0FB2bstUb
+psiNHAO7vVIOedkdBKUjvWILspEwm7Wd6qkgJl8TPLGjDstKUfep4RQU2taJ046radUyOvCU4ep
iL4WJajoQsNPhJ8Snhy4nhBO6ZvrlXRhUTpvnDLaxrY17d0S30sl7W2Go34tPDff+j6NH+fhvCvT
+mvjO9uy0XaxinYVJfut0BKXfNUkIEhT6ZB7CgCpWkkwCwHFt25pyq1XG4c6tq5Yr4EBKFJ/R59M
8C464DAaJuD8ff89q/V0K2RnHU1p4diX+K1JWiuJ4Cvnx1kVvDekBW4dgAcrjeJ+FZvo3Z1uOFgF
+BvD8ElCcYZTnAfHKJhPgJALMMX0N1E23zZFxGzSu/fxdF3NLZ2e6MELUP9fZC8eShN1UgbXbSst
6rBeaE2YWt2bW7P8JJ3A340+KrfJYDtJzirq1lxcugRRXoTCN6uSYSflfCLR6Iqk3jWpLJeBjdnG
SmudcB/abaAl58BJ33yIEHkbMZDwAtpUV3OIOXaOleVPG3ZIaFNmZMu6rp6MPvtWZdolb5L7jFhe
8KG6u0kbw101tnzPCYyJCx2rkmUTd5TAXu8TsyRyAFBqQvc19Mk5CnpoBYY+rFXdwI+PshMUUH2f
jmn8VAs4MSr64tJMrUweXS8vPjAufHEsjej47iw/JVOQciLHDDZGgH4pKPKnvvIRBCYIokxw4rMu
9bWWJ9cGG0ocndkpZ7saLphRRxs4wAwD7lC79/royieUAKzrdES5HazrjFw9p3wupuY8liYMiKko
sKnaIW/osW6Nk5MX3zXpf6iR9tFlglLW2j5q03cUgtu2r7pd68lNK/lXVWlPeqpfzfGpgPnW9B7m
/QxRd/oqWg7fgeV12niHPgFD4HR+HLZuc5xbReeW8fYUdOoMjk/jzOc5wYq1NU2m7kywV2gl75M0
5j/mAMe+cpU0+eKqwM4AliTZUbl9pQI7JGO1ral0ELa5x9lhBdDL5Ia9AGJl9WxYfHM5AhiM0lPG
1GpnFd0bWKPn2IvICMJIr3sFMIHyybC48AKovo7AHjz5aNCz5LFR5AfIluB4TdYXiUNmonNfW0Au
eg2Kk4dYnhVvseurkb6ULA/XgD1Pd4H3vijibRLx6JQzKkAYJPfFUPOr+SWJV9SdEHMTFsrWUj00
B88SRzWlH8Jwkm2s/JsJylg179qAbGzIslO5NsYrX8seCBNEF2rbRYhWdpemA3nYmDkra361fLV1
VfzquyRfmOQnaJFOTomsvxHZTKynqVKHi3hoTjw+D/HEWI3+7cmQHhpuluJts4EYHud7s8oPA+D5
yLfkbek2BcHJmHKgH9iOoT2Loar0kKTstjkiDFzMxsmn87j6dCFPvDul7iTa2l5MyvGnX9kPsmOF
bXM1LmZmes7dHMQ09PicNS8ld2yxPieYf6DL9utoqF4i30Ac7hPhOUyxsQFd9mg15T1OyHGL5Ouj
xl1tJ56zAorFb5p0W2JdDsKzv6HpvxAcQFySx5pIJF0RUne1YZbZSAPUYCyG5ZHrZKIu1LnYWq40
3r/lvaM27wPyrgIBNNmwV7m012PnnYcuuQl672qReSwBKN8MljZtYF8Z80R1U8lX7paJpLE8JPTg
sU0S+9j1+vscDeVuTtmhTIO/B/F/ATjD6kQQLEUrsaKuUWs3Kr83xHBYrBVChxCsLebgK0Dsdyac
3LKDDYPnUO05d68ChZZycrjsnLbd9wNPdGrygg609syGB9UaaDvJO1nNMt1Jk2o3MLKvWc2iT9xk
oF5TB3/6iFSE8NVV4A9nYkMIZZHdTeGk3+XUoKsyIOxMybmK9bMTTNu8HM62eeMyqtPIo2waLT4O
evWcqfjQieRL53WPErIuMCp94ze70fXukU6G1L3nqTa/JtLYB+Sabq0iPsyTNx/SPv/KD/goltbe
oxbcCPjdJ06Fr3ZRDc/FTGBBVaenEZ3/uoXRj6BgvlYD6Se1a7zIQUfcmN0qskwz6UPtaTs+CXCI
neoqscRzoZiB/tPQfzb05v8U9Z+/yT9Z3i9f86OdhzmJlt9G7gI4ApMT7fTv7TxGS5bFPhNPfWna
f2rn/X+Rw2xa5ELhxQcaz1f9aOeRZzkYnFj5O2xnFnnW39Dzw7P6YzvvYXpmY4PRhcaeEvfXdr6p
24KtoznfyGVcaJgdppeAna90pkcjrXeR8N9sSuV1JPtXvSea3CVrUx/tU+tE+XJtPgZDvdad6dqZ
keo6HdLEiL5Cj7luknw7Rf4FThWTPaM3kbbou2wMrpXlXFVFtfPjYE8XdcPunrRVdyb4L14CXV11
7zpVTz0BiNstT8jISBUc7Pjac2ljNZmxlqydzWRSqteavius5KCTDRhK038Cw3hpzfzGoeFa9U2J
IQvT+lMGMigaMyCaTnCbp/F9rDLOCp2cKydlHZFX+nrqbCBFcXo9z738Vna8DvX9btYaNFx9HGqu
sSf3ipUIuBYkSci0obnrHUAieex1kodNiX21N71gncHUSnJnG9T5K0ES6w7t9UoOLDZqBm5hZac7
rOGLqEcsoMR9U5YopLuA7ZNYN3ZuHMypOlk6nZlBWRaVE4ZHWq8wyrwrlVVVGCj3vjYSkFF+Q/J9
CbUJDId94+fuoVS9jueROCCndfIDzI+zm1lQwErwy130tY39h1TznUOiWXt7ihgX6EzbCWli81es
WydVK1ZH43KjArWK2hV+V/1h8gOISqNzgP40ru1Y3hlGvh9t3wsFfSQlY1uHZHpHB1cNaPT0DE1e
GmyTsu03s0gmFmyEsjpx9tYYJQrxeol81GbzLqgN8iKdbCMcChlNN8Ra6wzc8gjYsxW9YYEaPCoP
7sI7jX1dhUrzs4MEhjouVNTBho/qml666yoWgXsMClV07ysft5YrvlO1gkiEx36cpYCekDeHpo4f
Wp3ltN6Ze1tjg8hwnLzj3tkMwPD9oawoUZvrti0+qpGYE3tWJ30cXmSL+d+dmQiZNbHUmFjCIZIo
ynwdd/F81ZfjVUE9HDZ+ejt3/hBWbNc75VyXy2Ym0p46tPcMnuZ9SouxQs5347El6n1j6yQpOFU7
q8ivaXepZ17lLnNmPei4FaIbso8eA4wBq8KJDrFZOzvIQ0WYGtC6mrRqt4kovwV6dg0ULhzzmLTL
ILgu82DfOXA9cc18J+T4sdKmOoy1mPxDU/9uJfIJfMyauIaJCGrT+IZzZqMZ2pfBZqCiOv/awh8Y
GmSB3bqZ/bWTw8Kl/u7N7Wly5Hk27FOczAC4K+dmpKa6Lptil+vMhFhanKyxCWEcAWUzxR1bCjay
yQQw8iHTNvbkn2QChXNAH89oDm+N1B6SgTqwy/JbP/G0EEnHF6l1d6nbR2GpzRcB5CV0iUqHSrEu
SBbVNHdPAV2tugjyjN6gnGsyiPMiuAakCd8gu0nANfYUlI2p2tPgYXnLivlr4A4djWAT4nYDBAIV
SkvBbQ/1Va/mQyCTV9MBAxEZzN8gRq9kkt53ufMaENeGbYLc77L2nshgLkOjiHiIKxa8lug2Rc1Z
CBqWPWRbAks4/3Pjft64Bvqxvx6h7/vitcq/d/+ta1i+7vdbF7wBQ3ILyxCx2RCRfrp1wSUg4HcY
H1s2Tjvm6//WNWCVs5lrc94TI4Mw2eQu/PetS1IjEjwA3v8Zvf+NW/ePqgbb52onysUAuGsiuvjD
CL3rJ8W61lGXXj/GyJynu6rd/fRHufy3g+43K95/xNX8FlQHDPeg7jimi2UBltXP2AXgSFaaZq28
WArD2pIq3mJREZZZWhehNzU22sods9u5Slz/LITwXprYM7Nbn7s8FHoxmmhgZdji3K/FeIX4hyzy
ZDMnBjMn0EDTlF8iR1vnlXaY2mCv1dV9p1MCTAKKU+3djUm7jyYkdaIYtxC4jLVj10dNqhuO7dd8
AtJPLHkv5SHN0xfW93SMibiJu3bjm/nBEy1AhrH5oH3eyTxR6xzj7y6p7T7UMMusOkft64E2pvdg
R/H0Wm3Ir/cSu/pBD6giLEMe67F8z1tg0aCg2PsX7xHIf+QhEryOPvqrum22ROJeRZ23UCaWfZ9a
VFae/rqkRCATI6fELh8AMh0j03xsRkyyZtLBgJnaUEzqrXXt42Q35bZO5XUpRrUOas9C0R05YVQ1
gGK4ODy76jbxZF0XMUqUrrVuc0Us8Dz0L1pqoUz2xo1jesXKN7uP1KsZ8CVmBYKzupSVffIUKTUS
IOMqz+p07+rUYIyn4nBMiYhPpMnSeEBdaMv52YDeYvF2rqpeu3OUxp1u5g+qgFgR+NkXjcCblank
IUA+f865h0JUDsdWQwKmGxB8DT++irs3Usm2Afr4pFBmaI81Q4C8fI7mwQ6jmsuxio1j4/fNuhu8
3ew5bzJht62m5tR79pvfFoJojOTDL+jQYtuf13UXPCBh+bDJI9PJR4TloJgskvIOiIIW3g+ruLgM
ZvtqpClQEJvNA97KQ55kDJ05pBN/0b9YaMfttlMbW9OD0Cn7C3vbxyHu21DLOxLnRLOsR+7jsavX
lRf3YRmxnbebZjNgJJ8Xk3Pgp/cmKHA23nTdwfCcEcuHN8v9SNPgq2Nw9wqFyQs2B4g/ojuuCZJv
wjhNZMi58hhPNWFgDkydzCLuyfMAXAjFh3X8OqQ5nx5Vg3hU/D3Qxn2haMHwhw1+SMt321Dudmj0
xyzOaYWBD44aouwh7hiRah+d5n/R/ImVLSJCzzJYfI0RWoKNR1C5uemsiYLn0yqm7KaO9pK/RoDn
tH5wYjWvsOfzKQ/y7DGDYXdwZnITXEs91DXgqlm+F+iXkkzm8Dvld6Or2XwwB2UDzsA2U92JnIr0
2ba7de6i9WvdJ6jZ424SU3pVQGhJNO2u6dNgMewT9wGShMzuAXCoRr7puglkFbY5WSBMDcMYBvxY
Wdc2Eemhx5RW80jU5NlcMJVnIGkvwnfeiQmtVxxrNaWVsS1yGQ5iOkGF+KaNPXSpBAZo/yXubShc
s3XXlMYGcuZdZVgHZWh30+StXS1+ImnnS0sdWBn6KVDxBe/WZSrE9dx2W5S0YRRM35kHED7kQYNp
u2xTADHLaqwlbUNcKIPkRg5nj8znpgbbDJdxzSJOsYhkEpT6GusA7WbqGlhrQbaJzPa97cjKqcdn
rX13ej6Jg+ttLTslPjAiZJqLP1KwINJ+0rSNPkzekxcP466uGzNMYxhrji87ec4s66WobOCYc73x
hjLGCZFybq2yypaE/jizteumqgn9HFGTbxVPWd1um069KJU/tbX2BZ2Sdav3znzhwqu3TV5/q03j
IBrr+xj5N/U8nYM8iNdlwaAU9aexTurBJ5kU2kwxF8GDXfjTdVyI+ySOX1loaaHKCNlpmEXAbOhw
CJasMigDv5Qm76ISD0lSpevA0o790L70gOCZZJNlFS2uT1IFyQ5IuHvQ0nIG9FrurttekmHaQYh3
U7YC0xSoJRSMSU1jt89R0PZru/OKPU+zv67zbm27w7AfjE7tGH5WoVVU004RjQI0QQa4ilkKMeV1
yHsKjD1IiAuulruWNCXmH7t0WDgPWvSWVKwpZ9d4QML10hjjfew07gFH9ku1hKvY8Rz9VpS9jf8v
fq/+5NqlePhpOf556WKERabv+iby+oV18vOlS9AS7adZ95cK4TMEn9R/cPmpHQre9P9yCv5aRSyv
xZrfxRcAEMBjv7/I8n9KSWnbauyoZNXFJyUpe6qnrdD+D7Pf//USy7//9BKKLOlc9bm6SB7MCVml
GL7a8v5/lyp/+iJBwAyEis0wl6rr5xdpiawc01Kpi9U81NXVqJ214fC/X+K/3xb+VD+9xDIE+en3
6FgSxIY9qovt3xf1di66DVVI6X1Lp//jlRZB6q9V16+vtPwkP71SLgancEH0Xmqg9EbJNtQ89mRy
DJuhOM7Iyf/3L/br9Oa3zwC8BwdQOS4/RCO/vlwXp+PcdIYCJPJidCif3IdYnKbi5fNl/nFaLo3B
X/cah3L6E7HO8jU/+gzDYYRHi4E2+TPDnbf7x3TP8Mmd1HUqfd3yjF+osB59BqNAz2WIR/rAYqj5
Md1z/uX5VOy+TV+wUGHNvzPdg0n/y8cRHgi9vbX8DEC7GRhaf/g4WiKXRjx43bnIXGZMVZ6sx6qg
GrvFwT+zH0kCEc3uxhaDLtB9DZnaOEZnGujAzKlUoT0lVn6q/aSebtDfOuwU/F45DQrU0a17Lqhc
WDtoGciCVradJy1L2CgdzLUWBVX5dW5coo68vg+acu3pcrBPo+OodoReWaftNw9fxDwz7wN1zt5k
bAamS8RVNLu0lcG1qHVBGHbjwkNU9mNdMQT0EdHVfZU55L+kFOe1Gk7JImxAYVOevTzr7ww3U686
FgXCvFIRvw52M27zVi+uEjerKAar6Jxqjr1F8ipQgpA5vvKVNd3C/owO7PLUdVZ66myg8Fs3qElI
waPRH02z+eYnsHvyjiVSKFhFHgQBDg8kuLB0EqXz5s95sBtErqihYY2gTtzlmm3d+bOeb8ZFbpP3
TE9ZBoMlcroODYerT+cGNfg2g66ytaXB7oOJE6hVC4UQb1O3ryMdDZ4hsYwGgTC/WrNkBjLPTIoy
szdfM6qsU1+38WGCIfRiOa2FbcZkJSy5+me/6G/6PnvjT1oeCAg37g0C2PIwBSpzbSv25WBTxXkq
sngdT8T1OSB/d0EA3TedA/9M0puzJ6eeO31iUiKgIb2xa8qvkEW2Tz1p7ds2SEsE94kJjNLI0b8I
QjamIKIxGWv3lpJa21LxtxcrseSa9U91YoPMEKnNjixiZ2ATmr+tnWn8ULbI974s4uNYJcB1IcFq
12SA6NBfWsxQ1YQcpeuA0NWTX+5kjESFSdq8Gp2GM3A2g+iYN5r7RGPwjN7evDI1X97w40dbDXTn
dVuZC1Sz0W+mWQDM8FV6iBOWjxUqbgpWOd2JxlfroVX1Zkp6YjiGOdq2mALi9T8n629THOYNf32y
nt6bP0HDGXzN7yerB4XSBTDgemx8P4/PHyerqcPOttmpoGd0f1uO/HCmcHx+jlUMUNico8tk5cfJ
anOyop7UPYhBIGZBJP2NCY63TE/+c89jTAmo8AgJwcULdoJBy68Xr2fImPn03J29FhtihoYc1bow
87VX2wEZP/63NorVtpbEqxvTnNrasWj9HtmNl5jpl8REnnMjoqqvD7DAJPPbPiVwV2pO710kzaq6
lEqepZUlD+zTkQULa/YQJs8t2EWRfrWIlbydSlKjpB5xXsdUtNG0Kpcj3rRnse0+P621MzaAkSOt
QKJudF7efiEbMKWpGdE/s5q3erdN2q1ZjolxLD4jeuMZPCNzliil4VxSfAMrhhy3JPuOQ+eumyXx
V8umeqPqyCCnxzU2akkG1jO3ecJ33Rv7LJjceWO1PXnCkxnM4yb/zBmWXqSxuralhpZJzu51P7Wi
Wkuzcu8T12X8ipoGscCSYmxIkXX3mZVjxMD5md+MpivMXe3xv6e4rV5mZQcsFxCpp81qFJV3QLho
6Zt/HtHfHlHqjv/xiCZl3P7JlJUv+v0ZXfK4bazFhuGixlvIrj89o1iSQSdSHS3wmd+HrJb7L0wa
eI+pc3ystz+hyqyl+OGp9YjhczxMZ3+r+PGWXuvXRxTALTJqUnJAn+Eg+/URNSJr2bd5zpm8Cqt5
RLCbF0gDpsJYC6H1eMSADibXrZ9ZcA7cEciiym91zQpJEs8LVEyEaYadpxM+PPluC4O5aub15A34
b3qn5YEibfSoLHaAjDCqObutkCRLpMl4Nb6OyuyY4Fhnwp3qtb3omNn1oSmtxWvlwfMzF7Uzw2FB
BAqbGoTQzCyzkPDSaa0QSQsjeuG+RjZd6SmKsPxTTp0RJBEWKHx2g9OgsCSNwxvdsOqBNV/b2uTu
JxxBiZ1EyxpWEWMCyCwqB/lqEtgRD6kLQqGIQkOW23ZkFFcV6b5OtX2yxHWNTfmqWw0pfnhfYAYU
j0msvZnXspyuKxs/keXx58lZ00Z59GDU/m0Brj6Yhl063xqd+6iG9hk/98ZGuxdc//Mgfj6Iiyjg
rx/E6/fm7f37fz+Jy1f9eBK5EvVFDsBW4/Pi459+fxKNf5mYO20UPqRU/rzvsLhiWY1wLZJmxSbi
59vS/RerDsuDHGCxQlge7b9xW5qLAOLXZ9HnHFh8oVzPpmv/kQRlaaZi2phlN4Zud82RtTyGn2Qo
bA3MZOapTfGppCKSoaYGz9a9WYAgLfbj4QCyflci4WQgu0qRZIlFmyURaTEWaVjGwsZ8ieiDV25H
WCEOGTMEynoDDzpdO2nR7aXp5GHCU4kM/WbU8mEVeOa3yDPRBDbZSerzpXRBrnlR84RYdMewaN72
/vg06+q7C4IAzhPfgJJ7H4/OFtNctbfb4Jbm+2OoyHIo0gI/FyBuhgpdBrivuFDxI3ImE32hw934
VXQLk3DRFOI7jDHN86D5+8GVJjhoyB6u+cUGSINuEEAIgS856+J62ASOne6lVeSboPFIYa8il62i
eOmzukO+i+I7hn2NmEknS0iU+arXLA2HoduJPcG/sb7CUeUhrCPej/tey/fwVaB+kde8a9nanwgb
je+8zhuf3YECpvIYUHAoODeJb8KeNRLjDMyEHYptXmCsYu5omdS6tdftGBS3W1EVuNKGgpc2U59B
Xt3twfRwSIoGQt1gjLDQsoh4ZaMh1qjvrJMvG9TxRTCx7W6Nsk6Otoem4sCuW8u2Jnp9ZqWZ8WrU
lr3uobd5dZpeC/xShOMBoF1yKog+XIZ3W90pbm0iAMG8LW4+q8ne86p/rtvsqtL1eI3meJd3GYQ3
x7kGznBNJAUfpIKIEElEicAWazZfTC27ShVIhtosHiz04xu01282skYz9s5lMfYdCZ5edkHLTGQB
EaIWcZaOSOdrbkDCs+mZM8m5atlDdMgmcegLZJ2M7Uu0g6a/Keb4bR7B80U6lAUZLO5AEhFXTlDi
PWmcN4wuzQq4RoZwsCOmXYybHoAFoJZHthgjmpTSWScD2WHThFiAUNYzAhkExbpT7YmJhZTIkTsm
/Jcp31cYwcbDFxgi4CtXuQOF2J9B0kwiGdb6qJMRQ6mZYWpcTTLDfKZ3Jxd+Wtg5ublJlowSnbAS
d0ktiYgvYTdFuseSaBKVrYcKROBEWIJR2T6C5fDeiyj+jp80x9GZh1g/GagvcSlLbso0mBtjSVLp
l0yVaklXKZecFZ+Pvr4kr5R605EzS1AGeM64mhXWNpLjjuUS0fLP/fFbIcdx+9f3x9W3tn3/s26L
r/pxf8ABWKKLQAB8AmF+AXEDkF3+b45u99+5hv/ZlxOkvJjVdDbqv2Ui/ei2oM/onst3ZAhOvWf+
LZXakob0h/vDgV9mg/EzESHZyN9+reWGPhg1ajR1M1EZeRsxRBBBEK1PjCsSgQA2OnVzRoT6lA5D
9mT0BoRpmsSkO8g5WfK4kJZdtewd5k3KQzZjUJdlhcW6JBz8bSQLAEO5bKJ508Uke+CTavaja8TB
R6AXRnc/tS2L4i7x7GgdEW0WrHNZLVgLpl00NLUbmzNO/Eyh3J4rZs0rr0chtinMuJk39pJstFok
w0w+MmPX61Cgds0Q285jbmC832K2PdAU8lSUGJP2Uhum/WhNffqhLH/cxinzo00cc59tgB/oRJWM
8VGL/Pw1gc29DkB5kqsmp2Gj5UzLhgJOWCB4UvWCG4FS0XkdHEZY81ywUIKyI4ikhSHmTOLDVRpw
29L/IN/ZXnVFXGw8yb+BqOSZHHo0q16lTiJGke4vUbJxAvCGuAQYmY1Gweh5Gdm0XYY5DOb+qtGR
t/dLCoMxJfqeADvSl2FofTP8ZTA0V/FRNlp+sSfCFcG9BTtflu+ZNzs7K7fiDXRue9dWXbLRyUEj
rJowN9vp8wvRK21YB3iq5MDNWddq42uY8mPfehdIaPfc53wshtyCiG1j+atib6W72itqwXjvznkf
kins70TTfHgqipAAQ9b1inRo16rBZpx3xChWVdEeQVKka1MT6TU/M+iayq2OmRrCpE/xUIB6ZWKm
ptsgiJydCqpi0y4MAmyJ2Cwa21+pPkKdPDf8mL71kpeZSeGfxqumsdESKZwvFdjRFTIqkEWsqXa4
Hutb9spw2GOFWS/hAp0no0YTMbHzZWSVb2c9GDftQN5WC/hrMxpej5ger3I0ltkeQRv7L6Io9/8c
m5/H5jIN/+tjcwmGO1bf6j75k7Nz+dIfZye1N9s3yjvu8n8Lin6qvR2aXI5CixUBZfR/2mBcvvwQ
Jg5fg/3NJ9Trx9nJesCnof78ZpjHnb9TetN//fHo9AmzpQPmHEb9S1X/69GJr4loSHtqbiayClks
m72BFa+EY4GQUpQ3ie1eJ8ITZ9chyXj+/+ydR3Pd1pq1/0pXz+FCDoMe9AFOTsyUOEGREoWcsZF+
/fds6ao/ytf2Lc89sV1FkzwkcfZ+w1rPsq1bKDyAuyL1zgjNu6wV75VKesY0xXsO1yPWOiAs4pRR
ISrDcshLDTajFiy60yPBhDZYGyfgySzRRXGhNdmEkXPqYmVTzcqtncaPzlw+WxPepbB5d3mvtMg+
87ncZ4JuVlEIPotR4LvxUzsDFTXV2znLLwIrweCpl8kZoMjaE1lHy9ZqNX9MokcLYQwAwnSdt+Mb
yMdz6JHw3BovODa2Q98fytBGSkymidlcwji+eNVE0r3pR0gRhI5SqGrO7aQ/M+3YxRoJ9fO8UrLq
mmrppVK0NRdQ0AD8jtXhM4ECN3EszhFQXViLjJ7F2sjtS6tTWnvfutaTLQGQapxkB6bnr7zdV4lt
PmNI2SudF3AQ38XRslXSNChqTsS65X4BmBFOyTWy8OIhRdJS+9EC6bjM3V3h9m+lDjHcLS9x2JwG
m1W5hKG3846h/8qJ6m8YRS5cn+sl9PZGZN45Ma40V6l3vUNKq5mz0RCOwolMJFWYvRqVeefVrCcT
hoa5cK5C6U+Y2IIlGvYtyOrOUe5Sb9pravhkykLUM5jKJdoKhyvrZsRUcag2vkyfStxcmmua6Taf
RRigJ3t1Bq/d1s3EyW4JP5pq4sjqeIUV+Q3bIYSPto3UZv3jQg47t013KdXwvv+ehGkuMhUzNe3S
2A5tiTRUI9ZvmLo9bkt1WzUCupRb32VVXx/w4JCk12TYxxn+nSdrwdGIRYibhZoe45IehMaS3uma
vs10hHCUmrsUfLucvbhELMDcwXG3+FrJTCitnWbdu2qKqGw0dzhUrKCz5/vEnJug95B2hoadoSnp
a7+q0Y+MUfeI9pp62hZEhOT6beLOdbBwcVu4rzxFJ40m/FK5BvZt87rAVjHb7EKPMgbyQjHz8B3d
7NlN+2eFBLf03Ip+WPP/Cr8BJUbcUYSNtbrVq+JpFD2GGmnnCBly+ySHZbg7zbcIzjo8oXLGktVA
/jG9C/cHKUjAvzxFTKvBxMU5DChWM919j2pQ6LP+yKT8ndcfr/pK7egtDNKNa6jncUGhYpU417g4
sXviUKnzNsBedh3i4oAM9smc5m/CUQlgdw/kmSTYLMU6ieKnBKoGvrzmModjs8FhDGVNKPa5ysN7
Zll4nuj0QKTIAA4TecYIZXRMF37LDfa6CiCQKlGkjoSSptBJQyXfphJX6i3DZ8Rb7M8gmWJNfosh
m05gw+AfYXYmjxKPEPhTh+VRJIGoeqPTZuRE5Bn6NoSZ2kt4KscU8npE7wjGwMgkn+bI4Isr5pdE
oldtBsqe6N8UhG2dhLNOoRqQQ/vM5m7wZ5aTiy4Qbkuiq0S7Ms0Qq6WtHyAcgX1N53k9SRTsFIaf
DAmHDevQ4fkyNjglsBt5I29RCZOtKt6WLWtFXh5+aVUnelrCZwU4JmAcKOkklzZZbF7bcKghIU0F
XeK8CMSLiJ9i9RL3w1Opqodewm5zBSZWoszUP5Bws1i9HyHjWmX8oM2OivTMJmMbdL1r4oG24eni
9SaWd84e29i0sBziWc4dlJD3cUygQTt2UewrFfCQATYNcqEh3ps9AVr5YK5K1VW26gIYby7rBM9X
UW0moR9gw97WaMyA5k35bVJB1/mnFvlRi/zlCPD+9Uv7WryX/R/IEYyPY0BwoEiPqDcoQbEO0UZ9
KEVcJnBAQH58hM/6uTRDqGCAakOUzL/wj9Jc/SxF3N9UWjxmRBaZ8/R6f6uN0/+dFMrU35GvjmIE
hcPv2eFIN8tuqaaRnETs1qZI6o0xxOlaqhgLZ+o3zIAw3gFQGD6PaXGsJUDYJi9uhfQ18UO2PgFA
D+0uksRh1yqwtZWOb0P6OKr98mpJQDFv3/fRbrq1k2YyPCe8551qn0t5FM3g4zY1DIwLwqp1ynnV
M+8ZcXBuEk6yAuaa2Wrfsml+GjnpHDO7Npx8gOd3HqCPlZcW9DLyeExz+ptFHpmTanZEsol4RYLU
e+qYj6OtvGSD8j7KA9dhu+1P4wyZpCq+NgXna6Yq5CsMApYDR/Yo4+4Gz36b5XHOQlTzc1nkDPKw
h5j4FMvTn1vArrAfOt8vBnlFsJgTEWkKe7s27jBFnmFbvy8oD+fyhkJvxFibXcgf3yACfS7w14bc
Q0gUHgZ5Manptzky6yDhxnJbyh1X0GEO3GYswfXVLC84kcf5ZurzieAHsHst92ABGiFAKm3usLrA
oMpR26ry4lwqc2EvwWXaham3Vnq7Q9MX7TISHlaFYmyZ5aV3FqkZwaTDoktnJJ1aQjCHVSnGGdVl
sqLLRJOLTf6A3QpN/ES0r7zwhbz5VQIqWoMTyBSptRMoOrOn8jshSpewqLST3Kj8O0MqJ6t7MmyC
zVlwkDHqfkMAvpsgT8W9TEMput4592HfeS+ttSRfi7wiS8bT8MgkphZurA7pnqMmEAQXj/JFn8tN
bY7w9xc9ecRQ9NRC++O68V6yhBgva8BaPZopopda4NWe3QevBGZXWOQrhWKb4+UnvFB7VESoBQK0
wnoKl3I7jIxfyVpvUKHq5bWTNnRmZaC8h/MUz0QUM3Dwa9MBANvk0w1yJaTxYqzRUQ9vHfqJo5Pp
AzSv+L3W4gnD9awSTq9RKVYhFjxu/kLBiO14vdi1Imx3emvn943d5NehcsqHTCdWtYaJR+VeP1Ru
H/S9DeVPLD1dvsUIhJm6gEgHgEDgranm69h7oc9CDZMwzOu1lZAz29sariYkGod+xnsa1n4Tj0/U
MMilEY+CSAEaHZnevNInU9krigdQNh3Bl5KhHiRuX26nusq+ZIbV7XIxQlgHYJuN8bQDkO2u255i
PWixP0Fy8Nrb0dDCUxwZ7tkd5kvH1gN3MXBwR2LC4RC1m0miw3sJEVdccOIdqZMwe0GM/3Mf/Rgp
/mVvfKq6//rfMnrP3/9oQ/yhN9ZYMXHnYLzT6Ux/gVmhj/NQzWGMxaWDCebDhWT+xl3EPeayaHVV
V3Kufl5I+neBByNHIA8OCrm/FZsulaUfN8RQTeFoOey5iMfi1pQf/yDWTF2nc8fSSy+iWC8Wqd3x
1myePwwNbn58tb+KssKhy3fBq2uxDzfJYbX49Xz8Lk2YkMizWOmlr9IkDypXLekLCNAjEl3P1qlB
SnE16xpZWm4JpSEmv30JjwOu/ju1jm/zBMKgFSenUVVFoGqKBcaQDijXEtVXo3g/siwTQ3xOBm9X
C+2kLuNtN+vnZqmOU2tc0aYc1BQzXDHAZ07VBni8HL0RzzKvEt37Ss7QiOGg4IM90VWEv30DxtyC
mrKJ++MEo7QM+fzJ4YgluZz3+agsxTYcJyfolY6+x9OpecXCRDXrS8wbuvkUMhPZOrllvOgFOC5S
jY1tomaxvY5FU+fraiZ8viI8CqgE3Khd5IF/2WsGnv7VYLgXm5542joQbFijkAyw6o3acJ8WvbFx
Aun5tlWYVmy1akQ7D86VuqPxhVX0c0gPYSlX4ruUM1+/DrrvwG0MBRX7PbcygYJzGDIgRbDDZi3Z
GbmZHQRCNfeG79cZL9YcOd0R++1QMWI27iqntaabWCNXsYlm7+i1tnPAdBJ9lu7vZwKd0f/kMwGi
fSnMPUtNi+Qg3cLg6TKttn117LzHijZwZaN+WYO/kpHSU+znAi5WE0XzftCtgepFOOue3/kJmkv3
2sXRcZpp5ebJ1Vdek+wV3B9rxlEoCSCm3uEgOqTqzIqw0rw7xHu4JlOgUu7sIfisiQWYMpNMCA1l
UvLsFtZw4k83BHaTLJyrSBBocxiQ0y0fbECqa4cUgm3f55pfeiyaunjQKfObbmsbw240S7wuk97d
cqJrTF+Lc1LmZ/Ay5aZok1uzssiTEGkQ2vmuSiCQRoZ6Q6j3fa85wyMOCPcbtiuyD7LAHif7W5WI
wCq6IAsb7UFVxCayexCmVbb2lGKTud0qndxo1dn1167r38ukfZ/T+QnBAsXAcPCmYsMBgr1q2ZoT
MQ/uEBhev0MAdlpwFUXt8KZa4twUyiYfNWazcJjE/IVwRWa6X0JVaMFo5wYTbkrLzBo+W3byli+2
ubY7VmP9AHZLGZeTXuiMVfSzXYtgFNnnmj9f11P9la6zDgd7A0BzJ9Tl8xR266iAcNuoDcT3CP1j
V6r71CISUpvjwHKcG37GOwsMZTAlSxRAdIdQM6jJOTZtmByhftvnXFxj0x8jfeJhBjeVNxMXWMjc
2C3mo8ebSK0cQGYtWQzuyWXkZk7Vs7KwcLace6FHt2VTn1DX+oPunQox3MZecsgZUekw8dkkTESE
ZRpU7pE6r8VKHrXqJVOylyrTXuqsOBA8f6xy95AK7XYZtSAH51Pl+ZmdtN/kzXxcHIc9BQN0FzhV
kzk74RFP3tIPxqyy52U8uNUy75ulLA/g1b4Wc0h2CWvqYI4gjlqTkW0br96GnabcLbPSbP765P2D
5GnNRSL43dEJRYF//3ryxrMGN9fOYXU0mb4ecm/GYjNnAbF2+akvjDFwBlhTVVywUVjetbrpbpsm
Ux/chey9apruRJue1CkMMs95Vqd+28T2tzJLo6Cu8ZMB94XFLNM0Fp7pPExgGlmdP7KsoWFBA+24
/Q4gzBuQPOGzMH/SScNe42uBxapiMstLf2xwWO61msSAPiy3WtpudXMg7azadoXzdc6Le+yNBwEs
aenyQyNI56yrk9vpHn7yGf7HnOz0KbZ8ktZ8OwQkEsMViLiXgk7t7sxZaD6ZOAc19nhfo+TD6qix
oW2nRzLqTWapouFZ0K8m6e5+Y8uZR5Kdh3q5xF26z0Zra+HDolFo9mHJZFi4QKkKN9ogll1bUX3K
I7hUTqlfEwLsc1HsuNdwPNZw3qq5I+ylvWZpfoeJJVoNtGGBDfCeQBwWIW17k1DtBgVBQMwE00ci
74mfnhIc7M4xoa5eTTygbrtssqyRXK6tVhcovzUiGeagMEDZeuZu5Bwyuupr5TkntVHh9XvK11Cz
l1VN0IotkFpneaHtlVqeZf0pcexPuppvVJURBuSgzwSyaH7azRlK+OhqLJYWkO8rsYupuwPtJZ4q
wxiPaKTac86WZ//XjypCud8XIjaWNNCekN5cU3qSP5YI6dKOKN8LEFlQIoz00Opi9dff4VcxHF/S
cFih4jq24IO5rlTafvwOhk3QuutF0SUnPUCxr4lIdkl9144pTwLqFrvZeOmP4vhPzVAsZ3/5uf79
u8qf+0OBJeqsr01DUc7qXN6TNwV5g//gVvzE5nNexQje/N61nu3Q2A8CHOgwQf/Ky1HyxZLKL9vl
U6U4p6Q3VR9H6Sb3Ru3NjU0nKNT00WYSGUQZqQy5+dlmKH3QcsMWPE1ltRaLU67dWmkCrcbv5pTz
vBeTY7xVJXl9JnvQdZIkX3Ke1XWj2nHACTwHPbQWn2n/vTDzZct5+Eggjr4vIkzTc/8VFuCOS+mh
a9uN3Y3kLFrpzlBjZZ2qVCj5SLICIzrVb+C0Be1osV5Mpjs9LuGiJmDljQgch4fDsRu+NR2Spq5O
9q1JIuFoPkwL5ks1O1iMwdklU6wloYFKvyeQ1BbWPlvSI06DoJxDYityFStlmHHKqs+DylghSYuz
G0/bsh3XQ7jwBDOV7qMCvX4dVGnhruoldYM2D881+ES5adAqe/HdaLpHE0wBVyu0nDBKDIOR3+L0
W1IsgMKI6tWOWJCoxW2DVBmRPXEs2mGwICwNlrFzSpcTkf62nGmzQwB/Qysutc0dCZJ0z87z3aWx
9UPo8I1lbqPaPDnjv+Lg/vxx+0/POB3Fx6dtZI4FyIanLT2VN9FF2bDqeCIUdE8U6snl6vG/6OPK
Omjn8mU8/vX7C0HDx7fwz0cdPSebOx3huXxxHx51tMpumbmmcmZyvipPul9v6L61o/LsbMjIe7wq
/ul5WIO4GF75R36ZT+rqkGzCi0E63n94Nb82Nj9ejEEWD1M7mzbq93K7WR0LNLtpfInVm9rIV4n6
3A4/1sJ/+uv+9cz69+9BdMTHHxh1nlDiOI+5XN+jlljV27/+jf7hz+CQM+hIjQnyj1+/fjHZiwLF
nctbuWkAxbcWNeePE+ofX5sMyvjz1fb59ev7H4VOyc/6udVGEcQDRKSTpiMcRcP9YZSs/mYBtDLB
ZBh4iGw+9HOUTEAgvbTLX8xwEV/LqKqfnTuKUlTYSIHwbGi0wX8rdMq05eP1sXfHIscoGf04s2RH
deWL+Pj4QQeaO73XomvoFbSzsBr7TqrdwDcS5ftcg3OsJ2JxFgCPcgS7LQuScSqxU0FAmpIFOXoW
J+PY+SgxjlMFAHPxUgAOA8ohUJLyvGbghWnaBTPJBgoxXOJ5a6JyvmiCeVbviksPEWrQhs82sEoN
aKUl6ZWswV5sLw8UmocnrnJ1V1K9RcUY+k7IwJOXXW0EQMwqgYwZafpn8MLkG0tqJvQ+tCiKbTJ3
Db8RR/uO0QNenaRtulVKaDUAziqLb6GRviJQfQLjA89Asjori44ugxNlSY6nkDE8NdxYFHrVmwvs
Mwb6WSDZZ+vEjygkEbSrtRsFRGiaE+UMMjSV7NC0JYy5S3T0jumNWhrTKklychAlczSnutjaZj2s
hm78AvwSK5wmklUWu8hTYguVupo+DIBMUajDnlR7cu6MHFpV4d13YE+LQrvtyrHdpDkoYQU0agwi
Ne6nY13Fqu+MMaQSMKqRVqd0aOywUZNXoCwsYIgkHAXQxJdHuNvlzqssAbnASf1IklrRHacbGPxf
kU7Nh2iICUAuEYF2kvFqAIFa12Bf7Qb8q+nWGzbV4e0s2bAxYIrNHHGbenmBuVwyZEtJk61sZVtJ
cEHiUMQ2LzOGlW0XGVIpFtOcRg7LWPC0juTUmsBjIdYSghU10BocaLbUxV9YGYPPlaRbXIDFOpf0
2wkMbg4O147a+gyNAVhihCse++ImlfRcFYxuEmr9epBkXR3ELo1fHDj6MAWp5O+6AleDKpm8LVwh
PxLLF9GqBstfssaFZPimkuYrJNc3SSH8LrN7JsEc2vZkvwM6gHLAkLgcYRYZPY8yPd0URAO0tjpi
LqUp9n0JUHiQZOGEHmrVuU6+6xnI+100EuYNiTik63Mkm3gsMEhkUekGqiQXNyCMQ8kybszc3BEL
/dlL9Te6na0jucf6xEi2UCDmKi7QB+DIS9y8EWXC9HZ0GuJKOs++VeelNw/awkyNAt2iY53auVgZ
I4jo+HmKeM/rmVsxPBEqjM9pMxu9ceOMxWeiGtkRuQgVwo60CwyFTxP9Np0REdBTouDzhBtaVaRp
Z1mF+lyM2zHHypEg1w1bVqxaHNlH+DgNOaGsfOBJPixVeG3t+iQmrwtEVX5L+uZeN2KSH93j4ALq
7tPjssRbncY5VuKzmpbk9ZJdivKCcVDRmndqZQ8sfJph00za0TWY+tAM7iGU6Gtmb59HL9p1o3lE
PPfN7p0Nu1R5NJnrKizmA7iuV10WeY0mgXdTj052HuxDsvQbd4ommPep0/fPJZsBdrFxzTYGbnB1
b4yie6KVHZlM6BAubbUb2p2Bfvclyirr0Hd1Ht2QxxK5+75RzJcwsvXwnJLevS28jER7L3zWmEys
rYnYMy2M8nUodelmBX+TzT2wcZ67tSX16zyFn4UpdkuGQJAx4S6WWndHqt6R6YCxRgjvLst1KtFU
44ZffNTLN7kdUWZL/XxRE9HaZqiQBeL6qHVuW1tF4jwSSINLbgczKPcdmQro9cwThqdGavV5F29d
xPvsamLGLsuNZyZHkc2WX9fqqzZxjlcleHwsANqooVDuw27X5ErCsyaNAqruz6jEkR/jIihRUmb7
UkJhO6N8daohXhs6wFgHcmySpW86JNkqRXoAWbZs5pp0PGsbmkBnmcexn4NDywIeEl9QZDvXYkK0
bOm2tsrgXiOJsB1g2dowbZeip6EGcutAu9Uo2FaaBOCSamegSRyJ6QGOG0tMbiuBuaVE54IeJ6FQ
T/Dl4d2b4esag6r5xYgmULebuyS1UKa2zilEvl5JPC++aabNkDeaWL+YEuFrRYCr2xaej1OCRAR7
Ae1XAaznV6r9nLrDl1QCgccpP44SEUxPdgzhClmNi14xuc4SJqxDFa4lXlikNatTFb6xC0Qdbh+U
4si3lUpbCejEJXZfn4QhlAZ5gI/y3vEyA8yk+U4qabsZJeDYcPtjKpHHhYQfl/O0aaEhmz1YZJHE
2SqBlAzmivPZ0LBaApZXkvs8LNDuOXsdxWTWz6cB5HJm8KdWXYSfksbsgGUutOg99bydBa65Uvho
CMC5H0C5AnQu9Hj7vYz6p56U1qC/qidhWFE6ln3Sz/uv//Pf2o8dEp/0s5wEg4oVkFUQ3ci/WKf/
p0wwqDQhFNgWPiRpI/z/5SQiSV0FYGDi4pN7mg/lpPObxKeZbIiYaJgsV/6OSlL/Pv/4pZzEjogC
3tSxM3oaX/DXcpIcVUIfFXW5GkX81BjUOzmjCsi/DfODpdi4jb3VeIisWWFI4T0BpIGCKqAeFZ79
kLpkMlX9vkjTNXCdsAschyiLdSLzgHOZDFzp6m2klO2+5yCEvZ+nyhtrcI7JUkMCcXTCoZigWals
OHMn3XU9d14hUnGrlrUBeNm+HzPZq5MmQcodKuHSCOp4ybgLqod5Vp6g6TwalEQrVedMVlvqC2Um
EMs9IO/AkNN9aQk5sTJMGVGq3tWpfsOx8KQPXRnEYFZXYS+nfuzHRVh+m1t4AzEJeaHpRIHeMi2x
9Onat9prk1MsWEhAg7mKvzZjsQS9ygjbm9x1pPbgzatY22TQLzD/K+a8H6dK8eMxOmroDA2UU0Ij
ARJPCA5qB4Z5zIxcH47tUD/HqvdZYd/NLsUgUrlb9xbEowRvf5suj307Yr/S6osW4hirq2+6qjFq
SO48IStSstPqqNhrxfyUdeKoVMM3taUkVZXZ8XXDQKiFiYZYtqwnBzzbNZ3Cfjq2fZDXiAR1JhQW
bfxVR0eP6rphHNUTRRdXo997bcoIhaVLgXZ+7WYZosGJuCrc4V/imZhNQ5u3oCdV/FNsTlydE8vY
CdFew7ylymK2BMyibWr0/bYotlhtaChAyu+NvvW7zjpjlKLAqVDVxuWwMUmYzpDHZflEJomg8Cun
18iu2MZzF1U5mbLoaAi6GGyc4cqr2gISbAfyQzQYr1rnvWOAYz3OL3btqiST6CK2CRk0IIaV7T3u
MPOi90V11PRICgUJDVxasUNTh4DDzk2uIQfeZaFtmdX2m5zn/yJYRDqKuVea7okF7U4V+tM49CBf
404N+k7XmGXo6QljBeUdlAlArhjKwoFYFWJITQxSSridNU291JOBUFKX9Wk2bD2zZv4VHYqswxnX
6K+MNawgK+fkCruY1BhIHbNbbETfIYydk9y3xvJt7qqNPiSfqkgBYwLSKyIL0E9RHl9NIlYRZvw4
3f904vG7iYSl4j0xJD0A5oDEDPyu5ayNaciQ2WnXvHjMzK+WFfzHQfAffAuPbtvA5MJJyPLi12No
rqOpS9EKX7PuTWQ3c/1Qeqd/7qjv142cPv/1HVVX3eu/X1Py835eU0w9DORpDkYnbqvvgv3/u6ZU
UrMt48f1JVX5H4YeON00Arb+Re3hufg59HB+Y9TBlcbe3yQlmynF37DR4s3996EHV57BVMZAO8ET
8uvjkbZKpjuLHl8LdTHDcwz8+mXS1NgFWF+W0U1FpXxYRGO/2LE5MpRTyiYDaK+Mn9vF6Z682Kzu
PS+xFqnnGWHOl07/3BlCo39gCLG2YzjYZqI8TTqHzxQhkc91PfP1yb5xYa0IgvTEAGQqn1/HaHkl
6tDknXZnd25BYoi61fMi4QClb9cyez0N8D2V9sB0mTCmTiGosSVNIlLn16xBtt2MREWwrJRkfvjf
M2s34u1cydQHO1067soS3t6M2nY1jMAOC/vOHKy7IrG1IDPYjoXTZXHbKPAG7qWyua8N/SV2UxK3
Qu6KskzJO0TbvXUTr/DZ5bMhMy0ows5pcLtPepFtMrvMT2AMjyLOaBdDnWiXDvSw2Ubtqhhr16+X
7G5o6sfGXOqz0YLYJtZJW7UuPW4LBJSYnGFctXkHLMBgoT+VUX5C64fdv/5EIAbqdE2tkX2170vX
zngEpnztdmKXd+lW9YqdRpdVO05KI+P5pgnChiHahhI28uOU3wGQjdGPBtfaJSX/ZQ6TWJVe9VTG
2VfK6VuXqGuEzl+0LH6wK3DNfZ+aJyK19kmt3CY1A6LBcmI/LKpwFYHNidDqcIeYd7FtP5gtyTXs
Ar7aVXlE0HhXzy6rZpUkqLJ0yOQZqhQB13REKY+leRxWZlVu80Rhg2wKXM6EkIumfErtjs0eIeUb
Oq61XRNuaNn4N0aqgFh1N2bjDBchhznO3Ln9qjX3fWYXT0gSpqDNxO0ycJdZRnwpITZKpjtzqVk8
tnP6Fg4jM/wYqTUu2Y3Tus/YZz45YeTrFCR5gXd0ki9DHe6IVSf3ZLnmGdFnib7xwhse1upiDuKU
e9nNMtsg7JkflKAQN+2UMISgzQVGMiNj47HTrPRU6RWXn7TSKu6z4jBJgzULMjydkL61EpWZXay6
uJJQdsQ+fzN0zDL6oWXx6JgbxWheTEUhIUx/LPocP0vlHOrBvs4JoUqlTWnisXYeGorHsHtwU+eN
SKhza4t3PSweECfuNYKB0iHT9iqxR36fex3ub/4OuLu+5pghrvqCtc2dchHUpX3lh8eBPsafmtZC
VakWVz3Ubli1bBove1OU0HcrT105MWjLwihuJBCP1oyys+jL59hmvM61qa8UtcyPSi5q35IBICGe
JxwexSteuWzdz/mt1oWfchKvfCyjeB9ZvXrucsrL/iy0jGmM+Xm0i1eqSSJn+KajfpuSg57jSSFN
6drl6tY0zJ1R5xkBMPlZUNuvStMtN3NWBqYumV6axsglPqDiNY6JtI133x3kkzSTz0tJApI0mHvS
aq7hORfSfB5996ET9Nttmlztt4ys2CJLw3otresTHnZ2Cdol5o3l8ze3YP9RmVjS9M6sZXpepBEe
hWZ+TKU5vudXsB6lYV6T1vn6u4s++u6oH6S5vv/us2erRyyaNN8rKTb8f67p79e0NKD9+TWN665/
/a/Va/v2+kcbCvnJH+5qVXeQD+IHRtulstL+cFfbDp0j4BlE6JpJ3/hzQ2H9piEFQTtoywyN74rE
n5c1zHAbrZMLNsakI0W9/jcu61/XYxIQJfFUmPgceltq/d8v3GNNGfu5MC9x8bJ0l2n6/OHX8ge6
QvP7Zf9LywqmAl0lra+rE8TpyA3Jh42jCDuzD61JXMRirbFXfZtr85KHiKzb/huNGjHnbRIUJspt
TSn3BFLs2iZdCwe8nK3Y1bYiLqd02p3SqQ+piDeAz74qqAqRFZ2woaB+7rNxtcT5VRs0KyNCo2/A
HRcdwyY5VIv4JXJQNMW8Map54SJUrf1Ea4H1SQUDB2gKdEHiBCYZvF9R7IXksGv52ux0TH9qpHxK
c+jaXmZ+ETFCLiRiEc6auDlqEs8aae6VWZ+yzt32k9di7mZ6gCXJNMebdBq1laFX/UYDc76a2/JI
H/iCJ/GEzIDToZhPIyfsLi+rHYEXCxS/5iG08q2xJCzJIwMndPmiqCMgQ3P6VmTKtZ88hMIMJTfC
dAN2CvdOSqaPWu+NBqG3quzKWhx68OG+JebbKUMbtUzkcy5tgPn50DjOa6hRCrCSQMyoBCJLXvsu
JITZMVem5e7yKL0qC59ejgz29M9dFnHOOZD1rJNZNlbQ6sM553SzabfbutnBCwHjbXpPKXNepqr5
TRvSAnZLfOwTktUaEEOzkh5MxXxAsYcLezFwjC3mfWKUlR93U7wWbrKfgTWD0YPMHKb2Fvh2t6oI
DhWmh/eBZAZUpKuk7IcNrqsDRFHfM4dnszJIErQudgdbuV+uWULBUIRkm4TF1jGHczy2+2oe4TOm
5F4xDym8cYcm8YSs8t7WKlZyaf6MBvtJCx00HmJTtfbBXayNMrUv2NwxzPfeVjG6zxU/PKuMaavM
y9eMQnSmXmlDKzCy6USYskuJgZTOnEu+KNqnlelQytjOC+8Clibp5yiUyA2mJhtFCB6b5ttcpTtX
pqwa9YucSyuKet8xikZFlwaMcHzVyt+WLLzNCgLJ6eFPUMQygjgZkpuK8xAv5LAQx+dHSZRioy/e
PA3ShoI7fe3COz+7kg+fJPaC6p9cKcu+Tz3zk6g7lFE6tUNey3dPOt6rWnpUBNNbvUG8YTUoaxXN
uptc6mExg1omECNbTbbRrb2cQYYOvGk9dvYl6nV7nVj2k8oSDKp86L61Hs4PktAYkQy1jVqoaAdm
L8Ws4ONEz5VcpjYBjIj4IsD5JyCo15FP34BREFJOQJQ0d71Q1HW/YMwo+zC7qzAOERAl1GNtg/eM
Z33VN+2xx2dXm3W3LwVuT3S5VBZ60+0gEKXrKBEn8AgMybMa1RrW/XBavPUy6cx9zbxeV31TYX5P
8quTqzm1gdJR4fETh2H9xVrmpzY0Xp2s2XG+nVPm0r7H1jWYc+UUYtOUZk6LbG1rovqpinsGWwpv
VVJgn0VW3o0D0Bc2zYjWqI/13CeoLwDDKoKqLo+skTgQSSjTnPG2FGDyaxoSzqhDBDI9N5p1Ckul
XvoTY7htbLGvydXnjIbEIJFh9MJ8W07Zi5mG1qpL5OoztI9aj8YvNBPnrR4x/i1LI2N5GX89ZFrB
XCoxtsb/Y+88liO3sq77Lv8cCngz+CdAIr2jK5oJgsViwXuPp/8WqJbESrHJUPRUk56oWTczcXHN
OXuvjf/AUbAuOIE5xfj8wuowmfFRkQuAePWVVOr0S+vaHlIyyKceJ41EBZvLl+srerVJxu5OF4rb
VCatL7XbZFFXKHLHnhxL1px224t6/pTNYHw6WeiHAvKK2ooSFXyXRVVQN8iVpCJ3NDbAZ0dBt8rU
dFyx9Af3XskIcpvcZkQlAQcVrW07VtGWHCRcQpqO6UgxN22MkFvNjVutzFEEqdEM65Gh0I+qhzEm
Lm91b7w1M216mLyMaNaWxBmNa6Ft9MOyAeIJj5BYN8TddOf4Q7vqtPahChNzOZhjSCxm2AfsSkGz
VjHXEj6MB4yz9mJM80e9K4gtwkxqjG5b5ydxNLZxOd6JeMS6EDdXXgR3bSLfmm1poYseOqr6UbXI
vWR0CgiKdiGKj/hyiIod1PKh1UlNLnKOenHARDfCloqkpzzIc/a6J2vD0my5c0WtOLqfb88XhZxZ
b2fqpEmicddoS+gUtd9vznKa6orpR9mxmTFUAxokvb/qq3r5+TDyx+NQV9dm6dHfDwGNMQFtDbJj
ijS31uU7VqUzdbsnlsuKNAaLBzAm624oqOHF61oOCNCVuWBmO1aqvUaqU8QVMvDaa70UXSWgDmA1
dMG8V2rOiCV5BdQJMb7oU1r581z3wQHmw0+OfsOYq+1AZC5KXVra5mFjxdmxx3fgj7dihFAt/73Y
9V9Ldm9gmL8OSaiULMOiWDKbIvmNmOi/Poe6pb1OamJ3LChSInxUNwp0Flv0oOhDM9BcT+gehCLJ
rzK01CONrN7sVVq3hGx5Co3dKAWrPrVXbaBYNxm7UpuTCigSP6LmyBQ1qHq2lvvHUAi3g4d5t5d5
b/SUwvFoadPseHuOyeuVEj9cTTibkDvjgKD6izZPeREqeTkjOh1WJd0eVUty8lJZRQFWP7YijjaB
joRafg1V43kwZvAgRejBSA7jZKC6NUYBRUsfHcSgSO1poAPqS6h1AysyFlLof/NaKb0te439Q/L3
WlpoS8T0zVqXEAnmbHESRKkxMmK3EOUTWhtU6RPpIpKS7D3xuVWXrWZsWBcfTQFvodFL6zFSHxOl
CtysyFDYAsFRoO1MKkePgddsQeZGvhiEdF01SHVTadhyMX+OQzl4GRNtJer4rI0kOMj5BCSiLpdI
gNEtyMN1qusJDgg6ofo07Eqj/p0g+F+nAwZ+nvflfOCFRGqrzVyMNxnfu0Ozpwg5in0NbqskPytW
jXG86JKjTk3bZj198mstxs8cOJJOxHGYEO+tJAd+FerYARp3alUHwsrsfpIPWm4+KGoWLOtUKxH0
iDT6NZS7PoEldmd2Jhp9NV3LbOoLQrzLBa50ziMsRGKaZ06olTewuyBhBzU1Jfr0tFfnsEnSqtPp
pcr1Z0vWNPRFueFUqXynyyNnZ4CqClE6ek7MWqUJ+HN6/SEy9U3vyT90Y5jTR1gGrAQ1ynDrWdHe
6CqnzBUC9UZmCBnUo3yjdd0hjoIbwM7XqYHJdmwe6GqoNudG0YXszVkQAl3d4sg0Z3CQguMC0Cw7
hy48C8wJp7CUR0kRHqSA/L+ymRQ3MAhrmygMCUNOBku1EsVoY9HTptCP06BbqDG6UtPsdwbtlF7q
QH0TLNAmza0C7NYyBzg347PSiy+lUj1nBqKDkc+JUwIy+Ylgrb2R6cs+V0mDDpGm4P2VrfAqLoR4
M5qTm9ejqyeojAoONLnucy/hZewE6wozxU+CxGYxwmw8jpYNICZHJ2dPJkVZkvS9XmNPUmj3mRIA
JPByTj+fUOM22AsS6fRSj1kJV6QQnrVAJRqe7kMs7FJ2cXpba1NKHruC+oNPbW6jErousWsmXr9s
2N6zKqUCCPF8kYDWBaS+myK0AhaZO73k905NuhsiL2kZwULRevNMwuvazzCA9OU+MzE648gRTknR
0ylJjK3q9ztaLSVVIYNnU1Ca60WSdIr+INTcEhKdAi+8tdbIHK8/65proDfpzSNJTDoR8JAtjO6+
EJHDpOJBRw6AI1Xd4wZBn+p53q6VO8OpNQnvaIQtoe+mRcG5YZ2PAOpG3VjTa4LNl1OspHWJ3LiS
vtjavnhTlYtatxxYY2QVcXvU2fe7+kBwuDN0KfCkU1wdJG4sn+9Hs8b+k5Vh7jX/smMHQcbtgpUh
z18JtuuGa1IjM/8Bq/PnA832xb+NRJlZRSaMhFHV5p3x3RrU14TLRWJH6VoaoV2FQz1nPN9qxBVu
ghxpVDx0u6IAW0acjXQwSwxOepRjy50jZHv+XSrKwk8c/Vd0gU0an+03IcxPuWjcJBzfuPWQMCXP
KbPDImv8ZdqETxn5IwJxANd+i25HCwKqZFq70+hYcrBwR4k4RY54q6xRjHtLtm6KCcGGom1bpdmE
irybcKhphXXqY39XsW0jdNnFcsbLJCCtNh26ofdpUcEP9DZ9gbMoIV2L9i0qRZQ4Se8/loNV3cu+
hwisVvwvftVf6y2/b/Tvf9SL5lysq3jDPHM4msNTMH0fze3nT+2rf3+eru8emigknJHxGhxD84Y4
S7tU7j4f4G/nIU4q777Am+D13QCpnsZiLPvjUZPPuNBpx7tiMDqfDzL/CpeTXMcAggRXl2Y01a/f
YjBqBJYq38KSkfC8NH3KmeQuHIwvnob86xx/K3/hqtUktlqUG5xMfx1oRMhIf6iQjxxjXtjUFrfJ
0lsIbmeHzr2d2fcb3en2369DJ/g2uM+JO37nja7XyubzLyzPdbbLb/x+w784AFpdaBGBwDLSLIFf
OqI73LSr9CpYWq7lJNVSWvE7LyWHDFA7cK1F0bnqMXv5/FNoH32Kdw/30gOceHViyhW/+8OwkV2s
XkvrbNinGorSYnWvOXt9ka6sY7Ac1hhl1rfeAtb6mnXPnlY5kM0FpbOFtRD27Tpb1acAi53tL77l
dnsUnXGlbaxNvuvX1V26vPn8o8887r/9gO8/+sUPKMh1mGDzY17awEuX9WuxLG6lRelg8lwEi9DF
+bnNV+eXvdtuQOoOTrQFlLGNjr7D5oO20f7hOd8+/1R/dxZdvC0XuwMJVF2FIm88BhvQ+M60xo18
m9G3Aqxj67ZnVw5cq5V5LNfyE4U09/PxP35Z/3qPLlYblhphJCZiOIpT7hp9v5uE+Ni1JAt+Ps68
qlzO3vfv68WqY4am0nVTMh45U9MCfRGHdQ8oRMGx1FCKWn4+2seP+s9vdVlRFlIWf62M2mMA0HH0
rgv/6n8b4OLOpwzkEutEmB9jbSdH1AEtY/H5CF88GGN+Ed+tokJamJkx8qLlZMzR3i3kh6k1v3gq
X/1OF4tbLdG57YyoOQ7zU0FtZQ2R8799j4sJ1uZT3YJVGo99N+DOI78Hukd6/nyQL2aXcWE71D1f
GCnOsRtAkFct8n+S5qQorUOH1ol6+djRWP18yA+fj/bGS8Q+YqkXQ2IaUbwibNqjmv6cE2+UgCLf
FzqdDx/PuzEuXprEt2qhDNThqEUq9furNP2iqvDVABdLIurmgXTMsjuKLNoUo4mo+OJnetsfP3vx
L+ZxENL08RLmMXcDm6DmbbeOD1wRnC3xO65/InnpC88YLKfP15r5W797dSTqfyQ/BexRDxSGM1bV
A8IMELnP0n7adPZ5cgr+g625OBps80qwrxt33tXPj+VZ2XJrJ0vaBf68zpxg9dXH+3Ajf78UXs6c
sOpFyeOlk07zRi7Y9SpRN5nk2PFKXdxn9hYnwO6n+J3LWXU37hDHfbF6yfPy9NlDuXjunVDrQWmN
nCUWeCoWJLzJum3tksU10ep7EEeLR3np2RkV2yX4wxUpi1+s0F99BONi3yMUU1AJhmmOwi63B5yu
dvRDWwJ32LWvw7pw072xwrHy039UnGEVn/xF9Pr5G/x28frkVzAu5kmMzlKtM6YmlJ0lCb12OJ/q
NrFz223g9cMLtKcjMvV7fPGLdFmsjHNrV4vWDTa9HTx9Zft8u5j97fP89bpfmh1NwaI3lLGklK66
0lc6RK7ltJz24U6yX/yNtwR/vinWFPX2g2PcuSang8xtVvHyJlzMh4T/HA7+VYHL3In/LPEunmnU
/y75PsKm+///7/Ca/chfwuwDRt38h3+07VGCk5xEBY7OPCqd2SL4Z9tenT2HYDe5NyCAfB/NLZK/
LdNUt1B+0pqfF68/2vbg6/C5iv9J7P4HLXtNv1gCUXhqIHkxFnIz4oB56ZI3ksY3IXYLJwmQPfAt
LGTq9Or1wF1iLdHtVhGXgDyW1einyUoMi+raqlLhSjY6QUFFm2cGaDoLp7UljQAua6m6x4tkjC+a
gORJD2gGy/KorqKyodcsg7D158x6gJ3qClIvKUYgIVfkzgxuVwjWspLkh6yIxRe/TFKnlCnj54GR
gCBpAMT5s+on5/+rkDpl07qpngqwLLbsJya2qk7b9pmxjaJKsXv44lqA3LxuhVUrt9+J94YKWVaY
1i1CiJNZJyyMh9HnupEamou2pzuamUj7p4p810I2sQITB0IPPToeHSzghGraykgcronGzpa9qnAn
mBpyQwsiqjOkTmNDUczUxhtJug9V+mXw/Y5h6QdwNq2raIJaqsjSYRRRHZqomnq8lXUITNakm6w2
SWObnda7hjmArjD6cJsZdAE1JRw2uKNEt9ZKis4VWj+0UGLObwYkh8cinOAFjrbmWxCNaGM3ISEW
ak23qcuHqwnF1SrjGnw1dOKJllKwtuK5M4lGaESiMIVLOpGZR+5sRphzFPX5uvKIjYYdOuchD8gD
MMQJFTVN0ndgzBbeDWX5YtVFUSG6TOxsk1Vdhw4pD7eeLpiHUCXz0AaddoiJwzWzg1S23pXUBo9J
QFs+yPRnv6Ja3teYnzA+PMZS47teU/xEIZg6jeDvEy8gHjwaTwlmOpLH058B2FSIAs0JnckIQFE1
iJMwY8fKKJlBe95UXWlsZQ2deheNN0E071hpulID/seqcHMNGodjdezJF6M31vMBGrkF+Vp1vawe
Oq0QtqNiOBJFcOWsvSXIV7jQRFqYmuLICBgWRZQ0+6q0sJQy0U7QyfVlVWrlTlfRXwk5OpMKzgFM
lHZFHuXTLCynlSohXBjqbT+kip10vrTUVM88xmRjCKn1QxbqvR6lV3nb3nngAevCoLAuC8Vx5Cq6
keegMMIi1oJGnyVFTE/7yPNc03xthGEXJrBDVGM/BgDqjChYlQN1YZxifOeTOWa0QRDldMJOk8J9
GuAzClvNO2Qm1sEUmuKyDfwbcmZ8gu+TDdTUdVzykMwAGV8fws+IUB/gP3z22543UA9PQ5cTJE4L
yRaaLnVMq6SBkGysRnPNCrRnBREesI6Tmz91I2RpSZcIcpdFXDpih47dl3FkIG4PimhjdCoZ1oND
Yg6IjAaEBFasOzMRT+gt7wgSN5mkVq7jfLb0rWdOP4tSuoYHvTFIT1bS1NWbQSGNctjRHnDocj0H
urICk+zWPiKKSDPPNT10M5d/WDHvcJoor401XqvCQBmiLA5jORGUqDoFzxj2SeioAGOAvDjdJKJr
8NKXaRxv+3k+SnG0oUd9hup5SgmgNyJ23CFfG2nusJDS99c4gGfDcSxHRwYHlHntQjDRDk7CCp3n
2oC3kRZE2tfDUtBmjI4cvugmDTHY1UJrOXGAGqTIT1khQmsW8xWHVKAlrX+Wm4RUFH89iOYizYU9
tuPlmITYwuBXcl8qeUVk4oCoTS8wEjlek7xWyWtOr3OAMRaZ4noUMQr02YOG8bSelIWkMgaGDNWT
TxxGb+pGX6I4xjM3XKuDdZtEE+qiJEE/04urVEUp41nMQE+w8S8tTSv9OYIsYIVb4st26sBc6OaA
qbgONjhE1mhrHkSpQR1p3uh68WAG9bXfjVdt+iMbi9dSJCw6GWimKwBJdaot3riIfdUNSOD2leCK
rtsh75RrdKI/JaGx5Uq0xR6RriiuBatbm7WwFIPkJtLyfaNJd6iSqc9DLda1Ym517mqxXfIqHmvL
XEpKvVW8kQFLF9UL5fWsXuQlCh+05y99mz/wT2FEJwlsrEE58iaBMw16Z8z65zqrsbkIu6TJN5Ng
QHOjEdFVMd1SNomg8EoH8zl2Fd1YyU13j+LhqSk99JLGBoYAIQ+q5+RNtaa7sRGHlA6YZoE/6h76
SrzPq+ga7jq+ygGhaMtvZ7mc8dZGozE7DbLPuiuiDncFyKJOaG+S0Fibg3eC9L1B8rDtPOkQ5GhD
spaU82Q8F95sUUQf0JtXUWXtFWl4LDgqjhWuH9ky77xKv6qr+pTV2nU7+KJtSvVNi8ejKzAGV2CX
My3ZJ5pPXGgp2j2O+WpeqKb8YYybnVzB+iRyp8X/FClc2vr50JNhnMzuqmLcSnK+E2Q1OAkezh5C
S5KbmhAHZ5KbbYX1fOp73EYxG0/0A//xXdSkKEPgLtmW0TyqUN3kmfWd+24cSj/0FEdNUz7EVbAR
ZenEektYxqxe6usdRFPey8SInUmUHgOtLpaWEt+mVUNu7hCvYkU6RzEantjCjYQIcAkbce3FutPL
QuqGCNQ6kISG3/uONMqLOAHzFGTnwddXkTdsh2z8UQgg7OrouSEIuGD/4w2ocZ13htu2vlsFQuZg
9saY2TppwiYxWNm6E8wfdNyXJM+u/M5YhuLg4hRi/anx3frDtBzSbDc2tBca7RaaATt7UzgZGpIm
jB0h6IVtJqvMdRoTyFIqKd8kQnOYcDfUVfHSmjORqyalKBkOnYpNKhXZ/t4dac+/Xyve4xwv6hdv
J0R8GeQoIFywrMvLRtNXVUVihHASU6z1sZ3H1wIW1c8Hma+y7240/xkE+YioIAtU3tLU3t3EoUKI
uqZKwmlA8IU9vX0c8p++skjJXvl8pI8OvHMr4I+RLi7VuZeP0uQxkmweAxWlsyG507TJ9W9R+xTm
+j+rav3+xXib6H2h48by+WuJQcZtb3pJ7p874alpd6X/kiUv//wbcVrmsMwwCrkXvw7h0QEXLcKv
zp1KCWvVAmRPAmx7/irE0Sg3x8+H+2A+qMgI8PcwJWRJv6jTzIQGeRSb8Eyapk372G4JZI2/+E4X
9ab5Z/tlkIsbd+0JjaZ7DBJhhGmqfWQFi//ta8xf892M65oJ9wL23jNECh3gWpzfetAtPh9kLo9c
TOtfvsbFoyniMS66tA7Pg6DYAOus8Ez2LQvco4Yvpz7Jbf3FiB89HcgoIsxznfbcJUMoDs00zCIp
PBvlVSkiA0w2hvfz82/10RjIl3RVR2YkS5eQQU9TBN3squiMaoQYw4WB8LZP7j4f5KOfTgGGhPFL
Ugzk3r8+n7wPDCMMh4jn85jp+4CbIkB+2/JuonandhTpvC+KXfOcunxY70e8eFig2UA5SiMEGAyo
hHpCm/9iMbiocWq4ujXJIDlMxsum875eLD51rhJQNUjpOdrji96weR4QVLnaVXCtOZkbLr+un334
sN79jhdDwvZJh6boonOnw26jui2T9yDn68+f1se/HbIzkZ1T0y8b/PpEDmcDoO7slZYjA/swmy9+
u/nXv3w6kJmYbRYKN0ywv86HguBa+EeE7BlcfUdT5rT5FKro6KLoi+/y0S/2fqSLBY4bcV7hRorO
kvYamFead1NOXyxvHw9BSrBkwYImNu7XLxNKcWeqkx+fs+ykAU0bQtmWW/2Lre6jV4jJ9ucoF48e
dW/QjD6jhPFLIsCoFNxKRdHaOnFzFuJVon3xjP72tciqI+xAFfF/wiqYrSvv11RS6I0iNfLk3HSr
snrqdbecrv/hRLsYglra+yGyzucHDcrk3E+ZLQlEbUfaFz/b3+by2xAzzUvkwEOd7dchomFIhYSb
1rlOXoRpg7/viwH+NpUZAOOsxntC4e1vmRAsnWgKM3pbnPPSFiRXtAmhLGfW69tv9W9Vdu6UfFKV
hXrK+3jJ5pj/6I+K7Fv4Ix4iPM+kKOBxfleRlX5DW4xIF6fRW+H1TyOVKpEYaeC80uDqznTRPwuy
/BdMz9Bc6e8RKjJTO/5BUXb2ar1b6lCSYOAyDd2SJJl/SzblXydgmZdqA4cpOJfkPpjr8i1iUTNO
Etl9uCz8t/xFgrB7dKhtQUQe7LI5pXGEUlktST+Tmpseq4L1k7CdNXmFivcM3zhCSdVnibCj2kyK
t0RxTHJ96JH+WY2zkJiPUg2KzpHQpbImTdqUoHavLW9ODMwMPAXdqMOVwqZoUZCpxtagF1OFZbA2
kHISUxRpgq0McMPXpV9ZkZPNwTh62SfVyYcKxVFRGXvD9U3IUHZs6nC/mlZ41WAZrP6d+r9b/lmt
Ppv6H/Yi+Js/Zz4UGQr+LD4yBSCe9F8zn5dC1yQOKWQM6CL7xp8zX6HhAI4STAAIxAsLIdF9eA5N
9OYk+vFn/8zvb/Hm/Tr3TZgCOpAO0rMNTrHzf393LK8ntt9Wa3ECKdm0L0lwpQObm0GpLoTB78Ci
TB5KTVuQ9SBZmI1n5BTTU3BcbRi9FQ/F5GC2oZhSKvIZw0dpOgoqpaCW4GSX2DCZEvzUa2S89A1F
tfu+Bc62mERfhU0YA/wvNrVakRtodZo+XLWRAbAqEHJ/aWiV4LRDdg84BdsLNLpmduzXNdk1ZSd2
NjA1TCy+UC+9FodhJh+qTIf7n6IcGsVr8B7A1iS8RblXgP9Ld1np7aV++Ia0Zta441YvinTVFhsc
3lSO/EImRy8Kndho4OkNBgw0kypB600opYbpHiHzWRKJik7w9wltjRR6oDbByRMBdmpuKyoX8hyo
HLbdQ0MFG4l9sktDUaN+OJ7rPBuXvd7BlG6JffG6snEUYxoWcUOlCITx5I4aBQ9TlF2g8uMCNDoY
SbP7IajDDp4Ydi56EU7qST8G8kycVsNkIJZrlN6Jk0rJPjLlwgmr6lurwe2Lyn6PQaF1upCU5AmF
NmGHy9JoaSLHnpMKKWrXyis2nJN9e1DzYyTn16SeOpwsdhjPnGAgVLzDey6RWoeT7Ls6FqAIUFo3
Ct2dJF4kgQqwqPC3qpdiKTTha3lggOjRRCAL8nhpjgZkRaU5pAJ++DipAJ4TACD5/n0LP4GboAXT
a8QyJOj+meUM05OFYrpstl3bRfDWqnsf96c9oekZR+mm8QdXH0hZjwZpHWfRtZ91+1BTFjH2G1vX
J+IDNdIhC2Aw6yr2AkccrDNJ1oZrlsprnkj1WoLkgUsyJ9Ewa1aBgltfie84an9LoxITUHkSgoKC
pBXjBExYW80kgihJQJ5hYiGDSiYqj2KBDcHAzd31yc0QaxvYeKNNOBsJ4ibXzxERDxNdDtDaUiFW
rIlY3b6/z9gPF5Hc3A9e/01S61u1Rs9PjO8qC6wTOUOEodE00Zrvg0GtFJpl77RGXCzKWCLdA8Ka
0rQ3XgSbKY+klsqov/Fr1V+XTXnd6tMjNfenUgMXMYTEtVlROPvRVMlRxfauC6lISzEJFbkebAUh
34qG9ZwBubBFv0S0mUs33HSXYaXeFrWIeTI/9yJxcUOo3KiAUhdmIMIRGoSjH6iH0CgER4lxVIUJ
HTgjW2XS+Jz607COR3/ddhUKmcC0nEzAgK8QhIQwPnuMsjnsbk7NSIbJ3FniCHhTomwnTtU+JP8w
7aHfeTKcIDJcdOzE/TKpx5MkqVTYA3h7VXkEaXFHNTnYAo9KXF0aXuPQuo5w0Nm6QpKPlAyAJafx
Z99BoOg6MgE8X1Yd7lRAN+o59MDAYeMRSQfbm6kjKoYdSwI00CIcqe7nmkP04Dr2h2c9aGjp61nm
DroFVqA8SIL6GtMHAZNEqDHSSyYUVMUJumIFZdHPw/U45Y/ZG34RDqMxAxkLyIzijGg0BwFOa6tT
9JfVjU8mMuJrlhJJjg4SjMcR1uMI89GwIBxU3i5Nok3QlDdeUP7ER1wvQJzuR6iRs52vmDGSyoj1
VKS0S3QI61414yYJKnaNGUAZQaLMZiSl0QOnTKAgaTOusp/BlWHXf7NmlGWbE6vczXjLLIwfhxl4
OUC+jGcEJiHDOSo0GSrpGNzL/Ws/4zKNGZyZjeou0NPHYeQXlSxq5X0jE1mRf6ugmTtKDQNM5W5H
sBddE4NStEJBvs5fLFl9mirxZycxGaBM3BYVDwzKtrLQkqZmicjKZZka5w7wra94EgDFXiA9pjvS
dyLhVKdNHZymVOWapc7A8U6Q7QkYrMHmvghMcdPmMc0wVNsbtddu5MJ7CAxSCqokfE17qvWe2gPk
4HKzruPuDmvK5FDfw30DLZ+mxr+npLdTksLZ/L+fkuac40X46n8g25j/8M+jkv6baEpkqaDCeJNa
vDsqGb9BO5iTCzTuEBzR/zoqKb9xgOfgwj2YZiR6vz9vCYr8G+VZZQ4rp1jLSesfHZWkC5kyH4l/
DNLCzG7AJMe1+9ejUhhFQR0kjXKQTD0NHJyqDcaeVtfibRqmfSE7UjcZFfQasZDhamZk9bQ5Ousg
8/cKx5rnOJhpuGjtxPIpMhJJOvdSTXsi6kZsWXWXWac0b6atr7RJuCmbUb7lbCloG6kWiRu1LKE5
pZ7ibeNRF/E4xHEk3YSGlah4J6akfiGLVu8PlVKAMi/Qj3Sgh145ZbDWZ2GL4EQ1W4hAkSktrdIM
u+umHJuNiosW68cUxJPriWP7NKlkItlGGYg7GTgrqNoyYgHP+sANBhrPVVk1Lo7WcKc1Ixwgbypa
TJ6e9dzW7GB4lr1+wsDP+SHOgvYcyNozrMMnI/ZfIh1IMbe+1MEK/lo06atOrhBSk7RUf9CNcgiv
cuTS7zfZJGrLJhZaChs+gfOySEBjHxM2YlqESkCKNO8lgTg2K+69lyHUuzU8VXkTCB6GqlhO17FU
GUejbIfNVBTlStW6HILdhBM9xuqjmeQFY4ycOHiCow3qYqE3Jn212uOgm+7M1qJY6FXGYdS0aROr
7PohVjtOJ8HKCMvUrnwZFsJoRk6OlpZLW7woTOsVWpKwMrtpnUjWSQG2tiKpFjE1amHb99gPacs9
qHQnF3E/4bAkYiqXLNi24K+boOqPsTI0dNeJ27OSGV2E79SNSBY5iX4c3wi9plzD+MteI1GttmkZ
Zvfs7pVDdgg93i76Xbb5b1ljtjr/91XrkGfNK1lPH1Q23i1aRLMjNaOqSJX0d6LLX1oz6hfGXNXS
daLR3/LX/0DE6OS5w5OlrEqTj3/tD6GZ9hv0UlAzdJdkgPh8wH9Q1zDmssqvlzt84VjRqZWA+2NB
uyhIpkWi0n0z0XYrU7csRE9d4OB6NEzfzY32HsLuXTxdeWO3gnHryqV51Tb+nZdMsYMmRyEXMiaZ
eDxAivKFF6WP71K87Xi2qmgFEOW73qARA6u4KdJoLfoZx5s2R75WeU5AHLADPPNJyLriu9RkIUki
Se9yOPPAuEfQmit97fnVllUltCMluE9RFGSj9TihOkgKsyJ3vXweo/jKCpTnSpcehm6UHb0ZDuB1
c2cMYuBLZbRrW6RcGpr/+1E0n0IAwruswE8p9RoVjyK6i9vkSRyNaaOmSEdq8otIdl9PpfzU1enR
yjBy6MYNceIx5rfSyitAJv1dG4SPZiisezG/ryvB3xoyS02tOmnWHaUI6Smy9mEMjzOirBxxU1O4
+ZEDoeLOC9lb74/WTOPKQ3mj5kv0eCBAkKzIN3PQCcqcJn4s5YAjWxGt6npC5gPjI1HRUzRaFThx
JKMZUD071+p63enW7LPEt+0JewwO/TpvjI68k9bt8whlD/ZSEf2RqgfcxpJkXebJj4qO9qKRayhj
lbiq9Ildq2vPo2mtxYhDtUj4+CrI0OaEyNeSjPESJCWaz5JoVN/FaQxJeKIZZE6LnF48udPWjIbf
s07jFLWOaaEu9Ejjfj1G0HACQqmMhaFNmElVlD6JqIFlnjlfPuodR+87yU5i4pcSo8aRGDapw/WB
yRZayMJSsNqN8YwibIMFtlm2NcIayKqznvGqNwBbGBJdvFJ5GWdfqlpG15nETT/gyQmFcqcBDSrT
hLRYQzf3pSBtEjM/FNHwBPj2W1DX34vShO7Zj95i0nUO+VEbOWPFdSqOmk03NvmiIzCwDSn6TSYn
1zBIr2AgKU7cDWuqfPkSRhBYjVHv7TjfKDIOYfB5P3keu7woTmoVQPsTVzjykRxxCyw61IJjotxE
oIDgHu0aqT/kk4x+ucm24OP3+LQ3csoelEABwtD9Par9jRX4RCDIia2b9W1fhzdFK9zRK9+IWb5t
ybrJdX0Ti/4JmtpTVid3elzyo079XlWqHTGqh7aDQIvg5ipJu9XghXu1JZ176teFlW+kuSsxqhQN
g63PYYXSorIrkn7X1+JZDNRk2QIc8vzmoTe4adXqxGWwORXtnPw7GdvKkq+1sNjFYbfG6dfyDdN2
E3UEfInVwS8MlFQdKssRfpwv39R5fc9BfucN0aENMFb743UGDgVTQ3AfJ8GSiv+9Hxsrzc/XqR6a
G4D4K73rA2ZHc1Ayotmpkl2pCL+ojV2lQgeZRyydoK02nSU+EOeecGxIkoUlt9cAhfbtHE1PelxA
/Gv6QAF1bbTcMEiilYeJkpKZHZREf5pMa9ULvdtYXC7D7jGDT1tr4s+p9lsiKaiYAKMLKd1RkJqE
LL2WoVM7idkn5L7nGmvfoChbUhfIOdSTneW3e9WKN0PTsttL1i4IgpPaJTvPH3sbZc2h9zj8hFb2
vePwYgtVAufBWpW5dazIfINmNyzTUpQg8kjfQqndD5J6r8QCNOLoZpofIQfk74U08Db6MOP7neQL
94PYnRRJOooxh079/9g7k+W4rWVdv8uZQwGshTbinjOovkgWi71ITRAURaEHFvrm6e8HydwmaVq6
PhF35sF2bFkuglUF5Mr8828ckhfG/lFoNF+RCmDWleAGDd9FZVibvMUjonSzL0rKw+gB2jVRtUuK
eJvk5DnXtnEHXe6krLtFGGIrUmuXHVaYS2HeoA8jzmr6GqfO9WQ1wVlulWqvB4i4svygzb7Sfon1
1mR9MZS9dYS/MCWminFD1GFfDWKXAMQJETwnzLU0S4V+OjrjGbanYmMYuEboGNw4JQYX3BQKQ1AQ
CTvQd3XW3td9dF0CUI5tcONX9S7XAOQGYpLxctnynm+CMf3clCH6APMima2I9G4pYnukrAxbyywI
FQ5uIn2qVy59okbyVjO5+6q2L6fU2FWBx0djHLWyQpUCW65rxXWSFvgrGPnsqtAni87oL5W0DzUC
M3ud1ppI121fRndWFjUUf9s5FTnE1sxNZ2cDe5GVMHcjF8OdBGQVivbCrnhL46h2jLlbJ8g9fFQs
F3Zpl68nLSIkj1Z9EXR4RHZt9rUjCMG083jDCQOBFxvYlcKIaIBIbBXNzg/JFxgYSBZF53UnqKEz
PC3H73lFljVP8SIZyTuTcWUs7AjnbCtNP3dFIMAZbQLHSZPa4AvhaIsstoncyoIz+KDqmJP/cB8b
Di6f1lRpm9btrcu6zydoaRPE7D41SazpSBNYqx4F92RoZ3C/T0jSuxBusjGHeO2I6S4r/asAk6e2
FPDWJU196mJTYJT3fm/FM/lrXRk4FXXJsG2xrFjLpvnaxe3SSNwH05eHroeIjLcj0ZI4HFhwX+ob
WIjjynXCRyrrnS6rHcz5o24Nz34sTzFWs0hchacWgVXUmrxXk3XqRNmBgFzJXJ/hUAUBTsHeazmi
2ahAnqz8Yww8mybFVVPPEeHZtFeBfWYN0c6oCPFM1B7bMSxY9GQVMcIQhi0vvT67bvBm74pxXGV5
fpOTzAagmpwCle11XTt44G20QlsxlPvGx4QsCfeBU55i+/bZNuVpmhsnleSklS4ppOoJOG9NnPzl
4NMpjJApJz9cV2B4Vtk8Z6F3puX5suamG0iZbb30iSwkYku9fF/o0VUl4rUtImzVQOVlRi7GoF/X
iQazLde0JZG6hJgEa2IAN36HU8vsI9569aaJjV3Winv248s0NoaNpUFKx5KS1qLEsS0tqe7JfYpk
j2iJYNFXYu0lrKvaICXsML7zPH8r3elC7/AFSBrjZuyNjYzV54LtBXgfEYdaF33zq6JbDnHfrptQ
nuPed+4H8sugN9iPxQrLEmcbe9Hei3RvEwRkEyfTsxqt80Zh50d9b85swc0SFL0FHg4uH47KWPuj
7R4LozjJTVDQlA1X2OiXqamdpQ0241ogN3UNi963Qux0axh14Wg/WD1UdY9KA/FwOBsGF75wX3we
rOlSafaDELG/UVF5r8MBXeh2u0nqLoUlyLt2fWPnzaWnhNWMuU24C6o0XloqOSiI5UmgTUes2U6V
EZQrAeN4VVYZ+BYGDOVYYkDKn9COrowOZ5ZoUAS3Z3uQTlx4mpY82fnUtsz7YbbMiXUs2aqBgbMc
zXMjic4xhV3ilxXunXCqzxSEUpyRJYYHaXDSV/6lV6cPiATM3fy4E6YLfSfnNIeYIB/csLnOlXnJ
9iM682SOCYnaB0q/EaSmTIWlw1JugV+LlZ4lZ2Wgb1vHrLDtzb63bsHQKwUQnHuTNMVJBC6ZsMTo
0n5Y16K5H43yyhvKOc3AOY+N4DzDazh1zPEUV/a7MvUezEFeQdorTi0Z5+sWn/mNaMyHKfP2HlYT
y1iPQI47frBWGpvCiDAszs1uF6eYxtYIVMhgMjNdXg9GLBgjqoodk5uOpmCBIG1tLYzIn/65Rtaz
sfh0MMFgAw1x5C3kIyJdH4TIo2Os4Avkh3oaFp55/WqsvPjJqXlN+HxHT8BAar4IGc428ZkzQeXt
RRKfBG2triO8yPZaftC1kEyDm6a/+fVlZnjqFaHn52WcWWfPwhuY/h0Hxtd1jylAp3EX3/viVpO/
4a1+8PPZV2Ipj7M8H9f7z6r2Rrso7Cw95j032s71H//x709On+AT4oOa5VhvP6bAmddKVpkdXeYO
68L6w7X+b52b3hFV//L5vPuuCUY2WDry+RB5o2XLBOtmfEXZEj6n8erXb+WDS2HMQjilC/kW97Z3
X0XqsuXopyI5YqgDibjRFzhrBeaSYxhvll9fa/61333tb74W0IbXC17diLLOsdP0qOSSrQHhwTxa
1NSx2/z6Qh+9qdff/7s3lTuxB/f254XY5ZFAP4QbzpH5KFa/udfmX/r9m4KuQdoPp6MUP7xBXm2t
pZWLgoM3P9Zy46eP3bC2/Kdfv52PbudXl3h/u001YGFg6fkxdx9j/8HU/he38xwDA9QJy876gd28
egtxmVqNqYn8GFMBWTul4/+ieLHX1zEGljw29g+h76sr5FpOf28bxXFyHnvnvJ331M1vatdHXzo3
MRQdcw5ynKWWr+8uoudUji1WdkSWgUBs3hNblx2WZiz45W/u5A+u5eq8DWE4LvSI93Uy9F1AttjK
j+E8U68J7w1J2y7ZBG7F1Y8v/1/IU1Ae/h7yPH/uHr9xH/+FysWrXrY0AJ6sfLivTLI7f65i/iOu
NT4JV9ehqaOehU9CBXgBPL1PlrBxSOTrm320DfEn5kkKqG7BvyLTE2HuP4M82cW8qQysgrC7clDx
UlTBXfkt3t6QpFsrafnReIzyCzk6zVL4zN5D490Ok+gX+ijKhSfyM3dKr9zR/DqqVFs6EBMIukmx
KYxqTOwb76ROgO51ateg2V+9MDmkrXeHI+ut7PPvKFA2pWYrQmGch1RlauHWNusflh66yM4QvCC1
8TsPpSe9rl6iuOIwABJM7thkTHjG2ehn0C8JHBgWhbDuMSS+C8bpq+a7wHyJt+vL9jaJmovKM/GD
8o0tDNBrLDpui2IIzv2uOSn6Ti1GrT41XIamgUSfbCh4z9MqduWidNt96+JBZJM6ykOzyUPtc6sY
EFjCwpc+5xDaTGZIoXYcf+3nNbKMvl1BFdiULuJeie8atuffIGcc68Sw8Rwsx+sJN+2o88n/UfVy
KgfiFGIZLXG9hCeX4z3oadZDNiUEDva+Qxqinp5gWeutSjZdMIr8LaSbeOX2M9LpWStvNOe4xGkh
DXbwiPCYUKw79uNEIwUwEGjT26DButEqoOEMNjjprdH3NHqIfssQq+NGD9dpjLYALDaIYeiFQWqu
/AIMsuyiM6b9dVKPWz0ddlPf2esWheIiDjA/0s1u6Uw+fpnI2EwHJh761mcVW4dUxy0SxQKLsASn
zZobB/vS2ybPv0QI/HwLqW9akBRR78e2PR0qEkLtON8RwaWtw0TNNsLdwdNJsUuA1sJQ/zya9kmm
wDoza3wsDau8NTOEeZl5ZRAr0at+DwtwO8SxD5fHh1sU+Tvo/sUyKOXp2CbGwtPQtY3aCFMwc++0
DsGnXWqb3hPIxDtYUXApXL/fTx7+knqh7IUZ5MSWaM2SbJFtFIXOQnemi1z4G9kiktIgQVdVezeB
C6SW+F5IPjM/Zu5xAeL95Ba93UOQVRdDyA59aFy4NtN9XWGQrUOKAM5zlkSsrvOhOclah7s5nu47
FKXM+I/NGK1xSz2Fe4JJqHqwo75Z+RKgLtEZvdMqvWnN6jbkmF2oFp9o3cHsjfRONcEEa5yH0mMM
rlr7UCnnagrNrS5JiUTRu9VHlMht+8VygysCzjaOkR9ROR0HpWOaZk8CEhQMrdLOz6akOxcy2CT5
twSGTct8sa57f1tE/ZzFasKmscaLiCgoV/f5Nz1rz8apMfSph6Vvi8fMJ7TQ0hPWcTVpoWkgoJGM
N/aEuH4oUmchK+eGXJxTFHsPkxseUm+4lELbGnpCGGXpffMzfZd5LreRU5JAn3ED+rPIc1j7sXjG
P0bxQBk33Mb3TgPz0/CL8yZCKejJb940Viz++ovCB4DKasNcwl9xcHbH1ji12bS6DeiOlQzpxZh4
VwlpJ/NgXO79jmT2bDRIqLG9r4PfPCZpeeEb2MD6juWv6l6H/jWW3rqKrVPl1ubFJF280Yswv2Rh
HF+r3HjyRynAP6bbqSjO5BR8NcAs2rQdd5nvaesmEedhg3V5rcIaXSyAkpc0z4VyJjIAwoTMFTVr
p0tvoRqPTwChIbUorZa+WZ1NhnPaCOMkao09XoFXFbgXSlO5tyfzHBOS0yLjXUZJuVJNqINFaeYK
dv0qDrMWPNj82ZP/e+TPZIm/P/KPmJwGzx8c+bzq5cg34JzOdFTYT65pOLOK5uXIN9xPHAIWIRi2
Sw84m1C/HPnyE1tMG+o2RhxsIGePypc1p/wkXdvmf/xYC1Gb+Cdrzo+IGbS4yFSYYAXqJfddE1ra
BLb1ju4fiBwmSnVKEw9SNbwFbSj109ypCU3VZl6DGYcnkT8+uIGB05ATP8nOMsB+rN7ZQW/NunUp
8ZPVVanWA57/hP/YYXFHopQ9LjEUqXFe5fFCnR/ZgqKNg6yZ+tFz0+p+tRG5xYFUwzHIAQZz6uMm
hCRbrpu0FrMToEkwbxWjqIcQ6S28BG6a33p0CZHCwi7GpBk6QvVdc4OBZxpCmBX54PCCIuIaoMcz
7VCTsbfBzQDkbwzg31aohQGu1VScsrk4TFN/acgJB25v1p+cmUW6x8h0PwCOLC0bI3fgWgu6Qteu
RG2GZ8okrUFpFzHP/JXy3dNGhRxmAW0IJlekq9ZFtRRan6xHO4bQqbR4BaPiODT1UUvw3+zZIC1G
wGBqRL8OoQB7lKaGnLxIjtX3RDbXUapf67aRYTScNvmFVibTQZpQ/Eq1CZQd3pMJvnSgXvhEWaCr
Jc9IFuF3pyZwUChQS1GQzuC1dAsyu9Zsq98ol9PBwbV6VVUEr5e8XYV7ygDrdOFPjr0SRh4eu4BI
r0gR0SXhyTaDVlzZPRAxoVGQlDGV9mBtKGGwitQOREFvOptskrFV5m3t4XjEuQdIjK+8jrX2gkZv
ObAZW0zKUQ+W385xBRqI5SLHs3lZY3W/ffUofoAM/WXM5YGb5V2ku9BwAxi8bWZjPex1XP3jc4H3
9kamvXgMRz6nniyjP3S6/9a/GRz4+/p3kT4+PVcf1D9e9VL/fow8MBT/4HHozDUv9U+gXnFN5h0b
YA3Mi6r5Uv/I+UOsO5P+0VQCIPKql/o30/sNcLh5lrXxZPX+Sf1D7PHXmQebZBfrecKlZv3m29uk
G/vObEynJ1+mAyBuks9FN16RK03UsxccM6OMn3jEcvK85Q2kTppnqfnXoOjftVDfwEQxoWRiOR4Q
bEw+Fxsph9UTZrdfqwBLkSEl0YONyZXppQGDSOHj1uwf3Aw+baicr62Mru1u+hwCN7DlgUgqlLkc
ihAGlqNOpKozfuLMUPXyzZSKa6616hsDzy7om5BgR7x8IaYt/ck+NIl3CwDI5jYJvsW1ezABtnVz
OIZBvSscmkMasEsR6vrGxLpyEZvdxSDYes4q94UjiCzFD2Duk2C0lUuJpmfPLBtRro2dgT3SxmtI
fWW2ctftqORaJv7WhpWODXtG0VTmDQkoi270Vq2U6xYK9ILMs4iU+nE/GWSMNnnosn+e7izvG3l3
q0oMh7rOTpyuuW/1KVqqGCMec06KbkfmO7vDMt8axudOL/ad4WwcqWHpo4d3gUGRJyKXlTJ7FnYD
DFnTLhYONkUQ10zCDIvqrtCsr3BcTp0iYYlEdA92OWVt7Fs/uRQjfITAsq9cPiE/cjDlKci8TtPz
yvSu7Ej/mgyTvkCwTpuok0LjOf1tJsyHGBSV2krubJebG9UaqKQH55S8sxstZVlnT/pd1MXpos/J
nZf+rRqqc2gIp0GV4Babps+mFn4ZOu1GSfbU4XDVePZGt7X7VoufIMwzZeKsvqwUKXLTvEklqeO7
M47XeksOd2l6B76ms54MAc7ElW9+ZwO89gVvp2+njXKKekVKzXUBVciO3QJuurOdYuIJqrz4InP7
QRLBtiTK+9Fse+4vAwZEFuTsaZvizOjSbz53pFfJjNA3HF1S+6S1x11hN986zUSRG8ob7LC3AaUf
iUuJqgOKHjrRYeV49Kq4r8YrLcS7aJTuLPBI7uKGD2liyF1YjC0LMxNXja3Wnsoweckqb40bhzrx
MbU4F21xN9QPabmXPHMPuGPDkCGiPgw4UabGhLU+hpdjX3l7P4FVUTj1sDU7tsd625vLtjSwOWxD
2l9NfYeM1HjsZsuG1jz043HdZEk53XY/ZmKrG1ym1cBPzOvcl0yYbL3uIjMu1iYzNYJvcgWYsofc
ZNye52435gjPvS1CDkZyw3VXeE6kJ+yNnHWGrQlrXflQdFaMTwOPWxpyS+d9QwrwAMcQJHOpRdkq
cL3h2lUgAAUshyGcvs1nL85b7goe4kYHS2jJPSKvBypWbrvhClECOyHnfDBNYggivEPczxHIROha
/gIB3gY62R47WoK7xlUKlpFG7UbN8+sEylEoaEwauIcJnfY8BQlJTPuaT9fYlmAkdcycCmbigZ1U
RCYsA7//WtvmXVHI+0x3UtzDMBROJbBASQAXnJM7K5yVQRNcXlbr5/0M2OQzdJOE6ZkOlsO/FSgo
kIqWjfXAalCRr4SmVybfR5AgFTt3qowONHZfqxpPEz1zjjbYkd0WOhzYUC4ksAebvUBb6r7xVR/i
K2JRzvjyAKHiiRyvxLnNOgK9plQ2RA674ZrF4sqeZx0gLuR+jD9Fw8M08ug5DEZ1KPb1PClFjEyo
g4ANjBOdUcpvmzMc5HBVmaestLdDYpEzbyGjLF20jhuvTFKo1j4DmhZOzabwSiIKWi9CAaWf5/M8
182TnWDEmwL/URuzMwjBt9o8AxrD+KTNU+GohmFZ9fCIajNfZFizkcVRPvXsTaCz6GrJ0HYbufYp
4pmnaAJ/w3cquxlyMuBycYvFVrb0Fd9G6vgbYA195fq0V3a/dzLlr3y7JT2a00E1iANISamzlHsN
BghtW0qeW3VS6cbInJgG+ZpxpMa/qKm9LyIj0/JnlMe/HZHFruPvO6I70N/2o2TE+WUvLRFzH9iv
YDGhw8+hRvzZEiFrtBzPYrIzPVd/MxKanzzdoE0xsU+xfxozvrREEhqtiekNakfH+PFX/4D5+rZv
BgQmt5COyKIlYm+rm/Ryr7cSg64FXVXl7fk0JsuyIi+Feo1Tx28WEsaPneafe6gfF7IIYGSMxQEE
SHz+RV6tWIy06UobCOdcby3vllxBzQZETMdp57quVUH2z1tzX9f+dB0LFHb45JifY9cJHlQRoxYM
Ru/U4M5fKES8w0U4yis5Fl2xssfAqSFBxLX80g2l7V70ftl1m9ggmaQzu2hhJ1p67OMU3DZSqhDr
ok/huJH4RkxdVPv5fZSM3tpyEdis6vzJSs2elkIRXd7qirQglaTEdPj4uKWgZVo6Zy46UV/Io97N
WYxdGh+rJqGdUpDlQ++CFOpnrJ6+5WWw8Wv9xiH8kHq5tTSSHnnKKc8qWnumv/GytTVkex9BEvF6
GSRS1G/pWH5HFXc1kSFpkCXZyu46nYNQerOKH5yEA3920T9ojqrOy9qyT9LIOygvSzmHBLbAmia/
m7g+7kw/pGI1DOkcV5BUUo10yt49yMY7xzSsX03C7Va0UmKLXvR2NLR7QisopHEIuaxpgNBQRkNX
IW81W7PSiNbsuPgRDUS0xK5uK7ORw8p28/CKWqsBZhnV2ht0WPsphvAgGsS01ElbrUytQqRpTVcl
0oGTUIOG9+rZ+2AEFG/3kD9uMawLdHw4sHqQ3NZvbzGIxWUQQIU7r9ek5CJnvZ6unYWGY3Ozy3dI
osJVsCYtcV2tMU4+MTdyLXb+8neGUdbbIYP0C8IWHBeqAmOOjl7+3XoXcKJv8Zgrzn0RnIBEDMuE
qDvczkyyvpzEW5esBTYVvonRgk3dIXAqNO98R3BTs+XoYAHu6+PCFdMXeFPepsZgDiWg2mAv+AVI
0lrAbObMmobPZaocfOew83PqWK4GYocWqOcz+q5hPUo4m0a+jAE0StP1Z1O33SQ5ZoXYkgNmcFhX
3BSeueyyfBcPcN4lRJZCJ2+3D86ED6SP/N7Adg2yXhbXKx7i837w5LYM8NsiOOQ2wI/TkNmhHQiq
1ly11RNuNMcryarS49/sUN+urP7IFYGTTL202ai9d97x2EvRQ/rVuY5KcUshoFepEMFoUbimxSPY
s/xdMtrsxfBugc7Y+eqa775NbegQKiVBjY+gBMqoADaCYjXVzs7M8MgpfZ3sS2jQTkkAUFo3C8vM
R/hJTDKuZp3he3evR1gQdLX2nc5zo8qSsC37UvenJysov2Rw95EOlOpfLYoBroo8hOf678/kq6h7
hur37QOgdn7hf05l89O8hhfmfO4CHL06lJ1PNstX9qGgpLgG8X2/4BQ4ItMSAsYSIYha7i1OS+nh
pAKc+8MS+R8cyj/u49eHJWIXG5gYCZ9tC8md/raShSKHT0fdPVRFWSrnTEvxcUzhU+l1RpSoGSdH
rxUygcTsgw1AR5s2Bnpvhw6aPG3sSdNjW5Taos8GbW9ZuTy0iTauelHnpywksmuG4f5IlKg6y6Om
eEKe15+IrE+uTaMnRr2I0VA0g/NMyJi5KygeGyOucD918Er+AqLA/kjraGmrniBYL90mwuAwSXPr
K8HxxndNRtOVqO2oxXgyLzAfJqNPdz0AQbtcDSIWzNhkDLJpSy6yrPVvBD5qV63S0vBajy2eNwTH
RjkhRwupJxXIOeeM4eSB4IItvgKsl8Dbq3A19i45ZTh+dpdVZbisq4pKsNeccGc9x9czXmdWVMa3
WjxZ86YzcZzlIOySdMBKIsy1OvyaEO7KvdllzXoCilo5KN9mp0i3UQQ2z2i13lWeddrNQLb/A9PO
Zngb0xWQbq2cUe8xyqXcjkYd78kJdLxVMZlXk1F3BNXN4HkBik4Gb3iibJwxDxYylz1xUlF3Nc0q
w7Gy8kkSVgo8dci8dMy1nxjpv1363LX+fUW4bhvUaX/FLedXvZSDGZzkbhHSkrP6FWrFa9zSM7FB
ZwNjsNqZVyYv9WDGLQU+TOxn/jAYeY1b8gzzHNjwb1zb+Ud7G/qoN4fQT64GCCjOKCh+uZXfdc+d
yEVTat54xFqv3pB/la9rikGCMMT1y1NXjweLW9uCv2z5uTr0PXhGZm0tN0GVMhumRqFunQ35wEEU
YzPSsqM1uXuX6SjrjTDoB20iNHcDC/BLYXKe2WZDoN4YWNs6Lu498LwllsBPeckSwwinyywi/Nrv
i5TE5Y7oyMA5TvD5l3nRcSIqHE+jop8Whov9RxsFOZY74jKRWrrvMhCPzLcwSQ2tneYM7HCkX++N
pM0xa7dzCzlGckVn9dwn5XUBN0FlfbWqwMz28aANJwGuv8up8dRRb+0vPLBXXslP8Y3kQMHvwbHa
VT3k6crvvQOzCAFhSIQwabnUE+j2rbr14vI0CusvuoZOTGX8slMv8NCNz0wL3gBD9GFS7rfJAyAd
R5yhXdGhwShmC4S+XGqYRi9Ce9h4wn9KQlkvLLfY+KCljlYecqHu4yijDcJaYZZG4R5gjV+nSJwb
GI6se1ddRZAvlnosS/yfJWbvW63NsfwMZ0BWJ+exrAp4xxU2IUwMOAvoXs/k0Jy2hreBa/88uW60
tpwO2jDTk1P9MHsZwYLbWi3NjNpaueQTegE56r0wPyNJOrT44q9KU627QVirenz2CXUUQs3Un2CW
HX9vHXobJ7HyVWNOxcbQGyxrUnHhVyOIMaG0YA7qMqymR7fEGMHACn0ZpliTVrOhe26D2ormLo6L
y1bPdAxGcECZ7UCmcmOlGWkpMt+2hn059MFnIEAPzUkNTop3dKexU3Rtble3BuQiX7hZOSMuIE6a
R9jU1OBPc1pdVHp3yo8vWPqVYLv2qd+7ZMWW8McbK3rELiUAqC0enUFWy3pA91Fr/rTzG6bBvklI
Vg1gqmai1ReAvGo1mAH5kU1w7fgO91QhxQ5X9kPjo8JrcwBcorQ1wDoEUtI0MZbpL4HcsaqQBFcM
GVoR9ISZLXYc59BHAu845HW9SjVhLZ3QQPWDP7utDPpCPLrnIL5jwZlc4baMHjR5auP2c5zJr2rs
L2Kz5YwLsmeK1HklAmTTpER2SADWsYsexq9xb/HG+kIq+Q15qJrpBDuZjl/72DsfRH6NCiFeZtYE
ntroi1qzgo1rxfFGBYz2jU92fFFeioBeIo6T53hiLh2Fj/d3T3hnqtmL2sQ62AtmNDnoeaijdK2p
5HMO6Z+zls1qZz5Wevwlt1t4WQ3DncIwaBEVdBiFexdXGkKr7gTvbX2tD9baDsF5C0QsbYG1DkjE
Iva0h6ZE1BMXZ0UF4tY7mEuwDb1vJoFLcSC9Xac4PuvMy3a9wY1X1p55FEnhaqsSQ+VvP06Df4/F
2ZbhF8ciVhOL5yp/rL59GBMyv/rleDTMT4bEbh2Y6ucB+efxCOMBiyX4CfrMJoSw+OfxaPE3zMJE
DjpMaxgW/rnWk59cePUEblrs/Zjn/pnfxJxg8mpGs2i6IRhatmNBikRars9//wpc8gZLUwSIhOda
4oqVNbdx7jTCj5lbu+5Hl9cw6yKSGzW6P3g6dIJ+X9bxLappqHg/esV8bhsZxIKByjW3k6jm6Czb
n21mMJQTTSdmSjEtaPmzIZX2zIpLfnSq9MQVbWvzo4d1mwbvJ6sBYco1dO8LXCfim6xIu1sTHpBY
polOCISBJ+5CYJexUQrwpoD/sBtDHuzUap273Og0JKNQ9u4UxKiB3byaxqWZT0a61OoyR8+h3AuZ
dIodTxk/aJaydrCoceRir+MfgSQDd8EaIzpMNTxH3LCmLFi6ke0vvUJgwqRny0zGLVIKJzt37Ly7
yiByrCvyS0w0pXm3azXfIhW4dL+IPEMp5DVeMWEu39qkzbqR5Sxj/M2v2I5gCDM1WbRLK2d6yoSG
rUxgjnW+HHWkimLTelaM1ZApWxTBbiebrVXxhdSrCIOfB9SVhrFOIIOuzZgsjnzNREATT0PeTR38
zV5Ok8eB5vKfjaoKto7eTJd11cVf2JbWl55TO/hO2QasCvgaN/iMnHuyVnDCND7NixyoU18H9cw1
DPyiLfehMFr/6EYifkggntwMHoytYGG3ScwyT4/SnS5zwgmANfx4XxpVPJxkDukhz3bvBs8eZgdb
FLM+itiwmIEUgLJaq8dFpiGISNyovg+loapjqRFsDxPuJ6r6b+WSDN2/rlwbyFhPUf30kVEOL34p
XOQb0bHDxYLtbIO+U4L+w0eQn0CpIVPP7KqfuPxLX+98IlPXmdvf/7zqBXwHHMBK0yKu/H/hKfgX
wJLL47aM2er8Q80ZanhdtqxU193Yr6bj1Hwuwefalzvkb5U680/4E0hwZ/yRnwF6RYATddGcf4NX
hXFSvq0GJY0jnRDLQpowYn8snP93r76AD7DXt+/kr9d5N5+QDqHKKrKMozW7dFZnvfPt1xeYJ7Bf
vpMZGnz1TgKjzEXL03QUg7PozFvH+14gmfE0kJBuDSVvWXcPqt210UWDV6ERPVNUA3JJissmvw6A
KRpScKxg7WITF5iXbXzdZyFZCNlvPoqZoP/L33SGh1/9pjLSfLbE82ch15TbRak+t120LAzz2LO2
9v0Edsl3B/utkv/r2tHy1x/VzKT5yy8AycWax09QXPGOC5XD2Ws63RmPGNyQmmV4VXqWoHtplqMy
S7X0Yj3HhMBlqzIwuLT9lcESlIpX4KOqa9Oygi8OMQWUZdME+knvsQXbptm9yORJ7+s1loVabNwO
EhBWJh4GfD6BWnkcryu72qsWH4qu3BjNuOqacRtOx86O1hl99gxJYbq3Rap5kTFVTDFulPc1zI+g
vqmDeS+RYg9nrzpIW6LHN8Kii55SzkC1SsihADyF1IFhAehNNBrLFuW/o7MYIYm9vK8Bvkfs7Ms+
PzUa8zKOD/GQbTskULcZWLGSk1wX3k1j2iuTTXHcDTNzMDARr5XuSnczc10k6QOUPOBu6Gue5ddz
5MtvIit/KKL+fCzncf7Ng/9+GdZHMNWaoZ6O+lbu/P101nyWWzT2x3phnDU7bKPWePwtx40kYvIk
I7pveND2yabZ6lv7EG3in/vbvy0T73D1v5SJd3ijmaatk823bJHsmerzflURNrkhWuXXt+ZHd+br
cvSu4LlRNqVhyHW0fJHeDN/KOexpaYoV/civr2S8RUx+VqTXD8H7lpAnppJeJI6hXDItDquWbTyi
7Jq2YhkcQQl/fcGPKiDwEH0omx+A23cVkMTwwXFSKVg0soCbvnbaxa8v8FEBfH2Bd5+dns/dWCDE
se5WLbqFXmO8/e3u6qPS8epdvKuy3uDZEw724uh1p1N50tg3wv7y6/fx0ZH0+n28K48jZzVEVEsc
MQKGL4fQyL7y4nMvHP7/dEeH6Kkq6uJ783/mvuupUGMVBWHzP2//WP/8c/BczFGLb/6wJoqjGS/b
52q8eq7blJf+fPDm//L/9S//EJLdkCv13//1+I0kjFVUN1X01HC8QDPgCvtv//1fPzcgFv/u79uj
mzZ9rJ4/ftVLX8TUhg2+DhlcEO9ozZuRl77oBylBgsVDE8ckcA53fOmL7E+0K7gH6nPBmDVofw50
sx2XZ1DXkLRB5jT/kc34X/FOLoziE8YV/zRwLX33NAV+qZd5VkBLSAt0xVH7pRp7lpEJ3bjezUlR
6WfL8KMltp6HCKRrZZG2tKzy7oKYv73jkQFWW7hpeF0JABSdhm18wNeqR0IWXet68g1PZPhfRUf0
mNbDtOkFbkMY1fm6HSz/L3vnseQ2tkTbX3nx5uiAN4M3IUjQs1jeTBClUgkeB959/VtHba7Ut29H
9LynUlAsFYmTeTL3XrtogXtM6vO4MF1szRevRkDuksKIhVbt8RctAeQEZVOPMXUK3qCD3maFfPrJ
csu3ahaPQ4xlSHTM4kLbxqXV7UvgzJ2nPIflDALUIdo5OQ9ZfCIz8q0VKC5wyF0bw0IRGLkYUmhi
yE+zt7oOyEgTr8WsztyMwGCITmo18nEH3O9x1iuSlroxMM0FZo+MuzLHBKIJAU9AXrDr5Pap7fIH
sCRkr0ZEemTuHT6zr0xVrgliS5RaUMHUKO024The3Gp4wZHzwcTsNaw5bkT5QRPr+X3WRJu+xADQ
OsU1qrwdA9QVqKE3IgmGTZW7gJ2RhyIfFR+j5p3ZOHXrYm4I+tINEnrNwguSeiCmTXNOAESwhoWn
MoKLQnZnMIsxUJuR2a63i3Trbl6Gb2jzPilMD0YSbdmZvMDKLdaqww/Jh+Sp4J/HEfiUrgIi1tF+
3NpDe4696VuOw3odKupWYFby+4YzuVD1ZzOy7swOqBWk6gcz0r/1uj3sZ5wHK93q+4Cr6UuhQDYS
MQNwyL591ydr9GLp1rbzV8HiLaAvuuixBQQiY2AIAcZaqaayspcsUJ0qXRGusq27WEgaCrLWik+t
6PTR1y173ZsJ3cniBnbSttuwBRwdFvVhKUjlatKQkMxxuXNyazuWVtDXJuiuJURBmwGpVbuJoOel
Tdd5zzfOcigA7sKXeG75DAu9ikAHLfcCC8aKOXoQhUMQqv394hqHZMwMBL85gOQ6jNZRjlBv6LOP
TkwvLgtARrvVF1UD51aKENEas3Q4xjt2ZIovlHinIuVcK05W+iqZf/asYtqicLeq4u26eASjMrif
0KBP7kT0YtWCKUEZvLcjiC96D7InKrBj1tYh1NE88G0soA53X9req3y1wTFpLtVyLSZbP5ol7GNo
4F60z3VwdussG5+B5RCY2ChtnDzxawi7G72TVBwblHVg4xsrHxwOZrE2uwozNQ1vG/vMVpwrgMvE
vhIDGF+Neopek77atDlfoZWkSl4qQClQl3BJwbZVrWgXOx5pk7Wq4Omwpls1V5Cp1omxmZzBsFa4
9pf15Nptve+x0TCaTKbvIE4jR3s3Y/Yc81vYDlMNOtTQX7IRjMQ5L6uecyaPtfVkOx9q1KPgzuy5
ITF6DIUntYamVcOM0p3oQe2cvH3VYc+E69hY9Hhdq4UdvmVWAkRa1cm4XeGd66tfW6Z/pwnG368H
mYOe3/Ha/XfFlC/8vWIySQC5S4QZBe43rd7vFZO/snQSMdDyYZ78aQTq/MKYU5cJxlzGZDbHfyqm
I8cPXM6Q//3zdIKfu8/vFwpPpyJbukwm0P88AG37sa8Lex5vVHFtiKicEYv/0ENcf72c/Ihe4Sf9
06WSEa7NO/E/lDaNP7Vt9uhkRu/0/U1rpofEeVLUGw/YlbnTwus4XNDW/f376XLe/LfvKH+iH+7R
EmqWMOjsIcr0yooQYszNcyt0NOCRaG/HRriHobOqi52xMGrtwE7nelOHE5vFruicTRqV9tvEYGRv
G8D55hoEo9YKtMZufLJE/lS6euZXjYrOPfvmTcqLTL4RBEAQHo3wPY0aKZvPLXKRY3fT5IQwFFES
QfKzty3FOWBVa+DLSsQ2nKfST1BAr5ymJ2x5IRQM7QQEWvDpfXLnDsORPkygGxxOSh3yKaWsoUIE
8zV2X3PGUG+PtyHbxRUZuzshtOuALJrJ+75U+2SVpdFRYE3oDeWxUTSQSuXbsBhQx+Pd4CztRoMC
nnTm1qxQ11HXWU9SUZWqodDE81kQiXLvdMyoGUszlL0XdWxzwleMb8t6VwPD7G4RHPIHfdFM4ibn
2tshl76UxcJQue0W8GJG/SVT3ZNtj2dYfqfKSfZTBkbZC8HzZZd5sZ+13ONYZOAJrkuq3JIPgm6+
5oqwWIKa56kyqQLGesiqUxeOG+waewINrioOlDKsmQXPp3GeTr3LArRbCtWPrPHYDupz3esb0xRE
VJbLIxkZ0SosZhKs+/JaZt0W+NolW7KDKjJnNVU20MSO1qOeXKrekCEzh4TRps4jhD8C2xQ1CvSi
wvrfj902D/X21sW2f8oh2Qetqx/z4qunjDdm7N61PdZhDaA1pL8m0ICihXly7UvlfhwQ5St8LIDt
N27igUTrvjoxkErNTlm0jRuvL3rsABrARTl0mG+7XjAlZkxmj+Z2bIZAhW7c2TiJNHUthLhfSvNa
hKjJxqkdVl2eDXfTHN+h9NkjLFy7lftCKI4/OVbzULG/9tOk+Vbi70HYs4W5gJmHgQroIfBww6c6
RscSHGJtssDnBAOhCW6W5nNDTgAW6ugaJ8PZtNJdbRU4/a1N7pR+P4XHtiVpG895S19ptcoFONNa
H5W9ati3sxt1QFxZbRqIWGvPeDKbVm4QyUXPylHGs867jCSTfZOXEMKARBqzcsja5YGBPLnleXdJ
GnGfDuo6TWGd9iHX8t7V370+fU8dF2Fdnq6goGX+2DYzq0+adCsc3N33Y+bfoscN7G/uiHDmu/f/
43NRfP/vsidf+kfZA1RC3WNPx1Xsu//uj4uinK2DsIIqRCqUhw7mPxdFXNAuEYxUPNORtj3GCL8P
0O1fABEZOqgwvifMAdx/YujDHPhTkaAcuSojfNVFzEf2FVidn4uEo0VanjeWIDMVxy6+GskWIWZ0
mmAv6FOk7ccwC3KDrOsCWQaUt/i18JxDMZBoSLaTyMXFYRWUWsrNooQb1SzAlqaOOJFiLG54tJ5m
1XxxvQr/RTtzC1S6zTBnD7/CELsFdGzExEykzu0UYfwnnTgldh7AHnw41xrVjTapl4WHbO0t5rCN
ya73M66Jq1LtwLaSpbykyG20CNQdtOkl5MLLhVjsenss1kqIw38GcTfPkDwQ/1jrWIbmDIP6OGhI
JPA4jXqHMtczM99WuSiQivMBAjn2q4J/t/YQD/cDDA7Yr0yfy/TDSzx3M4dkXvQFcbn5HO85c8J9
XnEykMm4ESU3J5WY+aNlKeMJWDMyCCTCPvLzR2jueMTzTmOclt4IPEdWOuMZXMyARvqhSWqb5Wb9
SL7RTVVriAgMYLsTRiejDvsVGcz9ulTyyh9NlVjqht9pVvfnCmEJCBCRB8ugbKvGOkCuImFmYDgk
p+Yj89pl1HaOUUMAzJKvg2aco3K5LDpZ6AD4UBmlzUveKX6I1kA6xU997KarCtcpG9/eVxZQ8SJj
5t6K1ICzgGA61+09/f9tFiKdMUi5WOtLtKnNwg1GRXzUOm5IXW0hY4wbs1a4ThanokhuaEuOhrEQ
L2S2x3rgOxP27bVO7G7lQnb01WHuNybSm7Yk5Sntt3VtnB0rZoTrCcWvoXKD3C/XWaVsm1RhPina
80JMAp9e0nAQ2ne6rZ+9KpeM2mFC0WOi0IA8uzLEgsHa7BhkZiowrDHctEzPJw+G2JCW58gM3+aa
9PVccbdRa9hrq1OfzJocBYNgdQ1E21x3Nlfg6DYatZM2FeslmvAReF8be6wINm75Hbb2nnuPtlps
69T17U0i2lrhauPky+c85WTFFwVxAtVTxv2ILHrSzJPFPJd9Vh3SznsVmXoHnPurW82EIOAdX6KA
fmxdtePB65SgUfWjyONLIsRhStsLAeLXoQRHW7dxTz3ux70dWt8WW+npxEbD3CZ96JAYUQ7LvW4v
56ims9HyZAwi2e2Mhs37mtsqb7aj7IdAsuxGGqTGem1lv1T03mNJpc5ppBp5DS06az/SYkVcPfsF
J8CQEN9p9bccdghvGKboFkaNBD97SMNmgKBGHSFIh+uOgpbO0Rw/nKP7Bb/nypZdXyz7P73peFAK
0n28SKMBkn2iQcOIL57UIdlD6rKbFLKvVHq+ORDYEQnIrrOg/STs5sUxy2+CtrSQ/SlcgqeFWAxL
4w4/yR7Wkt2s2oTOykmrLy4L+pOXxWdIlhwTqnotRMHD4NTazWjkn8biTBsgep99i2+5sKc7Y5yr
vVEOb5ooAuR8L3PioPKqA69lI1bQMfuu2ZpbhO7PJTtxsheo4e68HUKQl1Vz9ZL8qNqoumQbY9Xh
JYXHsiaKaEdol3dwFOvR7cM17zz4hmc+aKqlb2ML28pSa9WmmtJpUyv6eeIxuDrCu6Mh3ZEMhHky
H0jKgWOpV6kmVUXohJ1uzf81wQEIUd4DdB/XWDc7IgVXwPo26A6+Rd5HAvum7Yy7jN8JdQAOc1Tm
dE/ulelLoAIA5gjLzFUVOji0l5F8jCHdxnUNeDjNuVl0yteEf8518RFaMlneii4xViTkAMlwNBWt
3PCBzjtLn+6ktFArKvwkAncEjOydB+aUx7aJ9hPCsVBh+w/NCOko0gnnTW2XBPI/jNAJMWJkToES
1/d6gp0abo0fxXYPAEp6jqP2I9NjMFGtsW0sB6FFXZ+jFjMOOr373ppOyD5RYhr1ti8567PqMgqS
lCttBKY/3amz2BA8MAeoZY6i9naKpowP8TL3wdjrn5nXT6vWcW6L2MG0miM4/ref+u46MP925v5b
P0UCyl+0U3KC/952/+//KqiFf7HQpwB6kbBUJub/mbvTThlk90Lmkz4CqRj+Y+7uIGIA0OZ5v+V7
/jB3p52iCdKh/JGy8x2d8Pv24bc7PYuL/7kGZMPy3+0UcgjwDfR0pLbLzKEf79yMzQVAE1dOvxPk
n5J+3ei5jse4fE4Q4W90ychu9SajxuNNhW6+ry3t20BhXImiGA/wh40VbUW67tR+F4loI+2Ha6Ph
3i3KPg2gIW9SJ/0yhg3YNEnxHkqksvgDy40jGd9KNXvXuC4eLckAr0eDsShYcFjAj1HU4R1OnkFY
P1CGyxtHC5lQTnQZPY5+FIdacijy+Dk0o2yTed4t1ZgMY775mtL0QQSe5aHkqWDKc0yraQ7Uqdwo
7XRHo3IzyQcpV+rLwJMVmfXWko/awDNXOM19LB/CZhbnVj6WUWdsMzCx0BPaj1k+uiKKho0jH2eD
5xoE3L3pzQG+aSgqmKrapkn2A2eBpsUOV7vxMkjusbuQs/H97JggLsvTZMoAPeRNhqt5uQu/nzjy
7HHkKZQn5NgVHExelRw8eVIB/d0sHF2pPMMSeZpxJG1Heb7V8qRT5JkHrTVBXGIEPcehIc9FgwMy
lydlx5GZcnSK9qvOQerwz/XyZE3kGRtr7Xvcl6bfyvPX5CBO5YlsyLPZAOuDmo2Fuzy3bQ5wl4Mc
xYG41oV2ruUZr8rTPpHnPmMwfYuz4sGUNSEbvDXeqEeAmN6BXgj2BfXDppCosqK4dOxgyI+t6PBy
MgXI1S3I8EDIWqRZybMnq1Mp61QoK5ZH6VooYXM9v+iUNFqEN1PWuMIY7mhmuIxT/njnaTNREAdZ
GUtZI2ttvqayamJ0O3uyjg5G84VMFmcFLEzfo1q332KlcDbkQHrWZi5bqB8LOdUMnJp0qC5YHp1D
JcdR0/fJlPN9SmVU6Bxg1dD8uONhINrSDZ2gqaadFIvNljGujbB59UxyG8wZl2ZW8RZtvKr6bNeM
pOP1Fr9iNwrB68bLo1EJbWXq8+gblXPv1vax0+bPPK6ztZZZd3kYR0d7GTZLAcMtJrfDAxyd2eay
gov3NV0qb98J5ysLanBBrBBQSMK3FVp729UkFobNOWSqs3aasToIh6Y2AXVfZ+YmwsLCN9ztV9ja
ecU0YOUZoxlzbfgtr8JrDhget3yn3gxxL3y7Z5cfLvmx1kt1s6h2vYv6BXLCsCad8TCmOmK/UH9N
KxwJtt11p9hU1LOBXOZTVcPsQahmtcsHd1ZIJIxHsfq3Ov1anTio//dG+D6Bxj+L/i9qE6/7oTax
x8PjYqHmZZhNlfljwm2A4eGWLXVq2N5+2AmbjMVhiSHBNaEuyW3tH1d9UyWUWtpjMLEDTZFTgD/V
or+rTZojRSg/iWZMCqYDzZpRMQg1mwL5Y23SuGGxgrTFdWpUJygHkx1OZZIPY46sbdC3D7N0bqij
ym7VUo9qXmhkPJNDQLqNKl6SImzP1F8aIMOo79PeNnfW1LeXMQurr1UXYg3O8ZrEuUMECAcveBom
gFQzTZmubVN0N3Wamq+KaneBFmIH9MNQY3tZhuUlYx/61VXiO+5G1k2kacoBmf24XQjAe+zc2XrN
8ZHej6wZz10bO3u8LkhGnV7JAs2axZPRq4wXjVb/FFafv1hqXu4iq/XWZRW27wNGxU2sYvlwGowg
TopJr4+H6nbkSc97IoC4XVTrYdTM4SZWwMF/kHsSm0cNFPg8BZ3I+q32PdLajLw0vhB60ZO8hKOg
uXHiikS2SJvi+xh1PpTRHr/q0tG/s2n1aAnYDptUMnKcRtdBujNUo7JmvZ4nR1spyR0iMW/+QqxN
jUl89EjMC6dXe8yNd/TWllgpk10GdLnWYe7t+b4bxfIuBzoMTgDHH6MRo3ESad42rIboC9+kxFfL
ZXkP23j5tJPppVHqoIySgyJhN4VmD/5oNdVOqcaIc1Lr5202uxB3tG4+ZWKquPN6GYW/EEqOPTJK
grboDKYhgyQIZPWz6STUek97NDJCwiuFMNpYHQdsPE0HRae17924KvadAg63Umv7Mnm1ui504anc
LizxgK2/+GyH3PuisIk9GDnKhGoqbrDyKeumG6btoNBYbMa8rrs1uUIVkj/R7ucqLO9szSV4REVd
EMF2XC+ekz5OYZaenNRMz62ClFsjPtofF2c+tRnRqEs/KUe+vJFvODg3WU2EL8Ckx8cybSjZYmLV
QEjCNR7gmpSo8vN1aZpDu2pbgHMDUupu005Wu2angdcjKi0bV6L+6dlcqXPj4EyjcUu7R1aDKmzt
sxLVEtRywOtVLXlbo2v9exb/qs4xUTz9zVks8ve/SkKXr/rhJOaQ1Zicwspg1f3zLQGdsEuwJrBy
Kbn5zy3BJcMTCQ7HI427o6mMQn8furq/4Jp2VETLpg4aARnwPzmJXTlU/ekkduAbuAiBUA8R+fBn
3bLpFmlj9vp843ZRc2UEWdwlWuW8iNzUD/OYZa+zRryviwr1TB8Wct8eYjq3YXlyvLG7j1WRbyEm
cXpASMMy10FkSOqYzGn1kuexdx4MLTxZltfcku/I6wdWsmvk0e5GFbRRiusdJn0hCLSLu51WGdlH
EqrlNi3HkMweZD5N1U5vRRxHB/ZcZK0pXbqmJ4Ejye3Gn5v5ydOJxZInVFg4h54nkkNSGY9lJiC9
inEC4+uFCNTUGxafgvtFlvmeXWcrlms7ut9uJTwDE5eaLh1chzQlhEUbTdTGxRpsUvSN9vo1nqKQ
ke7gJ3IsJhaPYJcy2+uLB06MZMNrpEWobWbQrkYTmFV5a4la3SRqp2w7O1rgC/XGASqys8kZx2pK
3e5Z8nlrIi/NbZaX5maAjL2ztcFdJVaEpqbAcheK4XZpiCOvcuxcvQLYSrEIxsygg+mRd0kNjt5h
5rej9NSsBD7nukg0ZOKtTma3M1b7Om4PvZ6+YT+fVgUwSrmKTDdaVB3iqF46mcgeb5RRa/C6ZWoQ
2touRQczK03kT9awLboMBdPSV++kA6TnqTM/lUyoiBkiwR2GfnMsmYSn0T2UtlswesYqm6atPuRP
+neMF8nmMCX1/GaotavQCTGKWjDKBpMUxtMTp/CKYJpNWPE+tp3hmRnMCLycRRZ5WRxbQ/u0LNEH
rT3eD1xIubailoGpzKCtUG+cyNshMdsi6zilE/iUUd3GGjvGJY803w5RjYSMuKLkplhQyNgdODxS
EbnyzmdrrtZVpjyyGqH+T+bRDvGNLH34VujNFwMA2dqL3Q8A3luoyY8147nVBC8P2H9L4F+pz8Wl
zrgY+bph9x8m5BmfvoxMPGyHJ2+k5nMXTrKThgSHsOk5F4fKI08Susp0ikgv2v/bGP/aGLN6+rvD
mHve+1+0xbzqj8OYuYzpoHoAxwCu5k8WEgsJpQuj4XeKxO9SSZe5DHAJj/2XXE1JuP4Ph7Gk00jn
Bw0tMQ3/5DDGif7TYfxd6OzBiUJDSW/sOt/5JT/IJFgJ5FVGRuUN5na+QJJixHqXb1WT9pvBpAtS
izDbYUqABKN5T2FH2FHYAPlBvfClK/J7pxg9thz6GiO9yoIm+dIr6r4d6lOmAPZtrAZMUj2AHBu6
IDO0t9GZom2rj+2xqOt9PdCULMmN0Sl7wrfOLbRerWlZ50JI9weC3VdO6+7KhIEjbaNjdOtutAXC
suWa2X3oM8O/w53w6nHtJCu6vJ0zReNRUR6UmGVIOKSI0ZMERZt9zNMXuEJvY4QMM7XSu7ZJ1VVT
tz7M3GOhkqpHfuR2FkI/q5V5E7OTwOdL6DM6kaHsj24bfq288Ziga9ZnO7s1JwLVozI8jyYxbgyI
XrmMbhAAaO8Me4hYz1xgL81ToqtfIyeNUTcatc/g+XFylK890Se+yL1dlrnnOY/ijcb/IVSzc7JU
7xjn22AIs2QzzgR4xnptbUsrZOATg7Rwi0dq4w3anbfCBpKeOfppcuttZ2Zi5RUFkfRgIVzIi3Vo
3WQ6S0Dkgbt+1FR/Xryn1PaCHp/6OMRbtXMHv3XT27Jg7z+U08ltl9PYuupmDKuXJAZFSHeesg7M
nuqW+w1S2hdrIchSgjC6tvgm3OZMfm8Eyo75UmzG65LEsbHtO1/r9F0bohxp6+hBzxuwz4yoXQeA
32gjqMMx+LWMnPsonLd9RtAVG4jDLPTvapVPICPHhf7fTrtn/mxXCgZp5uCyA9GTdhWn3bVs0/zk
TcWDfRIaClKP/Dmb5wn9Wxivnb79BrRylzoNWZdERGBHiQi+ys5aX28qgRNZzeD8DUp7rw3NFnzI
qzlr7F84lCvXOqL68PxO4AAvywLnTzwHdUsKS7fg+MZvOMcOUBFosn62NHC0yJVNC7zm+mxs9Ugc
M8sMcg9RR0ZDYmbjIY271I+b+dKQb41+49gxCMUmmDjzB3Sg5jkuO+l+9AqSB0Tp3OmV6mJbcdHu
3aqVV9+BpCZ0XJuSoDPUIFNie9Xr4bcsIp8PTpsfC2LU1No5OOX01NrNly7jvlYJcUvd2ipxdqsx
rHQJRfQN21tXEzZMwxnWAKQbLN/dRTNyk/9cxeiKYY4xpTvRTeYmDrk2e7mz+OnQEiwOMhARaGDY
8zvqyzUUhTcwgxvVmx/5oEEYpQr6WOVU1vE2zpR9yU6T+Cc/SokQVcJdWsxB5pbEvKFkms0FhG33
rNXNOrbmaK0XUzAU3CmMhLtNQlIFIHxJT92OiISKquADeeqAQc9TL9MT4VD1e/xTEdgpZz0X7TpO
vJcCrzrz0/g0YPJlhZR4wVTY/WrJ2LvQMQIz+2gR06gkjs6TU20yGiSjms8mQFsYL5h5dLU56uPI
Z2shr8Il1jYffTPcMP1bt6n5oCaY7b0Z1H7moEa1ICZmPIUqYQT1JIkLmXpv9eFnbUt7/MDFEJG2
3zrDToucyVdqFFJGcQ1V9qAxsKw0YZDtwuqOzf48OuVxIpKQLPXcNyP3lYjAFYqfHaNVJsrqluQO
khWGZ1Wv9iHLIcA1ziZLc86/qVRWlS3ujN7rYFQ05MZGK9I7dlKHXiXDJbSXh1qIVa13t6HeH5p6
IOwC2c7kzWtocIFtNxuDhF8hMI4g5l44hY3As7ojV+zAZVTge4zb6kr9koetvur0/s1I3NxnVmHs
NSe6ahJMEUW32uKePBdS7UICZ2Av40G1M98RTDGzKgKzoyTe3oisfouZ42rkSgA376p77jdDX4Ky
qNatzS20cZUA7mnpj0p3M3fVtXPcRyT+sV9YFvEsheWBlNfzl8wI53VUDd/Stj8S0viU9yXbenGK
PYRRfZPcsbZd66ifrGhGSKZVl3iagjpdHjNNXwD7QKIFydGW1m2jhCiyVe9VsZvnqZ6OmP/AJ/SF
w0zV9TstPkId9OOJ4Q2KKbOTOgJz3oc1s1QZQDObOyJVsqcBAgRjV6XUAmXpRt+d3E2uJnvdosOs
xgJ5sIi/moPRr+dBTJLn9+4ty43WFAbEPwf1ta4FEyqRVWiA+e3oSb0uO3eJw3GJinDNFuBZpPpV
QM1F6DUSngiTNm4/gDiyVJH71fmmtaf9onN+NQ4AqNIqH6dZeaom8ZAn7CzH0lhXOet7F03okBFw
ay4uyjL6/BzixG3TpdBD2ADsTJlGa6PumPxCIwfxVwrZ/14p/Wz3YTeF7xZNLGRskg3Qpv5po9TW
iGpnnNI32n2xerGC4Vr7rKF97/3hrj0TkLgR4PmSE5r3dbwTQXxAhZ2e4+2/De6vDS5j2r9pcLv3
Mmnz9779iyaXV/7R5KoyZwKbsKX/jmr4Y/Yrue2sI83f0A8/7CUZKzgk0xAn4eh8wHIi+3uTi7qZ
rlli0mC2OzoBV/9g4mBI4fXPEwdkXmjNWIxCocDTzI/+4+xXcRUja6Zc3PT0bMsZAoOVXjAQpfqm
o4W9UluGzi9y62JV9RXdz4fJ9HXT6MXDoKF9KrTiVOvNK+rOQ96WdwmkzU7RxcpIobNb1pknJ/NL
Z9xGBpmvTZudGAc+L2n56SUgysWgt9CObXFL4nugFaiDY2ypfUh0i24ibsy79NwhU57Y464bYyi1
L3hkV9MwRnkwRnRye9UxmuSgZ3YXbTNNYTujDp6NDqUyUpuqpFKo7KHaO4lTbGsHODIpwuaDEXYs
38JiTEl18Jjpnpo0aV/TMSzX/WAUejD0Q7rQFKVHpy3t1M89qx0ZFFvK2mvdhvVa6QzLpm4itd4U
zPgjVEPTl94u6Gbz8tmpOHaxcWzdgXz4KrHfqxBYuzPW023q5mPA/OPMfIXYorZDQUFscL2APYw9
3LTh8Kir4ZPSLPvOUe4Gp/DLYdyz1gLp052m0cJLSLi0WwEJyvW7uU3eK0UccZwqOJn6c+9QGR2F
GEzZhZFLcjf0yp6Uhw1y4IsbVd90o1kVyrgj6ZR+s9jhDjtFXnkp9OnSi+aLOrd3XpzvCLF+zLyB
1sOB9hnd2DHzTwiZ93m1EKKdrPNK3Y5We9d0hHZN4z61zeeCek9g2Lvntoec0F3fLYhvTb1vpQYW
PLcvBkG8o3DRVS++hkorTNor2T2vcKzpTN11pWib0okviyBvEzEba9tLiS6+nfTnZRTngcRasygv
fJbg7sfAi+NLSnJRa3jQ4rH5dN2Bm8wWxfKbbqWBm3TnCnNMJNx0Iz/6yPEezIbkjULbuvYEsR3I
ZO+plx5ryFynl4ak95rlYLcoj1Zs7DE/8Qn3ghFFsW812YiA1QrrT/am3A3yZ64xj0KN77pYCcLK
OhmmG4CbvqgpIC971k6jOX0Bddf5Xqmts1I7QYg/oEHwm7g7RQ6lL6GCTvFetKzu3bn5bBz9bvCm
u4ZwpVUYDdYt8uRtYo/xxQ7N82zpBB/mJMbQA2EuT3QBGENubFbWVN+oiMxGja9U75n7nJWtX0sl
WoUkbUaapiJRMwuDDjK6naR2bSLreshzZ20ga+vSma8fOreqIjNNKt8UI3xbmvw8Sk2cW/QPGSI5
QzG49UjdnC4VdNp3LZ1U1SlxM/nA08uNHmvn0DTvTKnBQ99OBJPU5TE9v6YI9VqzWFcsuHcVnTAK
HYJ7aQ7PHfI+RHC+RWuscl8i9JnteqIzIfSkKBD1vV8iE8QDBwBrblGWk5waZicDQaGGsLCw60sl
lYZjXXxUUnuoLwpSa9SIeML4ZSFQtHJ3D93cWDdSu1hKFSP8185XCLQTUuGIJQ2dHKLHIslRP9K+
sKx46aQucpYKSaVYLj2SyQnppC01lIqL5K0iN2pKyJso0+HORnBJNMEBatTOVfo8gEGIPysZz2iD
Z6ALnACFVG56UsOpSzXnmFR1kPbzSUilp20kN1lWPw52b/txPD1EtsX3naCYUkarudlNKHWjaDuy
lYGUlEa6RNGFutSUOlPgW/kxtugp/63932u/hRr6f9f+h8/4/a+GW/JVf9R9jeEWOka2CdT4n+Dk
uvGLarN/kDog/fvO4Hc9Eotd+gRqMfWYEv/dPfx73fd+YTsHCIqdsFw0sCn+B3Xf0hiT/Vz3MVxB
sOC9sDchyvnTzpeAFUPN+TFuBoIl23VqGI+Rpe7SslRIV4swvZiENSnDjLiv30/jrKFC0u2NNniH
zspsvzIMLYjS+cFVBJK5FN5YqWGPJVZyk/bVR6RPMMlYjJK3aNuiV9aG0j+1HNZ3c5GOW7uxQ0QK
MzLhyUGioht+5QzNmeFfv7IiPQ4mR/vShe03FZvorhrLC/nyGooY0WabZOrvZm26dYbUvq2rIkeI
PAKayEsCXdgM4+OTUiNskKvZg4YHRWDjTlmQRr2y01LSJlO0GCu3T75qpT4BNZTBFx0PK5cRbslI
V8mDMMClZ2Gp3YR6StZeX/JnsVfuHC3XVhVvvyQ4PxtgULwLAvGFSccKMRdDauP/s3cey3Fj2bp+
lYozhwLeDM6JOOmT3oqUJoikg/ceT3+/TaMSxZRu1U0O8kZ09qC7RQlEbmCvvcxvumPsBU7DzD/o
U3VVl4Rz2tObOtZQS/FQdsvq1pi0bniR4YdMAnTYSjJVq4k1DgqHw3IU27tsEKxo6MyUCNLOZVu6
zsfq0ilLQqVsr41iPCs7vNxpVdwAQr7PyuykoGyYlIp/gJLJGUJZV16LS1SHzmMbOU9lrq/lxjkm
kwE9VCEWr6S6Bbo3uw27+MBMg299WFfTwZGees/2p00NuThuvxup85inVrFWcOychmltI0vIsrQx
6ZXme/5RgAMakPMqQNAqO7OH8Cs46gSpXKpoBGz7OdMlgjKV8mSsqhsoxd84dqcZUubzyAsQ5PIC
wPVx8TXTHKy5ZIC8UEK9WSX3V9ixT/Fhb7Vp0Mr1HKUuiD6Qn7Bkb87yCuKrbHXopIx0/fP6lrnE
A1Ys8Mo15SFnAgxgzK8PUmS8XcmGW0bmtjB7zcVBtPL49ThfNlBKJ7KrAycNlMKY5bq2ljBHW3rM
5aaanbERMvtpCOEbRdWdJvg2jttZcyWsolljVk/MF0zudkim7P18mqdRvMCBYmL6Lgym0nGmtFtj
lA+zmOLTH2eugj2QAPZ1Q7v0WhpOvt2faq27Uo30jCbFqRnZa4muQKOuwYW73bHDNSu9vsyhtwEP
sxBsNG8sJzmN0gKKuBYOMzfsSYQByxfBY5XWt1bsw4DqmallYY5HjOWU0wy5sUkdAv6K8mNVbZaV
lFxXXrOOCu+opoO0UlR8ulX6DHG7wt8mmlidw9ve96dJrJK1yPE3vwpODBOQgyl31josrCPVSU6C
Ol/GkgZivxpUiAHRKCBJwcxDlQ1nGCVYN2FwpDbBEVDfb7HSk+lwvE9Mxb3WLeOmKatTNYl0+mKZ
M+tDxZwaPs4xZYqxJ3qGsCSaeumR+6FpOtIkYkzame7N6HJ/Rd7gkAMbfKz5d/QCeyCF8SwPo7U7
lo9FqulzynvB31BXTMxGMgec7xyWddrW/o3qaud1R0tRC5qB+X6lz6K2NFdRIT+h+HCoB8FR4Psw
4WKAbnFazOQk+Daa2pXr8txLN8MZqY4leIXKhWE74A0Qz/G09FyV8IWi1fNkOs2SlHKYFKnt4kmE
vDLIfDdVr1q/OpZbyZtYcA0DRgkT10rO4wLithVIB34XXwdGnc6grB+Ygz1vvXiYQM0xpnh5x1Mz
xSMv1nH+G2X/eEw7wHLMvWZSGT95o3uFAh9Ji0IbQwv8fNn74UOZ05fJgPPIdjfOGJyi1Qoi6bDz
pHFV2/nC6sC2jcV4PmhkVFJbQyaByd3Dc2tUaeW4+aHjJC0j1vIAni46qYrvTYsiGZYaPWxch6H9
wSe8TVDJQvRog6BowJDRF9Tw9gS1y2vVaI9GC/IemJW53uqLMvTmbWYfol6wCjFXWeFTD11tpKYz
dHk5WMr9qOTHhkfMRjN/bob+vFDKR3ovx3VfbMbem2MjARtwQARHU75ldjpzIxv3XvJVIHkrqyaa
evVCb3kJZOKRxkkBcsWeMSaJp/1gXUEuPR514zGqCZSBZmZ406DQIAOFqsfgmPwSq8TKOS2d0Vuq
ekcTDW0fO6aCtbrSZyqAegVtbZh+NA6tMcM01ttwdpbzLPBxu/BBlMsMlE5tG0IJcB51WVYllhnK
pZE28ZSh9rVi1d/CyAcUSVyYVKjCTmIrV4ggygKHiTvNtftl6ZT0mbO7MixAEdrZA14fNFNDwIEp
PPeTNAqNmUv5zpnHNIafdbl/WDs0SfEspk0nZXMnaR5cMeuVreJB87GED50KuL1LZxmfNSWnLax7
g79wMgpBj6EzNr0NOOWaCObaxolvyeyyPEgnEgDnrPFWA2JXc4s4iVQAojrp5ZCN/jKQwu84st0b
gGU0P0mWyHYtySN4Bm57qRi5AomH9vwoWeu89jmKU/hXMakRlC40Gk1JqU4hfM28IXmK5CijrgRh
bMHMrCTvSMZriLZf/mRLKbBl3fnWoaE2l4oEekBqbiLfMOi5Srdy0bjnpZ0eE80rxz3WGfb4Aeny
NKbLsZbxgCtOsjjOGCCUgexh2EwrZJzLilP4L7JV/+FKGsxU/5BHlwESGMPHBpr4Zz8SafUL81xZ
AeqI1B5av+/AkwyIX3RThazd64hYJ/UW1EgGxEj8k3LBf/87i+bPEe5DdhyCI4Pdf5NFk8d9yKIJ
+YyaVYf/4lYE0/6nEbGEbqdZFFVyliq5rh9XakNEGpoAhXBouZ3qTPoeiI3Ys/cg5L6PYgcwsbjU
xZ7QrLuh7fx5zmYpIRMWYvfUNsiHRrdOZLGzqEJJqXM8wlCzaGe04310UtiLfu6dSGJ3tq1fY0SS
nVZD/SCJHWw43YMu9rQPDKIRuzyzg8Ne7HvNCY8lAkEpZ8YsE7HBr812Vot4YQ3lg5QxLiXnvGsB
PiKegmc5QUYi2Ph4JU6YTq8sqz5B8AZtVhGWjKL71pGVxvUQT0Mil2bUtx4T/CWWgjZFOOHNA0GL
D5xDb0UEP4UoaIlwiO02mtRESNQ5TjOd5MUf1UuI8cUEz9rzXpUPEtl41OtkqZXdptKDQ11FoKdE
i72HR44QCn/bWSVyeYv94zrrYWPj2HibVeatE4IWgVSla/eV49yXanVajsGNkfX3ETCrGcCDERap
eSZxsxD3u1Xi48IX1giojVLjLWBCXlaBdoJzwskIwXIayoFKxR8zLC7sZB0qQDkNhdF2J+tnktGB
zRaVgyHBQvB65TD0TW8ZSo25KLz42C8aeW5X/bVZAWDtGA1jkXZgZ21Ikyw5zQcdVbqoQKouT9Xl
UIueYZjNSjG9yYfYXkaWX85CGS1vs3X7udGoqMUTqqbWoK5Kr/vq2hZyqc2ZKTeIVaTdFKWAYlli
Q9erqpC6AR0FjmnS15030bsRyWm5XCcSIuelKrlLNpo77bL2ULbkE59Hwd8s70KpvDBb4wxcwNoL
mciZarjE2O86qfWVo/TpJBrN6xqdHznxvkIseKTylRj30gI2AAJDs3JoFTXjbRoWOSMaVKut/EZq
GqS8q+5aIlZP+aeQLSCIzLU2uhwkdZhjpAl1V8meEvJSBO/zY4Ydp5GOoFI99MDCsu6ooQk871HG
ObU6xHelsLThUQTq1MWAr6sbujVa2W9qNw9n8B/gzZUVE9sovGmwjIuDa63GPMMGHTFnr81AdZKT
1Fa9THFRnBgdONheUd2plsmHGBUe6ymucEkYaLNRks5hZPgQFwqalSo5b4r2P87wJpbD6KP33ggY
IdtEPeBW3rVLXTuQBs4rhLAkr7zAbHGuDX04I5Oc23r2FbuDJ1mRmXRZ+lM5yt+cysEAMD7JsatU
UWCdoBTgz80BNbchKS78ptrEOiKYwbBGH/hAbxxGVjCiYcLBesRMHZn64Umtyu+e1Bx2WX0e59Jx
3SK0FKT1bIz6Y82B/6og1zUx0k6dhFjh0Sf0Mcys66dcSqii+05QlKxNUJTfwd2gfJ5J0UTNSNnR
cDYP6mYA/mVINtRu/ZaoW9DmJA1qY/O+VmwYMkCqZgTkw0oqe1izaEH5Y3tQu1o7VUvvwvT7DTNd
4AQ6Fj51UcXoyNPKqvRiZSaoKwA0oYXeX9ZGwQhTgLJ7iBhFFNDGTo2STZexJWwTC0RwMFnvcmjj
Hao3bj+1JO/SdfXTLHcuHVdfaf1gkyQ7gNmH+MLNoZkgf7rwaju+LbsqQKwMDRFmMnALxcY2whsE
uIGotV20IKzqOAn6d30KbhvBqUXbpQcE9ItBz9oVUkLMJNXmHOS8CmLQmLXQ0ZY+A/BpW2k6tBWw
zXZ64LumPo2K+Kjy2/MATyNkqlFHC7QKcZSSlrcX82/b9tLAc3Q1ps0drGqk0fLSnaip6k/NsEBE
aZSeHJ28vfbLYAmW/DwdsjtTY28XsWXDkxWWrj1pCzj19ETGn3JSZsUt2k3uFNh8jHEivpkaWqAT
H1HeWUbMNvJUXoRgJBdIPt3hy3gDrE6fMhBZYCCJ7xePfMJxV047TYsoPJD6gKnAmraBuaY+QERa
h7jkk7FpGbqgjd5e+0N03nEmTmthoRoYFd6lluFNcd7hdbMtKueQP8PhAjcKaexmEUhtxEYzqOl4
w3py102kyLw2UDwt0+HByIyz0Msfe/ipEzRzbkVtOekAskMoTY+wyStOLAMbGEFIsKx0JSvKuo7z
cqoPajOPBGMBCYx4XY3Ftaay8eNUu5EG/RStwIeuiBeOG15z2MuHgVlRYtrOugq8UyZhV84YrTQJ
VX3Lb3sxCaBnAUnChYhkpUPFNAsQCDCndqZa1n3QZ9IsKRF/LQToe8jsCwVVsrlBNYuQDQS5PEel
vI0bdy2Xw8aUeBlqv1UXgJ7wq6TQtV3pIPC8TYnskAeYBeGOfJkVzK1TKz/LIgQ+AM57c0kx7vMQ
IkFTB990mdZWWJhncmN+zXQT8H/cr0ZPewpluhVay2BbVUtQwX3qL0yLtnZtYnkiZwOvX4ijghIM
DnJqyjezak/QPwjmCNhgmiARtTEI9GahxVjElMKNnKrHEaXWtA7ckMwd4TUBlNfrcjmMejNtNGFR
IEerEBLtFGdVzruaArRQ3XSaCYi96dgPvif1k8L2ygXiAzIGnm07y+SB3sEooqp5A9RFmXgegulJ
IV35ZXdNM4ViJ3CmeA4eNZVCet/YWH1WGeQ/3b+sTauY0xVfN15TTRPZudbT5syLO2cK4Zw2VC41
DEPYTxrgu96T4hkqAGuJzEnoxsugNKq73EuEsTPbHjskOIuo+cgdHaPgsYNOJ+XmkykDpoP6NbMS
wb9zIizjYc5B7bxvh/LQ4SSfDJZxX7XWEp34cpZ6yoGbaimiFS0G1WZ04yVJNS36Up3adPdDKQGP
dyfb1DJOok9sXcomShMe5AajqrwJcWIPMuATJT+zo28e0vQTZphXCsUMPDfpwkqAAKlJttad7qYn
56L9NEJIzLN0XtSaN4WKD2s/Kvg6OixRuytR5830QxvOmm0PAjBXYKHSdU9g1OmrgUqce5G2kNvm
Nm/Zun6pnGN+KoYu2rFmBrTjjLCcNFF+aQY8IwPrHtLLnjhdpse9XqaL0tTpR9b3wJqAFAbIcvd4
ZSSNfD3GwUE/xFeqLiWzriKkWvJd28LHtAFbTJza6mZZ3BzlVblI5d6eMJVkAJTLGW9t+OiQG/st
TrN5nz6OSXkwOnQ7Paamqor/JD7DNRyQvIV1WZHlWRGhzy94M32ns1ApCbjJxlrKfflk+qR0VtYj
+U/O14bMmkBFMkZduy6KcVG6ce3oLqybU10vDpKgVmbI7y1caLYT2roIJVsXva/MewM0s1tkl7QH
VrnurB0GxoUcntWwwqG0DpNB8wGMCXvz9ghJqHUT5NPYkFv1oAqVYVp4lhqdx+lo3g5ZYNonhQTk
5jw26rydDYL6buTSwXPp9Z8a1IDu9ocatOHdSdLHLUUo/+6tCEW6FZ8qxQJYrAAGkvnRDxSH/MVk
UINrrEqZ+jODT7NxwgPELCvq8yxHlKhvdShq9zhcQTNBoe6Zy/dv6lDzF3b5M1QZQyxkf1QogcIz
630dqrQG+EdY4qej4R/AfwEFmtE7R/BxTMNs0Rok4qEbH2O9SiKj6Su5UZZBXp/6IAJwtsGUWz1P
FYlwrRx0Vb6JGv2bW8EiSOvjflRABeir0TdL1E+zYepjHotM23lL72ZuJskGMLY51f2BfmWMfOKI
WONhMqA2EUcomdpJnd5kmn/YNJl9lALns32BRRWUrxFUb+lEd6ZkLDRXoeWdneYlE9fcCW87pcXa
O6VDRvKH3iX6Y5HSBaeNmT2YWUYiQU9/OvoWWXcbKWtjsI/q2lprbnJFdv0IbPK40h0Bv7uiwZ5B
6vaWmdkgV4+YZdaap0ZmHcR1jJytb1xrkjTDKeR755uLqkXts4QWMukc+0x3SobLqBZ10UnY4foj
KS6bEC54aNHqVUrpxhGaQBm+R7IRHuHj1OPINxwyx0Cg1ojxhY9GqmjTSRZS6HzvEXrFiPBIb+zs
JC/O0QRaJByztDZPLQP4sdYz3wJrGCJmp4F00xQkjWLpttXdG/qzC7OhvHFwMMKlKLkLhuY6B+cy
S8YmglIcngwtS1dEzbncu+SlkZl8LfQ1bHL05GsbogjTovbEk+2FC44Z2ojZTYemvfSHcM7/Dhbk
PvGsLtKvDbfhwruZRgGHtN5lSyOQWRtbYT4+oNHDcwhDiYxDtuNZNtgykkraRWBnh13nPugF0q2B
aV7pmXkhMQ+dSrV55CSo8DaG5U/9nMKfVveFBH7bQGgGAUFy774IrzAUuLflYJa6CbIa0UOYll89
B3gmNnMkhnypVe4qHVYFSLnS5/amtK8Xmi5Y9hbo9yyIUEhrYAEmK2OMwBO3q0jV4nna9AN99+YR
gFI+002A6rKV32ZZMndA/x4hpO6jA0xBwHwAzbVeQY6tQlVBAqoxGXuOSMxQ8mM0Ca6LMaKSaMi4
ZY7ALABgj16MjaQfo8i4zA5lFOwYdETAcKvbwLSOEIK8SNssmFqBk0wlZRyXSUqGn7olIJaBMw8t
gO95WlzaLQ/e6LzZAPRFbtwHt5WUmdYaF05uXzSdu+o0xpyK664tZIknBi/9BMGLRY9hHNUgrR/V
iyrQk+j1hUVJyjIOG8S0qinVJCk4KzqpMTSvW2kmR0x3B5BCioBRoGC9DFCAmg/RBXArBXjzpPXG
jRQNm7o1r7y+vYpiJFp6+yxSUdPpvJFKQSW/w6fhK5xRUtnYmgubd39ozQOAqcgVK3CLgPZTlUjD
huc6HOiVMc9yGDwYDGkzVdIf1b46jmXpuJfrdB7YQzqHeLYBWrIa8tqYMmAeeFyBMK6x8OUsScLV
ortMrC7Dt6xWlrgDA9vQKLO6Nk5nXcMbyJ8/qTF6voMRu6BVxPA3li7oyjxWCa+EbiYBmYd1nZfF
SRWjA6Qq+mOeQ2eSukUVUitJaqzPUWkG+aswTpTH8shV4EulOk+bFT8sUr40UzhUs+r0m57E9MEl
YrAX2A59OhK2ePBWrm72q0wZNoWJvKVDaCS/XhRaI4Hs0I/H2j+tYg33TARQZ0OgXXZh0qGagfxD
JS/hB17lI7EyUy4Vr2C8NqLlIWfWxoNAlps+ODg9mHUBzkiG3FxL5qhM8dUs5nFIr6k0eKmjyv3W
muO3sqaPUOneyosl7OeUZs5gPprodXOZ20oyKyOeryahtkb/bdohNDDxElpCZUyoyKeZ75wS6JZe
4SO9pFdXg9t9jdT6pixs0LBRc6M72MwpaqfQAVD9QySWwdHbvjHFc1WIjcINjhVtXVbhZWpqyzEH
WuVGyrcuoo/h4G5nxE44tR2g7Vpuoj6sfm3N8646GN3bjm6gr53TVZrQxvtK2nwdaAmPJq2XZpqd
qDndzzxWqpUcmo8KgX6uYI5BocrWpv26kgwyQcscg3lsMXsOdEyane6oymPwVurKwo8KBM8wHwfl
ElLvoZ8xo0Bv8caq6XnIRX1Q1CcCgFcbqIh6wLnRGgUKlznBUi1KNCHL4EYZxiUyeuERrSMmNlJ5
7AyWtEDELFpodR9ORlqkiFZSVxv4gHe5d2DQOZ1Wpg25Usk8GipDg3UeQ71HXB784y6tYeeTvxvW
TZgl3bIE4Ax0oRiHE4Vuw9SveM4Y/Jkrz8bVL3CFjEt14NYjUGHUYk7lkdGeW9X6ugVdBxfBtjeN
PoA46HuVeGwXcw6PEK65t0gM5RhI6JpodGCiCh/ZOt3Smj6YVOra18DKiRBtQUOxklak1Se6Xnmr
1JcftUF+RMTrjiMHWTm/Xw0yxbBtUWXJfHXuER5hNov6+L4PItptno8NYwhM3mX4mnrmrd8n7RK+
azjvGCQVCMxStY5g+CVBkTEPPYE7vKvlA0V3LyLXWklSpyJ+iQJ83uMO2STKNIrla5afU1yJH5HH
OmhVz1rk4C/LylyGNoaCBrzvBZr06H2Xcg7PA5aBUnS3ad3Tx4svDX2YmbFxnTgFctch3aAxWne6
uSgDhNXYJ/TE+oVS51do294TXM9qeIbT2OcVCMziAn2cBQFOWXY6jENHQZHNB5JmjRB2TAiuTpic
MidErM/1m3ngRMO87GveBwCu2BCPPpgQfNf7mBLH1Cu0u9TNWNFtjDv0CihwcAI1T0hyb8syP+qt
2KJ+luZK0E+Nzv7G0UKjSr2AvnDIzl0BKZbR/vEFkASJ2gAwn8JRGylHgVsfunF2wwjuFm1HzojU
uqnU/jjrKW27AAGDEDsicJje12TAHFzBcnQMDkq9PKbRtMg7lV5OYJ/7Rs4ZLZnXTd4ej70/wWLj
LtaNgyKi31ppw1Hb281qKAcKx948ThQ7nZoJgVCC9GMEdP0MfRVl6lEnj4dNqWlI1QLxMxHBDbsk
OdOgg8zo2kkTqSvVWesD+W3B+kw7XaU9n6TDNK8sHau6clWBLpmVcnhndeQwdt+cWTkSYE7ZZkvP
qaqjpECMuNA6GHCWTVByYf+60tJ5xgWrzxhhMILghc1aOkD0IlmafrZ2nlHF8TPCeHxGG/+nHHuB
1v2RxP+tudtsKcXeU/jBwOkoMiD+rWjCKuNHKaZQVZky5nBUXQJZ/2MkqDn8xIFqKvgSDAcF1/St
FLO/OBAoFIcfCSPGfwes0+QPuqmg85Bm1bHzcAxEXwRt46eRYFyXtYxSnXxaY+4LIMVYmnjzHqpS
w86xlRweOm7AEJTwFY3capEhTTWtK/2gzIwUegmd9UB3jKMSJNNEf3YZ7sxli+1wbPf5cTlKQGoB
itX2vdJGDBeSDtI8ooCj2a0d114Qk+UZwsDLRtg/pY4AI3X6dZeWKz3w06vC85qpl+f3WO0ht5hf
l4oujG21YGJ6xX08YD6eVXQii65b9Xnf02vO/PRc1pjnhbp+Jml4w5qdM6872Z0mneSiQ1SC9IgJ
kG69sRrv3k3sbqEOaBV5Q16s7dTBriuTLpANjM8cNKBA5IFOjbUS2thgWTM3IF0Dc4JwiTtQBeoY
9DraQxWYhBPQ6nVA+POj20DVrurMyWdSqD7mEaAyd/SuSyTOAhj8jUmLNCGywi56wIwknYS+v4qc
/jyVkf8wVcKhdxiOzpWCNtfEGMW4U5WvcouDZ+Qh1D6evbFLb1Ktjc3QVD1ctOoW4RaIcjm0nwKz
CfRVz8B5KDPfDc4Dhx6slHToUQ2DXE5B9j7JZQ6DSyDTg8N2yLy1FlYXjQnPs6fJMxlLGn6WiVUs
ADagPjGu6LCJC0lqCh6YajEcxK8yQvirTOZBWtmnjpoPyxhZ9Qkn8xpdcQftwvJRLbCEdkbLO5fE
8GYMjHsHLv5JMahPMQR5oAsmygCoLTonHEjeNE1L8M2R4c1qg5IkxUDhwIuyU5yUGcPF9inirKDK
TCpzb2D4FoFyrhR8Ukr1BOUS9KvBWk/qQKfqaNC5VQxpGfY0Mukpfzdz/2sUIQhbNgDdVJ/ug4oM
boUrJ0ApoIJQZ79aASRmN7tLCLTApjHLTqVzxc6faB/MGx8UHsLi0zQyy6lclziNxsU6N5ODvjbm
uqedDkp0iptIP3WEHLqchTdy514biVStgGxkU1+yrsvaM7ht9cjN1YqijVIZQFI4AeB3kQz1gdwF
yyIKL4LAm5tN/K2TyzskMTJ0vZVqNtDztsuomZVmR0Unp4wSWFxDlw7AOupLUxbCv84Q0cu1jpBi
u7fVUZtV9XCTaypqSUq+yCvRYKjHYjb07TpyRxl+gHzSxd2dz1rPTeFfnZpBgW1OfqthLO7ApzOx
ug6F57WN+XUtdwurFPNC4YuN4kGGpkNz2DMlBpyJm3U6GA+1oCkXKkISGGwXLj3kQHhuU5EtQ7/6
bofFIXznawVzbkWqzrk/IDs6wnnYd5dCbJMbnnlj280cWL92gT9JM8oXlaN9H4QLOOpEMer7OINT
+Elr8k062Axq2qi41Bvp0cdO3DbxFc8TJk5QfXEbdy2uMpY4kCecwaVL6yYU7uQJNuWhTOJiI0OF
v0uFdkaGm3kifM0HG4dzcjMQs4IIKtzP0XNmWu1BlVFl2POGfG8Lr/T/X87Z187sVi+rH/pd4qdn
GQPZq+yD4dU/+ktvIPHtF3o1wPpn5lhCnOxdI/X5xp7tuf54nXjD4Kx5wH5LM9DbZFjtQDV7/tCn
jDPkpV5+jIonzVT8PBT6mD8/xu03/9ET7Hcr9YmLoHDLOy6CCpJftQ1dQ9VIfGgmv1sExfiCKLwB
Zp+l4PPyG396Xf7fvuY/Wa4/PsdfzdKEZPxuSwHfQSRxuq6SJb1bA1X/opDdYfFCi1x89vR1kMkx
d1sDUlNDUTUd/5eXb8oue78UKNtCI2FP7OuLoEEu2XERrC+YmRu6qhPKxefXPYG8L3YyOktkPP98
L5bi50IFyayXd/Rvh8J/Eh551n9HR9SIedBoPTrP31Fs/HdvAlMoZlAquEbl5VXZ002h7r4prC+a
jJAzverfbAqYUqCJLEZy+/M+8LV/jZEyM78dtwZccIwaHUTpfrMUqmCEI6GkvJzP+3dQaMBid1wE
jgN0XKjTKbjF59f4gO0mo08Zvaa93BMitO+8BtYXCPociHQynj9E3XfhQdjGMIS2hFoAy71/74G8
+3vg4IzjMLpBjfH5w1f9dQ0AE8J201823v4twuuN/btjQnzNH+cE+HZLEzCEtxeBV+vXRTA1UkgQ
Afv6JuycOgKuQDKZBtvv0iYOS8Q00fW3Xt66/XsTXhP7Hd4EFkFogYDB5zu+fwXIrBl2O5r8kkvs
Rb607Xx8eUN3WwOgOSpgGngd4vMhJFBT2iJo6C+d5/17EfTdzwbwSZqqsgqvmeGWIgJQBJWWs7eL
8BmHA2agGifkS074IUmgu8APUVMXgCk+e7spXp7RDptCHBEGEwhVZI7i8yFX0DlIdY1cge2yl8mC
GJzsljQKNQWOBwQOnp/2x6RRdJuEkiijoj1dBHn3ytr+YkGbM9TXpFHkoR9OCmEJD0hivzfF7t1H
U+RNdNaU1yD561KIlMGGo2wr+5o8Cunx3TaFaDcJa2RMUX99EagjGUBamrG3IeHlxnaIixquTrLK
AlivzbYPr4DNIjgmNNN9LaaV3TMm44uGggwNx5cdv63PJFoOZBT7GheV3ZMF8wtfj3JZp3H3/Pll
O4hmGz8jo9rXRdB3L6L0LzRcOf5oOf52ERzGcZCm3n6+n8nC7m025wv5EFYOlEzPnw9lhApOxFBM
kGV7miy8vqi7hEf9C3Zhqma/bYpfywjF/qLCaUB7/aXY2tcM+rUVustSmF+oKjkLrddO06/NeJJH
+isAhgSWaD83xe7JAmMZC9SUAabq+fPr+0DLEe6LCCD7elyquwdJi1ED7i6C9/OWIb/LoDkpHBMx
N/xa9jpI6jtnDlRUtNNQtNN+12vB0sGmU09vck83xesQdZfIQK9FZI/oi2x/H9D3I8HERUhU3XsZ
GYSVxW5lBA0G3ZEd8qPXxOBDNcGrgtedTha5r4uwew7JaUh/+ceQ8kOXhciAtAbeeq912/61HgUn
cbc3gZIKeWtAr8iCPH943u/CI6N7FKyJGns7lzJe0pgdYoIAslBOcFK+bgd2/vtFIHuk4iKP3teU
6TVi77AITCNUFMl1SqbfvAkMKGm3yZykexoTXkcEOy4CfXY83F7riA95I76eukMHem/HEa9V/y6L
QNxDGgAJ2dfkeUtMQJlJ53jY1zzhgwLwP0HziJrx7zGt/AUEn0lB9ZviWszrKa2Bdr0klvsaGfSd
w6MGnIeikdL6d3Ae5QsdN4UXYl87r4JnsuNBidWv6LPjAby9mALDghOEDLN2X9+EV1TuLpEB+zZA
OizDK8ZtW2RAOl1BUm+viylt97qSshEqEpOZ1/jwIWfA5pl1wrB0XzeFtntk0L44tozX32sr+mMv
mtAhWFu4XO9pzqDtPpXAYBa5d5pJrw2ED2+CqLbEf+jai8++xgftpdbbJT4woDEAKtB5+7H/3yfS
LIWsyoDG9zVzeN2tuywCDAE02g1YAr+UERwRCu0XcJCvy7Ove+Ll4eyyBhazWCHQSvn8dhC8fxHQ
hVVlYHDC0mgvuyyvN7bbItB6hEj69rg/BAZSSJW8CaW/PV0EfffoSCfeIk2W31pNv24K8mgQcLws
e1tMCJPaHZNHoSX1bPj1uy7Lc8yAdiyggHu5HfTdM2hUs3TMvAzzdzM65Qv4PwZU6Drv5yK8Yit2
iQkMrjUkxXjdX7os7Px3gVE0HR1RTb0Kn+1f0/GDItu/rq0pKNHbRuuMJvTz59dFYDoHEFBR0Aza
1zdh9/YzGD7QjJr8O2bI85tAKWUKV7+9jAlCyG7nwEjzmQNQMG3e7QP6zvzAQoFhX89GY/csScyi
FBBtjBieP6ID9Y5QC3kQxIJN+/2fvwL/IGL84B5P/SB+eKYmYyXzzAV+4Zn+X//CGyf34wV+IlE9
s+re/U1BVX659gvVSvz//9k8JEE6C6q6DO5r9Zn58tNP35gwz7/p9d+/fsWPv/zdL3v7Xm9/uAoe
y015jxBBCqV5eL3Rk00Ct/l/Y/7rYfMrBeyF+fP33fz3f72/2Z/e/z9fHe3/x18vLrqrb3+2ncP9
Y3P98eLJ5iEr3y60fvjv/6KBj76xqDN3vvMJNovbbpw3dedrTzfxpuWRVG/X+uneed93vz7aoNWH
R8rCELs/4eJpXW7+mmZVve1XEM52/hWzx/ivk6zcuv7Enp2vP4//mmUlL8/btX5af1Lena+/KLGn
2nZxzrOdL76MH9P07To/3Tjl5M7XXjXJXRY/1G+X+vvygjS/8+XXSf5YBpv47VI/Xf4ztuwaqfgt
l/6MHXv4WG5Zc4ER2HlRDoPU2xIIBFR052sfbaItMUzAxD/h0lX1uG1NPmODHmXVX/+beo/x47aV
+Ywterx5IAC/rcNPL+JnbNHjDQ5BW679GVtUXBsJyC23LiBjOz/W48f0IbsPtkUvAUH6hOuX948P
bxf6e90Fn2f3i2fc+9t1frr2Z2zT42zrmnzGLuXS9WP5OGy588/YqSebfNvb8hn79OSx3XzMHQ3s
Yd++yw7p3Wm5IQS8Xeinx/kZW/Qs3tw/bskdxahw5/fwDNXKbcmdGL7tfPGLgNSxCh62rIyYa+18
/cvNfUlJkNZbzlIxM/qEX5D+NXnEQW3bL/iMrXq5Eb+gTDflw9ZAJnQdPuVbzIJHb9uX+IxdK77E
gh1wH1T3237HZ2xf8TsOsk3RbDuthDrOp6zSURNUf53eBVW+7Xt8xmYW3+N4Uz9uu/5n7GeuX2/+
mmzKu822nEEQWj5jpfgd03j7b/icjS2+BSKG49vt/h1Txbhj96/gb7bWhALAvfvF6WFsXfxP2cxB
FeHm17zd508L8yl7OYs327IHMQvefWFITLa5uovhze4XrzdpUMWbpnq72E9L8ylbV7RZtpzDQltg
57v/o+H9cytsh/Tk6o8uoDtfvSESbDnixSBm93X5s3nMrvf+lRtstu1V4TO6881/y+ItcV505He/
9O9VnP+8Jtvasj+UjD42a98kDbf9s/e9aPE37uPHTfk//wcAAP//</cx:binary>
              </cx:geoCache>
            </cx:geography>
          </cx:layoutPr>
          <cx:valueColors>
            <cx:minColor>
              <a:schemeClr val="accent6">
                <a:lumMod val="60000"/>
                <a:lumOff val="40000"/>
              </a:schemeClr>
            </cx:minColor>
            <cx:maxColor>
              <a:schemeClr val="accent6">
                <a:lumMod val="75000"/>
              </a:schemeClr>
            </cx:max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2.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213731</xdr:colOff>
      <xdr:row>138</xdr:row>
      <xdr:rowOff>119876</xdr:rowOff>
    </xdr:from>
    <xdr:to>
      <xdr:col>2</xdr:col>
      <xdr:colOff>385646</xdr:colOff>
      <xdr:row>153</xdr:row>
      <xdr:rowOff>75271</xdr:rowOff>
    </xdr:to>
    <xdr:graphicFrame macro="">
      <xdr:nvGraphicFramePr>
        <xdr:cNvPr id="9" name="Chart 8">
          <a:extLst>
            <a:ext uri="{FF2B5EF4-FFF2-40B4-BE49-F238E27FC236}">
              <a16:creationId xmlns:a16="http://schemas.microsoft.com/office/drawing/2014/main" id="{205B89FD-A0CD-5D28-87C6-B54087CED5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0</xdr:row>
      <xdr:rowOff>0</xdr:rowOff>
    </xdr:from>
    <xdr:to>
      <xdr:col>3</xdr:col>
      <xdr:colOff>7620</xdr:colOff>
      <xdr:row>50</xdr:row>
      <xdr:rowOff>13543</xdr:rowOff>
    </xdr:to>
    <xdr:sp macro="" textlink="">
      <xdr:nvSpPr>
        <xdr:cNvPr id="2" name="Rectangle 1">
          <a:extLst>
            <a:ext uri="{FF2B5EF4-FFF2-40B4-BE49-F238E27FC236}">
              <a16:creationId xmlns:a16="http://schemas.microsoft.com/office/drawing/2014/main" id="{FEDB497A-513B-B2C4-0021-9B0B1E591C05}"/>
            </a:ext>
          </a:extLst>
        </xdr:cNvPr>
        <xdr:cNvSpPr/>
      </xdr:nvSpPr>
      <xdr:spPr>
        <a:xfrm>
          <a:off x="15240" y="0"/>
          <a:ext cx="2147751" cy="9266400"/>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54132</xdr:colOff>
      <xdr:row>0</xdr:row>
      <xdr:rowOff>65314</xdr:rowOff>
    </xdr:from>
    <xdr:to>
      <xdr:col>27</xdr:col>
      <xdr:colOff>592005</xdr:colOff>
      <xdr:row>50</xdr:row>
      <xdr:rowOff>93257</xdr:rowOff>
    </xdr:to>
    <xdr:sp macro="" textlink="">
      <xdr:nvSpPr>
        <xdr:cNvPr id="3" name="Rectangle 2">
          <a:extLst>
            <a:ext uri="{FF2B5EF4-FFF2-40B4-BE49-F238E27FC236}">
              <a16:creationId xmlns:a16="http://schemas.microsoft.com/office/drawing/2014/main" id="{A53A46F5-1638-4E4C-9F79-FE6ED106EDC8}"/>
            </a:ext>
          </a:extLst>
        </xdr:cNvPr>
        <xdr:cNvSpPr/>
      </xdr:nvSpPr>
      <xdr:spPr>
        <a:xfrm>
          <a:off x="1948246" y="65314"/>
          <a:ext cx="15429530" cy="9280800"/>
        </a:xfrm>
        <a:prstGeom prst="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fLocksWithSheet="0"/>
  </xdr:twoCellAnchor>
  <xdr:twoCellAnchor>
    <xdr:from>
      <xdr:col>1</xdr:col>
      <xdr:colOff>56606</xdr:colOff>
      <xdr:row>4</xdr:row>
      <xdr:rowOff>158931</xdr:rowOff>
    </xdr:from>
    <xdr:to>
      <xdr:col>1</xdr:col>
      <xdr:colOff>1184366</xdr:colOff>
      <xdr:row>7</xdr:row>
      <xdr:rowOff>75111</xdr:rowOff>
    </xdr:to>
    <xdr:sp macro="" textlink="'pivot table'!H4">
      <xdr:nvSpPr>
        <xdr:cNvPr id="4" name="TextBox 3">
          <a:extLst>
            <a:ext uri="{FF2B5EF4-FFF2-40B4-BE49-F238E27FC236}">
              <a16:creationId xmlns:a16="http://schemas.microsoft.com/office/drawing/2014/main" id="{7262D91A-A1DD-294E-49CD-A186254CD720}"/>
            </a:ext>
          </a:extLst>
        </xdr:cNvPr>
        <xdr:cNvSpPr txBox="1"/>
      </xdr:nvSpPr>
      <xdr:spPr>
        <a:xfrm>
          <a:off x="274320" y="899160"/>
          <a:ext cx="1127760" cy="471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A157B62-6DDC-48D2-AC25-0D0297A4877E}" type="TxLink">
            <a:rPr lang="en-US" sz="1800" b="1" i="0" u="none" strike="noStrike">
              <a:solidFill>
                <a:schemeClr val="bg1">
                  <a:lumMod val="95000"/>
                </a:schemeClr>
              </a:solidFill>
              <a:latin typeface="Calibri"/>
              <a:ea typeface="Calibri"/>
              <a:cs typeface="Calibri"/>
            </a:rPr>
            <a:pPr marL="0" indent="0"/>
            <a:t>11,997</a:t>
          </a:fld>
          <a:endParaRPr lang="en-IN" sz="1800" b="1" i="0" u="none" strike="noStrike">
            <a:solidFill>
              <a:schemeClr val="bg1">
                <a:lumMod val="95000"/>
              </a:schemeClr>
            </a:solidFill>
            <a:latin typeface="Calibri"/>
            <a:ea typeface="Calibri"/>
            <a:cs typeface="Calibri"/>
          </a:endParaRPr>
        </a:p>
      </xdr:txBody>
    </xdr:sp>
    <xdr:clientData/>
  </xdr:twoCellAnchor>
  <xdr:twoCellAnchor>
    <xdr:from>
      <xdr:col>1</xdr:col>
      <xdr:colOff>18505</xdr:colOff>
      <xdr:row>8</xdr:row>
      <xdr:rowOff>116478</xdr:rowOff>
    </xdr:from>
    <xdr:to>
      <xdr:col>1</xdr:col>
      <xdr:colOff>1184365</xdr:colOff>
      <xdr:row>11</xdr:row>
      <xdr:rowOff>47897</xdr:rowOff>
    </xdr:to>
    <xdr:sp macro="" textlink="'pivot table'!I4">
      <xdr:nvSpPr>
        <xdr:cNvPr id="5" name="TextBox 4">
          <a:extLst>
            <a:ext uri="{FF2B5EF4-FFF2-40B4-BE49-F238E27FC236}">
              <a16:creationId xmlns:a16="http://schemas.microsoft.com/office/drawing/2014/main" id="{00C02CC9-BF29-48CD-AA9C-E91FE6BF1631}"/>
            </a:ext>
          </a:extLst>
        </xdr:cNvPr>
        <xdr:cNvSpPr txBox="1"/>
      </xdr:nvSpPr>
      <xdr:spPr>
        <a:xfrm>
          <a:off x="236219" y="1596935"/>
          <a:ext cx="1165860" cy="486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2A38CE9-359A-4798-B215-0B4241284FB5}" type="TxLink">
            <a:rPr lang="en-US" sz="1800" b="1" i="0" u="none" strike="noStrike">
              <a:solidFill>
                <a:schemeClr val="bg1">
                  <a:lumMod val="95000"/>
                </a:schemeClr>
              </a:solidFill>
              <a:latin typeface="Calibri"/>
              <a:ea typeface="Calibri"/>
              <a:cs typeface="Calibri"/>
            </a:rPr>
            <a:pPr marL="0" indent="0"/>
            <a:t>$649.0k</a:t>
          </a:fld>
          <a:endParaRPr lang="en-IN" sz="1800" b="1" i="0" u="none" strike="noStrike">
            <a:solidFill>
              <a:schemeClr val="bg1">
                <a:lumMod val="95000"/>
              </a:schemeClr>
            </a:solidFill>
            <a:latin typeface="Calibri"/>
            <a:ea typeface="Calibri"/>
            <a:cs typeface="Calibri"/>
          </a:endParaRPr>
        </a:p>
      </xdr:txBody>
    </xdr:sp>
    <xdr:clientData/>
  </xdr:twoCellAnchor>
  <xdr:twoCellAnchor>
    <xdr:from>
      <xdr:col>1</xdr:col>
      <xdr:colOff>125186</xdr:colOff>
      <xdr:row>13</xdr:row>
      <xdr:rowOff>4354</xdr:rowOff>
    </xdr:from>
    <xdr:to>
      <xdr:col>1</xdr:col>
      <xdr:colOff>1252946</xdr:colOff>
      <xdr:row>15</xdr:row>
      <xdr:rowOff>149135</xdr:rowOff>
    </xdr:to>
    <xdr:sp macro="" textlink="'pivot table'!J4">
      <xdr:nvSpPr>
        <xdr:cNvPr id="6" name="TextBox 5">
          <a:extLst>
            <a:ext uri="{FF2B5EF4-FFF2-40B4-BE49-F238E27FC236}">
              <a16:creationId xmlns:a16="http://schemas.microsoft.com/office/drawing/2014/main" id="{4E7514D9-1DA1-4ECC-9A2F-399412B528A7}"/>
            </a:ext>
          </a:extLst>
        </xdr:cNvPr>
        <xdr:cNvSpPr txBox="1"/>
      </xdr:nvSpPr>
      <xdr:spPr>
        <a:xfrm>
          <a:off x="342900" y="2410097"/>
          <a:ext cx="1127760" cy="514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5C15687-5DA7-496F-9430-04B8CB448A9F}" type="TxLink">
            <a:rPr lang="en-US" sz="1800" b="1" i="0" u="none" strike="noStrike">
              <a:solidFill>
                <a:schemeClr val="bg1">
                  <a:lumMod val="95000"/>
                </a:schemeClr>
              </a:solidFill>
              <a:latin typeface="Calibri"/>
              <a:ea typeface="Calibri"/>
              <a:cs typeface="Calibri"/>
            </a:rPr>
            <a:pPr marL="0" indent="0"/>
            <a:t>4.0</a:t>
          </a:fld>
          <a:endParaRPr lang="en-IN" sz="1800" b="1" i="0" u="none" strike="noStrike">
            <a:solidFill>
              <a:schemeClr val="bg1">
                <a:lumMod val="95000"/>
              </a:schemeClr>
            </a:solidFill>
            <a:latin typeface="Calibri"/>
            <a:ea typeface="Calibri"/>
            <a:cs typeface="Calibri"/>
          </a:endParaRPr>
        </a:p>
      </xdr:txBody>
    </xdr:sp>
    <xdr:clientData/>
  </xdr:twoCellAnchor>
  <xdr:twoCellAnchor>
    <xdr:from>
      <xdr:col>1</xdr:col>
      <xdr:colOff>134983</xdr:colOff>
      <xdr:row>16</xdr:row>
      <xdr:rowOff>146957</xdr:rowOff>
    </xdr:from>
    <xdr:to>
      <xdr:col>1</xdr:col>
      <xdr:colOff>1354183</xdr:colOff>
      <xdr:row>20</xdr:row>
      <xdr:rowOff>15239</xdr:rowOff>
    </xdr:to>
    <xdr:sp macro="" textlink="'pivot table'!K4">
      <xdr:nvSpPr>
        <xdr:cNvPr id="7" name="TextBox 6">
          <a:extLst>
            <a:ext uri="{FF2B5EF4-FFF2-40B4-BE49-F238E27FC236}">
              <a16:creationId xmlns:a16="http://schemas.microsoft.com/office/drawing/2014/main" id="{2DA9FDBC-7846-4F05-A403-E5FB696F717C}"/>
            </a:ext>
          </a:extLst>
        </xdr:cNvPr>
        <xdr:cNvSpPr txBox="1"/>
      </xdr:nvSpPr>
      <xdr:spPr>
        <a:xfrm>
          <a:off x="352697" y="3107871"/>
          <a:ext cx="1219200" cy="608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F02B3EA-A630-449D-9622-E1C9698D4335}" type="TxLink">
            <a:rPr lang="en-US" sz="1800" b="1" i="0" u="none" strike="noStrike">
              <a:solidFill>
                <a:schemeClr val="bg1">
                  <a:lumMod val="95000"/>
                </a:schemeClr>
              </a:solidFill>
              <a:latin typeface="Calibri"/>
              <a:ea typeface="Calibri"/>
              <a:cs typeface="Calibri"/>
            </a:rPr>
            <a:pPr marL="0" indent="0"/>
            <a:t>2.3</a:t>
          </a:fld>
          <a:endParaRPr lang="en-IN" sz="1800" b="1" i="0" u="none" strike="noStrike">
            <a:solidFill>
              <a:schemeClr val="bg1">
                <a:lumMod val="95000"/>
              </a:schemeClr>
            </a:solidFill>
            <a:latin typeface="Calibri"/>
            <a:ea typeface="Calibri"/>
            <a:cs typeface="Calibri"/>
          </a:endParaRPr>
        </a:p>
      </xdr:txBody>
    </xdr:sp>
    <xdr:clientData/>
  </xdr:twoCellAnchor>
  <xdr:twoCellAnchor>
    <xdr:from>
      <xdr:col>1</xdr:col>
      <xdr:colOff>45720</xdr:colOff>
      <xdr:row>1</xdr:row>
      <xdr:rowOff>11974</xdr:rowOff>
    </xdr:from>
    <xdr:to>
      <xdr:col>1</xdr:col>
      <xdr:colOff>1158240</xdr:colOff>
      <xdr:row>3</xdr:row>
      <xdr:rowOff>113212</xdr:rowOff>
    </xdr:to>
    <xdr:sp macro="" textlink="'pivot table'!G4">
      <xdr:nvSpPr>
        <xdr:cNvPr id="8" name="TextBox 7">
          <a:extLst>
            <a:ext uri="{FF2B5EF4-FFF2-40B4-BE49-F238E27FC236}">
              <a16:creationId xmlns:a16="http://schemas.microsoft.com/office/drawing/2014/main" id="{39C731A5-5874-4F16-9A1E-420902A1CF7F}"/>
            </a:ext>
          </a:extLst>
        </xdr:cNvPr>
        <xdr:cNvSpPr txBox="1"/>
      </xdr:nvSpPr>
      <xdr:spPr>
        <a:xfrm>
          <a:off x="263434" y="197031"/>
          <a:ext cx="1112520" cy="471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4C7A87-D1FB-4417-B590-14B2BDFF3E44}" type="TxLink">
            <a:rPr lang="en-US" sz="1800" b="1" i="0" u="none" strike="noStrike">
              <a:solidFill>
                <a:schemeClr val="bg1">
                  <a:lumMod val="95000"/>
                </a:schemeClr>
              </a:solidFill>
              <a:latin typeface="Calibri"/>
              <a:ea typeface="Calibri"/>
              <a:cs typeface="Calibri"/>
            </a:rPr>
            <a:t>2,400</a:t>
          </a:fld>
          <a:endParaRPr lang="en-IN" sz="1800" b="1">
            <a:solidFill>
              <a:schemeClr val="bg1">
                <a:lumMod val="95000"/>
              </a:schemeClr>
            </a:solidFill>
          </a:endParaRPr>
        </a:p>
      </xdr:txBody>
    </xdr:sp>
    <xdr:clientData/>
  </xdr:twoCellAnchor>
  <xdr:twoCellAnchor>
    <xdr:from>
      <xdr:col>0</xdr:col>
      <xdr:colOff>160020</xdr:colOff>
      <xdr:row>0</xdr:row>
      <xdr:rowOff>54429</xdr:rowOff>
    </xdr:from>
    <xdr:to>
      <xdr:col>1</xdr:col>
      <xdr:colOff>1005840</xdr:colOff>
      <xdr:row>1</xdr:row>
      <xdr:rowOff>94706</xdr:rowOff>
    </xdr:to>
    <xdr:sp macro="" textlink="">
      <xdr:nvSpPr>
        <xdr:cNvPr id="12" name="TextBox 11">
          <a:extLst>
            <a:ext uri="{FF2B5EF4-FFF2-40B4-BE49-F238E27FC236}">
              <a16:creationId xmlns:a16="http://schemas.microsoft.com/office/drawing/2014/main" id="{D1BBDA9F-E1FF-02BD-E017-FA7A2BCD9214}"/>
            </a:ext>
          </a:extLst>
        </xdr:cNvPr>
        <xdr:cNvSpPr txBox="1"/>
      </xdr:nvSpPr>
      <xdr:spPr>
        <a:xfrm>
          <a:off x="160020" y="54429"/>
          <a:ext cx="1063534" cy="225334"/>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Orders</a:t>
          </a:r>
        </a:p>
      </xdr:txBody>
    </xdr:sp>
    <xdr:clientData/>
  </xdr:twoCellAnchor>
  <xdr:twoCellAnchor>
    <xdr:from>
      <xdr:col>0</xdr:col>
      <xdr:colOff>176348</xdr:colOff>
      <xdr:row>3</xdr:row>
      <xdr:rowOff>165464</xdr:rowOff>
    </xdr:from>
    <xdr:to>
      <xdr:col>1</xdr:col>
      <xdr:colOff>979714</xdr:colOff>
      <xdr:row>5</xdr:row>
      <xdr:rowOff>58783</xdr:rowOff>
    </xdr:to>
    <xdr:sp macro="" textlink="">
      <xdr:nvSpPr>
        <xdr:cNvPr id="16" name="TextBox 15">
          <a:extLst>
            <a:ext uri="{FF2B5EF4-FFF2-40B4-BE49-F238E27FC236}">
              <a16:creationId xmlns:a16="http://schemas.microsoft.com/office/drawing/2014/main" id="{2216C1C1-8CF2-06D2-C785-5689DA517A15}"/>
            </a:ext>
          </a:extLst>
        </xdr:cNvPr>
        <xdr:cNvSpPr txBox="1"/>
      </xdr:nvSpPr>
      <xdr:spPr>
        <a:xfrm>
          <a:off x="176348" y="720635"/>
          <a:ext cx="1021080" cy="263434"/>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Quantity</a:t>
          </a:r>
        </a:p>
      </xdr:txBody>
    </xdr:sp>
    <xdr:clientData/>
  </xdr:twoCellAnchor>
  <xdr:twoCellAnchor>
    <xdr:from>
      <xdr:col>0</xdr:col>
      <xdr:colOff>164375</xdr:colOff>
      <xdr:row>7</xdr:row>
      <xdr:rowOff>99060</xdr:rowOff>
    </xdr:from>
    <xdr:to>
      <xdr:col>1</xdr:col>
      <xdr:colOff>1116875</xdr:colOff>
      <xdr:row>8</xdr:row>
      <xdr:rowOff>152401</xdr:rowOff>
    </xdr:to>
    <xdr:sp macro="" textlink="">
      <xdr:nvSpPr>
        <xdr:cNvPr id="18" name="TextBox 17">
          <a:extLst>
            <a:ext uri="{FF2B5EF4-FFF2-40B4-BE49-F238E27FC236}">
              <a16:creationId xmlns:a16="http://schemas.microsoft.com/office/drawing/2014/main" id="{2A2D41AF-3DDF-F190-7B89-6CB978EE2C31}"/>
            </a:ext>
          </a:extLst>
        </xdr:cNvPr>
        <xdr:cNvSpPr txBox="1"/>
      </xdr:nvSpPr>
      <xdr:spPr>
        <a:xfrm>
          <a:off x="164375" y="1394460"/>
          <a:ext cx="1170214" cy="238398"/>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Amount</a:t>
          </a:r>
        </a:p>
      </xdr:txBody>
    </xdr:sp>
    <xdr:clientData/>
  </xdr:twoCellAnchor>
  <xdr:twoCellAnchor>
    <xdr:from>
      <xdr:col>0</xdr:col>
      <xdr:colOff>109946</xdr:colOff>
      <xdr:row>11</xdr:row>
      <xdr:rowOff>92529</xdr:rowOff>
    </xdr:from>
    <xdr:to>
      <xdr:col>1</xdr:col>
      <xdr:colOff>1131026</xdr:colOff>
      <xdr:row>12</xdr:row>
      <xdr:rowOff>153489</xdr:rowOff>
    </xdr:to>
    <xdr:sp macro="" textlink="">
      <xdr:nvSpPr>
        <xdr:cNvPr id="19" name="TextBox 18">
          <a:extLst>
            <a:ext uri="{FF2B5EF4-FFF2-40B4-BE49-F238E27FC236}">
              <a16:creationId xmlns:a16="http://schemas.microsoft.com/office/drawing/2014/main" id="{CB502CCA-72B7-7A19-6519-08FCD1CF7388}"/>
            </a:ext>
          </a:extLst>
        </xdr:cNvPr>
        <xdr:cNvSpPr txBox="1"/>
      </xdr:nvSpPr>
      <xdr:spPr>
        <a:xfrm>
          <a:off x="109946" y="2128158"/>
          <a:ext cx="1238794" cy="246017"/>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Avg. Rating</a:t>
          </a:r>
        </a:p>
      </xdr:txBody>
    </xdr:sp>
    <xdr:clientData/>
  </xdr:twoCellAnchor>
  <xdr:twoCellAnchor>
    <xdr:from>
      <xdr:col>0</xdr:col>
      <xdr:colOff>62049</xdr:colOff>
      <xdr:row>15</xdr:row>
      <xdr:rowOff>77289</xdr:rowOff>
    </xdr:from>
    <xdr:to>
      <xdr:col>1</xdr:col>
      <xdr:colOff>1052649</xdr:colOff>
      <xdr:row>16</xdr:row>
      <xdr:rowOff>183969</xdr:rowOff>
    </xdr:to>
    <xdr:sp macro="" textlink="">
      <xdr:nvSpPr>
        <xdr:cNvPr id="21" name="TextBox 20">
          <a:extLst>
            <a:ext uri="{FF2B5EF4-FFF2-40B4-BE49-F238E27FC236}">
              <a16:creationId xmlns:a16="http://schemas.microsoft.com/office/drawing/2014/main" id="{08ABB02E-3998-83E5-4FB5-42DA3BDDAF47}"/>
            </a:ext>
          </a:extLst>
        </xdr:cNvPr>
        <xdr:cNvSpPr txBox="1"/>
      </xdr:nvSpPr>
      <xdr:spPr>
        <a:xfrm>
          <a:off x="62049" y="2853146"/>
          <a:ext cx="1208314" cy="291737"/>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Days</a:t>
          </a:r>
          <a:r>
            <a:rPr lang="en-IN" sz="1100" b="1" baseline="0">
              <a:solidFill>
                <a:schemeClr val="bg1"/>
              </a:solidFill>
            </a:rPr>
            <a:t> to Deliver</a:t>
          </a:r>
          <a:endParaRPr lang="en-IN" sz="1100" b="1">
            <a:solidFill>
              <a:schemeClr val="bg1"/>
            </a:solidFill>
          </a:endParaRPr>
        </a:p>
      </xdr:txBody>
    </xdr:sp>
    <xdr:clientData/>
  </xdr:twoCellAnchor>
  <xdr:twoCellAnchor>
    <xdr:from>
      <xdr:col>3</xdr:col>
      <xdr:colOff>492529</xdr:colOff>
      <xdr:row>0</xdr:row>
      <xdr:rowOff>180802</xdr:rowOff>
    </xdr:from>
    <xdr:to>
      <xdr:col>11</xdr:col>
      <xdr:colOff>185420</xdr:colOff>
      <xdr:row>15</xdr:row>
      <xdr:rowOff>180802</xdr:rowOff>
    </xdr:to>
    <xdr:graphicFrame macro="">
      <xdr:nvGraphicFramePr>
        <xdr:cNvPr id="22" name="Chart 21">
          <a:extLst>
            <a:ext uri="{FF2B5EF4-FFF2-40B4-BE49-F238E27FC236}">
              <a16:creationId xmlns:a16="http://schemas.microsoft.com/office/drawing/2014/main" id="{E01B9D86-5B53-49D9-8440-04F9E3A89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471034</xdr:colOff>
      <xdr:row>0</xdr:row>
      <xdr:rowOff>149679</xdr:rowOff>
    </xdr:from>
    <xdr:to>
      <xdr:col>18</xdr:col>
      <xdr:colOff>254146</xdr:colOff>
      <xdr:row>16</xdr:row>
      <xdr:rowOff>7423</xdr:rowOff>
    </xdr:to>
    <xdr:pic>
      <xdr:nvPicPr>
        <xdr:cNvPr id="23" name="Picture 22">
          <a:extLst>
            <a:ext uri="{FF2B5EF4-FFF2-40B4-BE49-F238E27FC236}">
              <a16:creationId xmlns:a16="http://schemas.microsoft.com/office/drawing/2014/main" id="{C4931EB5-5710-3A43-876A-82A1DB89C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19534" y="149679"/>
          <a:ext cx="4069362" cy="2688030"/>
        </a:xfrm>
        <a:prstGeom prst="rect">
          <a:avLst/>
        </a:prstGeom>
        <a:noFill/>
      </xdr:spPr>
    </xdr:pic>
    <xdr:clientData fLocksWithSheet="0"/>
  </xdr:twoCellAnchor>
  <xdr:twoCellAnchor>
    <xdr:from>
      <xdr:col>18</xdr:col>
      <xdr:colOff>578760</xdr:colOff>
      <xdr:row>1</xdr:row>
      <xdr:rowOff>8156</xdr:rowOff>
    </xdr:from>
    <xdr:to>
      <xdr:col>26</xdr:col>
      <xdr:colOff>259247</xdr:colOff>
      <xdr:row>15</xdr:row>
      <xdr:rowOff>145037</xdr:rowOff>
    </xdr:to>
    <xdr:graphicFrame macro="">
      <xdr:nvGraphicFramePr>
        <xdr:cNvPr id="25" name="Chart 24">
          <a:extLst>
            <a:ext uri="{FF2B5EF4-FFF2-40B4-BE49-F238E27FC236}">
              <a16:creationId xmlns:a16="http://schemas.microsoft.com/office/drawing/2014/main" id="{057E0FB0-C7DC-4D1C-B4AD-CE8770A86D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438102</xdr:colOff>
      <xdr:row>17</xdr:row>
      <xdr:rowOff>4617</xdr:rowOff>
    </xdr:from>
    <xdr:to>
      <xdr:col>11</xdr:col>
      <xdr:colOff>293916</xdr:colOff>
      <xdr:row>45</xdr:row>
      <xdr:rowOff>0</xdr:rowOff>
    </xdr:to>
    <xdr:graphicFrame macro="">
      <xdr:nvGraphicFramePr>
        <xdr:cNvPr id="27" name="Chart 26">
          <a:extLst>
            <a:ext uri="{FF2B5EF4-FFF2-40B4-BE49-F238E27FC236}">
              <a16:creationId xmlns:a16="http://schemas.microsoft.com/office/drawing/2014/main" id="{4B790280-B6B8-4E60-B1F6-8866F10CB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53438</xdr:colOff>
      <xdr:row>30</xdr:row>
      <xdr:rowOff>20782</xdr:rowOff>
    </xdr:from>
    <xdr:to>
      <xdr:col>9</xdr:col>
      <xdr:colOff>258948</xdr:colOff>
      <xdr:row>40</xdr:row>
      <xdr:rowOff>120401</xdr:rowOff>
    </xdr:to>
    <xdr:graphicFrame macro="">
      <xdr:nvGraphicFramePr>
        <xdr:cNvPr id="28" name="Chart 27">
          <a:extLst>
            <a:ext uri="{FF2B5EF4-FFF2-40B4-BE49-F238E27FC236}">
              <a16:creationId xmlns:a16="http://schemas.microsoft.com/office/drawing/2014/main" id="{CF895F9A-0561-4177-85D5-1FDCF35727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xdr:from>
      <xdr:col>11</xdr:col>
      <xdr:colOff>460530</xdr:colOff>
      <xdr:row>16</xdr:row>
      <xdr:rowOff>155038</xdr:rowOff>
    </xdr:from>
    <xdr:to>
      <xdr:col>20</xdr:col>
      <xdr:colOff>222001</xdr:colOff>
      <xdr:row>45</xdr:row>
      <xdr:rowOff>43543</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0AD22143-A3F2-48A8-97A0-0233294CA8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492701" y="3115952"/>
              <a:ext cx="5247871" cy="525516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544286</xdr:colOff>
      <xdr:row>20</xdr:row>
      <xdr:rowOff>65315</xdr:rowOff>
    </xdr:from>
    <xdr:to>
      <xdr:col>19</xdr:col>
      <xdr:colOff>435429</xdr:colOff>
      <xdr:row>31</xdr:row>
      <xdr:rowOff>10886</xdr:rowOff>
    </xdr:to>
    <mc:AlternateContent xmlns:mc="http://schemas.openxmlformats.org/markup-compatibility/2006">
      <mc:Choice xmlns:cx4="http://schemas.microsoft.com/office/drawing/2016/5/10/chartex" Requires="cx4">
        <xdr:graphicFrame macro="">
          <xdr:nvGraphicFramePr>
            <xdr:cNvPr id="30" name="Chart 29">
              <a:extLst>
                <a:ext uri="{FF2B5EF4-FFF2-40B4-BE49-F238E27FC236}">
                  <a16:creationId xmlns:a16="http://schemas.microsoft.com/office/drawing/2014/main" id="{72B4BF83-BD32-4DE3-BCE7-6D6D2EC415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624457" y="3766458"/>
              <a:ext cx="1719943" cy="19811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152730</xdr:colOff>
      <xdr:row>16</xdr:row>
      <xdr:rowOff>174171</xdr:rowOff>
    </xdr:from>
    <xdr:to>
      <xdr:col>26</xdr:col>
      <xdr:colOff>450604</xdr:colOff>
      <xdr:row>30</xdr:row>
      <xdr:rowOff>127329</xdr:rowOff>
    </xdr:to>
    <xdr:graphicFrame macro="">
      <xdr:nvGraphicFramePr>
        <xdr:cNvPr id="31" name="Chart 30">
          <a:extLst>
            <a:ext uri="{FF2B5EF4-FFF2-40B4-BE49-F238E27FC236}">
              <a16:creationId xmlns:a16="http://schemas.microsoft.com/office/drawing/2014/main" id="{F2CC568C-E40B-434B-AE4E-1F5DF7EA1E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315685</xdr:colOff>
      <xdr:row>31</xdr:row>
      <xdr:rowOff>76200</xdr:rowOff>
    </xdr:from>
    <xdr:to>
      <xdr:col>27</xdr:col>
      <xdr:colOff>281411</xdr:colOff>
      <xdr:row>44</xdr:row>
      <xdr:rowOff>119743</xdr:rowOff>
    </xdr:to>
    <xdr:graphicFrame macro="">
      <xdr:nvGraphicFramePr>
        <xdr:cNvPr id="32" name="Chart 31">
          <a:extLst>
            <a:ext uri="{FF2B5EF4-FFF2-40B4-BE49-F238E27FC236}">
              <a16:creationId xmlns:a16="http://schemas.microsoft.com/office/drawing/2014/main" id="{F8372BCE-5A96-405A-BF4F-8D695AB574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58783</xdr:colOff>
      <xdr:row>19</xdr:row>
      <xdr:rowOff>76200</xdr:rowOff>
    </xdr:from>
    <xdr:to>
      <xdr:col>1</xdr:col>
      <xdr:colOff>1669869</xdr:colOff>
      <xdr:row>30</xdr:row>
      <xdr:rowOff>54429</xdr:rowOff>
    </xdr:to>
    <mc:AlternateContent xmlns:mc="http://schemas.openxmlformats.org/markup-compatibility/2006">
      <mc:Choice xmlns:a14="http://schemas.microsoft.com/office/drawing/2010/main" Requires="a14">
        <xdr:graphicFrame macro="">
          <xdr:nvGraphicFramePr>
            <xdr:cNvPr id="35" name="Order Mode">
              <a:extLst>
                <a:ext uri="{FF2B5EF4-FFF2-40B4-BE49-F238E27FC236}">
                  <a16:creationId xmlns:a16="http://schemas.microsoft.com/office/drawing/2014/main" id="{758A84AA-CB25-49EE-B3D8-E9873734379E}"/>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58783" y="3602892"/>
              <a:ext cx="1826009" cy="2019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10886</xdr:colOff>
      <xdr:row>32</xdr:row>
      <xdr:rowOff>43543</xdr:rowOff>
    </xdr:from>
    <xdr:to>
      <xdr:col>1</xdr:col>
      <xdr:colOff>1621972</xdr:colOff>
      <xdr:row>44</xdr:row>
      <xdr:rowOff>21772</xdr:rowOff>
    </xdr:to>
    <mc:AlternateContent xmlns:mc="http://schemas.openxmlformats.org/markup-compatibility/2006">
      <mc:Choice xmlns:a14="http://schemas.microsoft.com/office/drawing/2010/main" Requires="a14">
        <xdr:graphicFrame macro="">
          <xdr:nvGraphicFramePr>
            <xdr:cNvPr id="36" name="Gender Value">
              <a:extLst>
                <a:ext uri="{FF2B5EF4-FFF2-40B4-BE49-F238E27FC236}">
                  <a16:creationId xmlns:a16="http://schemas.microsoft.com/office/drawing/2014/main" id="{F51744D8-4504-4B78-8BC3-1B587FA9FE1F}"/>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10886" y="5983235"/>
              <a:ext cx="1826009" cy="22056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yathi" refreshedDate="46251.647932638887" createdVersion="8" refreshedVersion="8" minRefreshableVersion="3" recordCount="2400" xr:uid="{20DEFACB-48CA-454A-AEAB-CDFE9E42A941}">
  <cacheSource type="worksheet">
    <worksheetSource name="orders"/>
  </cacheSource>
  <cacheFields count="15">
    <cacheField name="TX ID" numFmtId="0">
      <sharedItems/>
    </cacheField>
    <cacheField name="Product" numFmtId="0">
      <sharedItems/>
    </cacheField>
    <cacheField name="Quantity" numFmtId="0">
      <sharedItems containsSemiMixedTypes="0" containsString="0" containsNumber="1" containsInteger="1" minValue="1" maxValue="87"/>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acheField>
    <cacheField name="State" numFmtId="0">
      <sharedItems/>
    </cacheField>
    <cacheField name="County" numFmtId="0">
      <sharedItems/>
    </cacheField>
    <cacheField name="Days to Deliver" numFmtId="0">
      <sharedItems containsSemiMixedTypes="0" containsString="0" containsNumber="1" containsInteger="1" minValue="0" maxValue="14"/>
    </cacheField>
    <cacheField name="Weeknum" numFmtId="0">
      <sharedItems containsSemiMixedTypes="0" containsString="0" containsNumber="1" containsInteger="1" minValue="1" maxValue="13"/>
    </cacheField>
    <cacheField name="Gender Value" numFmtId="0">
      <sharedItems count="4">
        <s v="Unknown"/>
        <s v="Male"/>
        <s v="Female"/>
        <s v="Othe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yathi" refreshedDate="46251.877425462961" createdVersion="8" refreshedVersion="8" minRefreshableVersion="3" recordCount="1" xr:uid="{4B27294E-73E5-46B5-BC12-91A8534B7F94}">
  <cacheSource type="worksheet">
    <worksheetSource ref="A11:E12" sheet="pivot table"/>
  </cacheSource>
  <cacheFields count="5">
    <cacheField name="Count of TX ID" numFmtId="0">
      <sharedItems containsSemiMixedTypes="0" containsString="0" containsNumber="1" containsInteger="1" minValue="2400" maxValue="2400"/>
    </cacheField>
    <cacheField name="Sum of Quantity" numFmtId="0">
      <sharedItems containsSemiMixedTypes="0" containsString="0" containsNumber="1" containsInteger="1" minValue="11997" maxValue="11997"/>
    </cacheField>
    <cacheField name="Sum of Amount" numFmtId="0">
      <sharedItems containsSemiMixedTypes="0" containsString="0" containsNumber="1" minValue="649019.80000000144" maxValue="649019.80000000144"/>
    </cacheField>
    <cacheField name="Average of Rating C" numFmtId="0">
      <sharedItems containsSemiMixedTypes="0" containsString="0" containsNumber="1" minValue="3.9620833333333332" maxValue="3.9620833333333332"/>
    </cacheField>
    <cacheField name="Average of Days to Deliver" numFmtId="0">
      <sharedItems containsSemiMixedTypes="0" containsString="0" containsNumber="1" minValue="2.3424999999999998" maxValue="2.342499999999999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yathi" refreshedDate="46251.877987615742" backgroundQuery="1" createdVersion="8" refreshedVersion="8" minRefreshableVersion="3" recordCount="0" supportSubquery="1" supportAdvancedDrill="1" xr:uid="{5BE68DED-E526-4F58-BA1C-17D755101FAA}">
  <cacheSource type="external" connectionId="1"/>
  <cacheFields count="2">
    <cacheField name="[Measures].[Sum of Sum of Quantity]" caption="Sum of Sum of Quantity" numFmtId="0" hierarchy="7" level="32767"/>
    <cacheField name="[Measures].[Sum of Sum of Amount]" caption="Sum of Sum of Amount" numFmtId="0" hierarchy="8" level="32767"/>
  </cacheFields>
  <cacheHierarchies count="9">
    <cacheHierarchy uniqueName="[Range].[Count of TX ID]" caption="Count of TX ID" attribute="1" defaultMemberUniqueName="[Range].[Count of TX ID].[All]" allUniqueName="[Range].[Count of TX ID].[All]" dimensionUniqueName="[Range]" displayFolder="" count="0" memberValueDatatype="20" unbalanced="0"/>
    <cacheHierarchy uniqueName="[Range].[Sum of Quantity]" caption="Sum of Quantity" attribute="1" defaultMemberUniqueName="[Range].[Sum of Quantity].[All]" allUniqueName="[Range].[Sum of Quantity].[All]" dimensionUniqueName="[Range]" displayFolder="" count="0" memberValueDatatype="20" unbalanced="0"/>
    <cacheHierarchy uniqueName="[Range].[Sum of Amount]" caption="Sum of Amount" attribute="1" defaultMemberUniqueName="[Range].[Sum of Amount].[All]" allUniqueName="[Range].[Sum of Amount].[All]" dimensionUniqueName="[Range]" displayFolder="" count="0" memberValueDatatype="5" unbalanced="0"/>
    <cacheHierarchy uniqueName="[Range].[Average of Rating C]" caption="Average of Rating C" attribute="1" defaultMemberUniqueName="[Range].[Average of Rating C].[All]" allUniqueName="[Range].[Average of Rating C].[All]" dimensionUniqueName="[Range]" displayFolder="" count="0" memberValueDatatype="5" unbalanced="0"/>
    <cacheHierarchy uniqueName="[Range].[Average of Days to Deliver]" caption="Average of Days to Deliver" attribute="1" defaultMemberUniqueName="[Range].[Average of Days to Deliver].[All]" allUniqueName="[Range].[Average of Days to Deliver].[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m of Quantity]" caption="Sum of Sum of Quantity" measure="1" displayFolder="" measureGroup="Range"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Sum of Amount]" caption="Sum of Sum of Amount" measure="1" displayFolder="" measureGroup="Range"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yathi" refreshedDate="46251.87845138889" createdVersion="8" refreshedVersion="8" minRefreshableVersion="3" recordCount="2401" xr:uid="{01276BFD-E275-47AF-9FAF-985E18747F47}">
  <cacheSource type="worksheet">
    <worksheetSource ref="A1:O1048576" sheet="Sheet1"/>
  </cacheSource>
  <cacheFields count="18">
    <cacheField name="TX ID" numFmtId="0">
      <sharedItems containsBlank="1"/>
    </cacheField>
    <cacheField name="Product" numFmtId="0">
      <sharedItems containsBlank="1" count="21">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m/>
      </sharedItems>
    </cacheField>
    <cacheField name="Quantity" numFmtId="0">
      <sharedItems containsString="0" containsBlank="1" containsNumber="1" containsInteger="1" minValue="1" maxValue="87" count="49">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m/>
      </sharedItems>
      <fieldGroup par="15"/>
    </cacheField>
    <cacheField name="Unit Price" numFmtId="0">
      <sharedItems containsString="0" containsBlank="1" containsNumber="1" minValue="10.199999999999999" maxValue="234.7"/>
    </cacheField>
    <cacheField name="Amount" numFmtId="0">
      <sharedItems containsString="0" containsBlank="1" containsNumber="1" minValue="10.9" maxValue="7446.6"/>
    </cacheField>
    <cacheField name="Order Date" numFmtId="0">
      <sharedItems containsNonDate="0" containsDate="1" containsString="0" containsBlank="1" minDate="2025-01-01T00:00:00" maxDate="2025-03-30T00:00:00" count="89">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m/>
      </sharedItems>
      <fieldGroup par="17"/>
    </cacheField>
    <cacheField name="Ship Date" numFmtId="0">
      <sharedItems containsNonDate="0" containsDate="1" containsString="0" containsBlank="1" minDate="2025-01-02T00:00:00" maxDate="2025-04-11T00:00:00"/>
    </cacheField>
    <cacheField name="Customer Gender" numFmtId="0">
      <sharedItems containsBlank="1" count="5">
        <s v=""/>
        <s v="M"/>
        <s v="F"/>
        <s v="O"/>
        <m/>
      </sharedItems>
    </cacheField>
    <cacheField name="Order Mode" numFmtId="0">
      <sharedItems containsBlank="1" count="6">
        <s v="App"/>
        <s v="Website"/>
        <s v="Target.com"/>
        <s v="Instagram"/>
        <s v="Partner App"/>
        <m/>
      </sharedItems>
    </cacheField>
    <cacheField name="Rating C" numFmtId="0">
      <sharedItems containsString="0" containsBlank="1" containsNumber="1" containsInteger="1" minValue="1" maxValue="5" count="6">
        <n v="4"/>
        <n v="3"/>
        <n v="5"/>
        <n v="1"/>
        <n v="2"/>
        <m/>
      </sharedItems>
    </cacheField>
    <cacheField name="State" numFmtId="0">
      <sharedItems containsBlank="1" count="2">
        <s v="California"/>
        <m/>
      </sharedItems>
    </cacheField>
    <cacheField name="County" numFmtId="0">
      <sharedItems containsBlank="1" count="59">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m/>
      </sharedItems>
    </cacheField>
    <cacheField name="Days to Deliver" numFmtId="0">
      <sharedItems containsString="0" containsBlank="1" containsNumber="1" containsInteger="1" minValue="0" maxValue="14" count="16">
        <n v="5"/>
        <n v="2"/>
        <n v="3"/>
        <n v="1"/>
        <n v="6"/>
        <n v="4"/>
        <n v="7"/>
        <n v="0"/>
        <n v="9"/>
        <n v="8"/>
        <n v="13"/>
        <n v="11"/>
        <n v="14"/>
        <n v="12"/>
        <n v="10"/>
        <m/>
      </sharedItems>
    </cacheField>
    <cacheField name="Weeknum" numFmtId="0">
      <sharedItems containsString="0" containsBlank="1" containsNumber="1" containsInteger="1" minValue="1" maxValue="13" count="14">
        <n v="1"/>
        <n v="2"/>
        <n v="3"/>
        <n v="4"/>
        <n v="5"/>
        <n v="6"/>
        <n v="7"/>
        <n v="8"/>
        <n v="9"/>
        <n v="10"/>
        <n v="11"/>
        <n v="12"/>
        <n v="13"/>
        <m/>
      </sharedItems>
    </cacheField>
    <cacheField name="Gender Value" numFmtId="0">
      <sharedItems containsBlank="1" count="5">
        <s v="Unknown"/>
        <s v="Male"/>
        <s v="Female"/>
        <s v="Other"/>
        <m/>
      </sharedItems>
    </cacheField>
    <cacheField name="Quantity2" numFmtId="0" databaseField="0">
      <fieldGroup base="2">
        <discretePr count="49">
          <x v="0"/>
          <x v="1"/>
          <x v="2"/>
          <x v="5"/>
          <x v="6"/>
          <x v="6"/>
          <x v="6"/>
          <x v="5"/>
          <x v="5"/>
          <x v="3"/>
          <x v="6"/>
          <x v="5"/>
          <x v="4"/>
          <x v="5"/>
          <x v="6"/>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5668845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s v="Shorts"/>
    <n v="1"/>
    <n v="10.9"/>
    <n v="10.9"/>
    <d v="2025-01-01T00:00:00"/>
    <d v="2025-01-06T00:00:00"/>
    <s v=""/>
    <x v="0"/>
    <n v="4"/>
    <s v="California"/>
    <s v="Alpine County"/>
    <n v="5"/>
    <n v="1"/>
    <x v="0"/>
  </r>
  <r>
    <s v="TX500002"/>
    <s v="Tank Tops"/>
    <n v="2"/>
    <n v="30.6"/>
    <n v="61.2"/>
    <d v="2025-01-01T00:00:00"/>
    <d v="2025-01-03T00:00:00"/>
    <s v="M"/>
    <x v="0"/>
    <n v="4"/>
    <s v="California"/>
    <s v="Contra Costa County"/>
    <n v="2"/>
    <n v="1"/>
    <x v="1"/>
  </r>
  <r>
    <s v="TX500003"/>
    <s v="Sneakers"/>
    <n v="3"/>
    <n v="109.4"/>
    <n v="328.20000000000005"/>
    <d v="2025-01-01T00:00:00"/>
    <d v="2025-01-04T00:00:00"/>
    <s v="F"/>
    <x v="0"/>
    <n v="3"/>
    <s v="California"/>
    <s v="Fresno County"/>
    <n v="3"/>
    <n v="1"/>
    <x v="2"/>
  </r>
  <r>
    <s v="TX500004"/>
    <s v="Workout Tops"/>
    <n v="7"/>
    <n v="37.700000000000003"/>
    <n v="263.90000000000003"/>
    <d v="2025-01-01T00:00:00"/>
    <d v="2025-01-02T00:00:00"/>
    <s v="F"/>
    <x v="0"/>
    <n v="4"/>
    <s v="California"/>
    <s v="Fresno County"/>
    <n v="1"/>
    <n v="1"/>
    <x v="2"/>
  </r>
  <r>
    <s v="TX500005"/>
    <s v="Graphic Tees"/>
    <n v="3"/>
    <n v="56.7"/>
    <n v="170.10000000000002"/>
    <d v="2025-01-01T00:00:00"/>
    <d v="2025-01-04T00:00:00"/>
    <s v="F"/>
    <x v="0"/>
    <n v="5"/>
    <s v="California"/>
    <s v="Los Angeles County"/>
    <n v="3"/>
    <n v="1"/>
    <x v="2"/>
  </r>
  <r>
    <s v="TX500006"/>
    <s v="Tank Tops"/>
    <n v="12"/>
    <n v="83.5"/>
    <n v="1002"/>
    <d v="2025-01-01T00:00:00"/>
    <d v="2025-01-04T00:00:00"/>
    <s v="M"/>
    <x v="1"/>
    <n v="4"/>
    <s v="California"/>
    <s v="Los Angeles County"/>
    <n v="3"/>
    <n v="1"/>
    <x v="1"/>
  </r>
  <r>
    <s v="TX500007"/>
    <s v="Sandals"/>
    <n v="1"/>
    <n v="55.3"/>
    <n v="55.3"/>
    <d v="2025-01-01T00:00:00"/>
    <d v="2025-01-02T00:00:00"/>
    <s v="F"/>
    <x v="0"/>
    <n v="4"/>
    <s v="California"/>
    <s v="Los Angeles County"/>
    <n v="1"/>
    <n v="1"/>
    <x v="2"/>
  </r>
  <r>
    <s v="TX500008"/>
    <s v="Jeans"/>
    <n v="2"/>
    <n v="40.299999999999997"/>
    <n v="80.599999999999994"/>
    <d v="2025-01-01T00:00:00"/>
    <d v="2025-01-02T00:00:00"/>
    <s v="M"/>
    <x v="2"/>
    <n v="5"/>
    <s v="California"/>
    <s v="Los Angeles County"/>
    <n v="1"/>
    <n v="1"/>
    <x v="1"/>
  </r>
  <r>
    <s v="TX500009"/>
    <s v="Hoodies &amp; Sweatshirts"/>
    <n v="11"/>
    <n v="35.700000000000003"/>
    <n v="392.70000000000005"/>
    <d v="2025-01-01T00:00:00"/>
    <d v="2025-01-02T00:00:00"/>
    <s v="F"/>
    <x v="0"/>
    <n v="4"/>
    <s v="California"/>
    <s v="Los Angeles County"/>
    <n v="1"/>
    <n v="1"/>
    <x v="2"/>
  </r>
  <r>
    <s v="TX500010"/>
    <s v="T-Shirts"/>
    <n v="7"/>
    <n v="22.4"/>
    <n v="156.79999999999998"/>
    <d v="2025-01-01T00:00:00"/>
    <d v="2025-01-04T00:00:00"/>
    <s v="M"/>
    <x v="0"/>
    <n v="3"/>
    <s v="California"/>
    <s v="Los Angeles County"/>
    <n v="3"/>
    <n v="1"/>
    <x v="1"/>
  </r>
  <r>
    <s v="TX500011"/>
    <s v="Sundresses"/>
    <n v="2"/>
    <n v="54.4"/>
    <n v="108.8"/>
    <d v="2025-01-01T00:00:00"/>
    <d v="2025-01-07T00:00:00"/>
    <s v="F"/>
    <x v="0"/>
    <n v="4"/>
    <s v="California"/>
    <s v="Los Angeles County"/>
    <n v="6"/>
    <n v="1"/>
    <x v="2"/>
  </r>
  <r>
    <s v="TX500012"/>
    <s v="Sundresses"/>
    <n v="2"/>
    <n v="49"/>
    <n v="98"/>
    <d v="2025-01-01T00:00:00"/>
    <d v="2025-01-03T00:00:00"/>
    <s v="F"/>
    <x v="2"/>
    <n v="3"/>
    <s v="California"/>
    <s v="Los Angeles County"/>
    <n v="2"/>
    <n v="1"/>
    <x v="2"/>
  </r>
  <r>
    <s v="TX500013"/>
    <s v="Sandals"/>
    <n v="7"/>
    <n v="118.6"/>
    <n v="830.19999999999993"/>
    <d v="2025-01-01T00:00:00"/>
    <d v="2025-01-05T00:00:00"/>
    <s v="F"/>
    <x v="1"/>
    <n v="4"/>
    <s v="California"/>
    <s v="Nevada County"/>
    <n v="4"/>
    <n v="1"/>
    <x v="2"/>
  </r>
  <r>
    <s v="TX500014"/>
    <s v="Jeans"/>
    <n v="27"/>
    <n v="88.4"/>
    <n v="2386.8000000000002"/>
    <d v="2025-01-01T00:00:00"/>
    <d v="2025-01-08T00:00:00"/>
    <s v="M"/>
    <x v="3"/>
    <n v="4"/>
    <s v="California"/>
    <s v="Placer County"/>
    <n v="7"/>
    <n v="1"/>
    <x v="1"/>
  </r>
  <r>
    <s v="TX500015"/>
    <s v="Bikinis"/>
    <n v="1"/>
    <n v="66.7"/>
    <n v="66.7"/>
    <d v="2025-01-01T00:00:00"/>
    <d v="2025-01-04T00:00:00"/>
    <s v="M"/>
    <x v="0"/>
    <n v="4"/>
    <s v="California"/>
    <s v="Sacramento County"/>
    <n v="3"/>
    <n v="1"/>
    <x v="1"/>
  </r>
  <r>
    <s v="TX500016"/>
    <s v="Sundresses"/>
    <n v="10"/>
    <n v="30.9"/>
    <n v="309"/>
    <d v="2025-01-01T00:00:00"/>
    <d v="2025-01-02T00:00:00"/>
    <s v="M"/>
    <x v="1"/>
    <n v="5"/>
    <s v="California"/>
    <s v="Sacramento County"/>
    <n v="1"/>
    <n v="1"/>
    <x v="1"/>
  </r>
  <r>
    <s v="TX500017"/>
    <s v="Graphic Tees"/>
    <n v="3"/>
    <n v="31.1"/>
    <n v="93.300000000000011"/>
    <d v="2025-01-01T00:00:00"/>
    <d v="2025-01-02T00:00:00"/>
    <s v="F"/>
    <x v="0"/>
    <n v="3"/>
    <s v="California"/>
    <s v="Sacramento County"/>
    <n v="1"/>
    <n v="1"/>
    <x v="2"/>
  </r>
  <r>
    <s v="TX500018"/>
    <s v="Hoodies &amp; Sweatshirts"/>
    <n v="3"/>
    <n v="36.6"/>
    <n v="109.80000000000001"/>
    <d v="2025-01-01T00:00:00"/>
    <d v="2025-01-04T00:00:00"/>
    <s v="F"/>
    <x v="0"/>
    <n v="4"/>
    <s v="California"/>
    <s v="San Bernardino County"/>
    <n v="3"/>
    <n v="1"/>
    <x v="2"/>
  </r>
  <r>
    <s v="TX500019"/>
    <s v="Jeans"/>
    <n v="8"/>
    <n v="51.1"/>
    <n v="408.8"/>
    <d v="2025-01-01T00:00:00"/>
    <d v="2025-01-04T00:00:00"/>
    <s v="F"/>
    <x v="2"/>
    <n v="1"/>
    <s v="California"/>
    <s v="San Bernardino County"/>
    <n v="3"/>
    <n v="1"/>
    <x v="2"/>
  </r>
  <r>
    <s v="TX500020"/>
    <s v="Sundresses"/>
    <n v="1"/>
    <n v="25.2"/>
    <n v="25.2"/>
    <d v="2025-01-01T00:00:00"/>
    <d v="2025-01-02T00:00:00"/>
    <s v="F"/>
    <x v="1"/>
    <n v="5"/>
    <s v="California"/>
    <s v="San Diego County"/>
    <n v="1"/>
    <n v="1"/>
    <x v="2"/>
  </r>
  <r>
    <s v="TX500021"/>
    <s v="Sundresses"/>
    <n v="5"/>
    <n v="43.8"/>
    <n v="219"/>
    <d v="2025-01-01T00:00:00"/>
    <d v="2025-01-04T00:00:00"/>
    <s v="F"/>
    <x v="2"/>
    <n v="4"/>
    <s v="California"/>
    <s v="San Diego County"/>
    <n v="3"/>
    <n v="1"/>
    <x v="2"/>
  </r>
  <r>
    <s v="TX500022"/>
    <s v="T-Shirts"/>
    <n v="12"/>
    <n v="46.7"/>
    <n v="560.40000000000009"/>
    <d v="2025-01-01T00:00:00"/>
    <d v="2025-01-02T00:00:00"/>
    <s v="F"/>
    <x v="1"/>
    <n v="3"/>
    <s v="California"/>
    <s v="San Diego County"/>
    <n v="1"/>
    <n v="1"/>
    <x v="2"/>
  </r>
  <r>
    <s v="TX500023"/>
    <s v="Workout Tops"/>
    <n v="19"/>
    <n v="79.900000000000006"/>
    <n v="1518.1000000000001"/>
    <d v="2025-01-01T00:00:00"/>
    <d v="2025-01-02T00:00:00"/>
    <s v="M"/>
    <x v="0"/>
    <n v="5"/>
    <s v="California"/>
    <s v="San Diego County"/>
    <n v="1"/>
    <n v="1"/>
    <x v="1"/>
  </r>
  <r>
    <s v="TX500024"/>
    <s v="Maxi Dresses"/>
    <n v="8"/>
    <n v="26.4"/>
    <n v="211.2"/>
    <d v="2025-01-01T00:00:00"/>
    <d v="2025-01-02T00:00:00"/>
    <s v="F"/>
    <x v="3"/>
    <n v="4"/>
    <s v="California"/>
    <s v="San Diego County"/>
    <n v="1"/>
    <n v="1"/>
    <x v="2"/>
  </r>
  <r>
    <s v="TX500025"/>
    <s v="Casual Dresses"/>
    <n v="8"/>
    <n v="88.8"/>
    <n v="710.4"/>
    <d v="2025-01-01T00:00:00"/>
    <d v="2025-01-02T00:00:00"/>
    <s v="F"/>
    <x v="4"/>
    <n v="4"/>
    <s v="California"/>
    <s v="San Diego County"/>
    <n v="1"/>
    <n v="1"/>
    <x v="2"/>
  </r>
  <r>
    <s v="TX500026"/>
    <s v="Shorts"/>
    <n v="10"/>
    <n v="17.5"/>
    <n v="175"/>
    <d v="2025-01-01T00:00:00"/>
    <d v="2025-01-02T00:00:00"/>
    <s v="F"/>
    <x v="2"/>
    <n v="4"/>
    <s v="California"/>
    <s v="San Mateo County"/>
    <n v="1"/>
    <n v="1"/>
    <x v="2"/>
  </r>
  <r>
    <s v="TX500027"/>
    <s v="Tank Tops"/>
    <n v="9"/>
    <n v="38.700000000000003"/>
    <n v="348.3"/>
    <d v="2025-01-01T00:00:00"/>
    <d v="2025-01-04T00:00:00"/>
    <s v="M"/>
    <x v="1"/>
    <n v="4"/>
    <s v="California"/>
    <s v="Santa Barbara County"/>
    <n v="3"/>
    <n v="1"/>
    <x v="1"/>
  </r>
  <r>
    <s v="TX500028"/>
    <s v="Tote Bags"/>
    <n v="4"/>
    <n v="57.2"/>
    <n v="228.8"/>
    <d v="2025-01-01T00:00:00"/>
    <d v="2025-01-03T00:00:00"/>
    <s v=""/>
    <x v="1"/>
    <n v="5"/>
    <s v="California"/>
    <s v="Santa Clara County"/>
    <n v="2"/>
    <n v="1"/>
    <x v="0"/>
  </r>
  <r>
    <s v="TX500029"/>
    <s v="Jeans"/>
    <n v="5"/>
    <n v="50.9"/>
    <n v="254.5"/>
    <d v="2025-01-01T00:00:00"/>
    <d v="2025-01-07T00:00:00"/>
    <s v=""/>
    <x v="1"/>
    <n v="5"/>
    <s v="California"/>
    <s v="Tehama County"/>
    <n v="6"/>
    <n v="1"/>
    <x v="0"/>
  </r>
  <r>
    <s v="TX500030"/>
    <s v="Baseball Caps"/>
    <n v="7"/>
    <n v="41"/>
    <n v="287"/>
    <d v="2025-01-01T00:00:00"/>
    <d v="2025-01-05T00:00:00"/>
    <s v="F"/>
    <x v="1"/>
    <n v="4"/>
    <s v="California"/>
    <s v="Ventura County"/>
    <n v="4"/>
    <n v="1"/>
    <x v="2"/>
  </r>
  <r>
    <s v="TX500031"/>
    <s v="T-Shirts"/>
    <n v="7"/>
    <n v="19.100000000000001"/>
    <n v="133.70000000000002"/>
    <d v="2025-01-01T00:00:00"/>
    <d v="2025-01-05T00:00:00"/>
    <s v="M"/>
    <x v="0"/>
    <n v="5"/>
    <s v="California"/>
    <s v="Calaveras County"/>
    <n v="4"/>
    <n v="1"/>
    <x v="1"/>
  </r>
  <r>
    <s v="TX500032"/>
    <s v="Sneakers"/>
    <n v="5"/>
    <n v="166.1"/>
    <n v="830.5"/>
    <d v="2025-01-01T00:00:00"/>
    <d v="2025-01-04T00:00:00"/>
    <s v="M"/>
    <x v="0"/>
    <n v="4"/>
    <s v="California"/>
    <s v="Inyo County"/>
    <n v="3"/>
    <n v="1"/>
    <x v="1"/>
  </r>
  <r>
    <s v="TX500033"/>
    <s v="Graphic Tees"/>
    <n v="3"/>
    <n v="29.9"/>
    <n v="89.699999999999989"/>
    <d v="2025-01-01T00:00:00"/>
    <d v="2025-01-02T00:00:00"/>
    <s v="M"/>
    <x v="3"/>
    <n v="4"/>
    <s v="California"/>
    <s v="Los Angeles County"/>
    <n v="1"/>
    <n v="1"/>
    <x v="1"/>
  </r>
  <r>
    <s v="TX500034"/>
    <s v="Bikinis"/>
    <n v="6"/>
    <n v="21.7"/>
    <n v="130.19999999999999"/>
    <d v="2025-01-01T00:00:00"/>
    <d v="2025-01-03T00:00:00"/>
    <s v="O"/>
    <x v="2"/>
    <n v="5"/>
    <s v="California"/>
    <s v="Los Angeles County"/>
    <n v="2"/>
    <n v="1"/>
    <x v="3"/>
  </r>
  <r>
    <s v="TX500035"/>
    <s v="Maxi Dresses"/>
    <n v="2"/>
    <n v="32"/>
    <n v="64"/>
    <d v="2025-01-01T00:00:00"/>
    <d v="2025-01-04T00:00:00"/>
    <s v="M"/>
    <x v="0"/>
    <n v="5"/>
    <s v="California"/>
    <s v="Los Angeles County"/>
    <n v="3"/>
    <n v="1"/>
    <x v="1"/>
  </r>
  <r>
    <s v="TX500036"/>
    <s v="T-Shirts"/>
    <n v="2"/>
    <n v="15.8"/>
    <n v="31.6"/>
    <d v="2025-01-01T00:00:00"/>
    <d v="2025-01-02T00:00:00"/>
    <s v="M"/>
    <x v="4"/>
    <n v="5"/>
    <s v="California"/>
    <s v="Los Angeles County"/>
    <n v="1"/>
    <n v="1"/>
    <x v="1"/>
  </r>
  <r>
    <s v="TX500037"/>
    <s v="Sneakers"/>
    <n v="17"/>
    <n v="203.1"/>
    <n v="3452.7"/>
    <d v="2025-01-01T00:00:00"/>
    <d v="2025-01-05T00:00:00"/>
    <s v="M"/>
    <x v="3"/>
    <n v="3"/>
    <s v="California"/>
    <s v="Los Angeles County"/>
    <n v="4"/>
    <n v="1"/>
    <x v="1"/>
  </r>
  <r>
    <s v="TX500038"/>
    <s v="Hoodies &amp; Sweatshirts"/>
    <n v="13"/>
    <n v="39"/>
    <n v="507"/>
    <d v="2025-01-01T00:00:00"/>
    <d v="2025-01-07T00:00:00"/>
    <s v="M"/>
    <x v="0"/>
    <n v="5"/>
    <s v="California"/>
    <s v="Los Angeles County"/>
    <n v="6"/>
    <n v="1"/>
    <x v="1"/>
  </r>
  <r>
    <s v="TX500039"/>
    <s v="Bikinis"/>
    <n v="1"/>
    <n v="26.5"/>
    <n v="26.5"/>
    <d v="2025-01-02T00:00:00"/>
    <d v="2025-01-03T00:00:00"/>
    <s v="M"/>
    <x v="2"/>
    <n v="4"/>
    <s v="California"/>
    <s v="Los Angeles County"/>
    <n v="1"/>
    <n v="1"/>
    <x v="1"/>
  </r>
  <r>
    <s v="TX500040"/>
    <s v="Sandals"/>
    <n v="1"/>
    <n v="43.1"/>
    <n v="43.1"/>
    <d v="2025-01-02T00:00:00"/>
    <d v="2025-01-03T00:00:00"/>
    <s v="F"/>
    <x v="2"/>
    <n v="3"/>
    <s v="California"/>
    <s v="Los Angeles County"/>
    <n v="1"/>
    <n v="1"/>
    <x v="2"/>
  </r>
  <r>
    <s v="TX500041"/>
    <s v="Tank Tops"/>
    <n v="3"/>
    <n v="139"/>
    <n v="417"/>
    <d v="2025-01-02T00:00:00"/>
    <d v="2025-01-03T00:00:00"/>
    <s v="F"/>
    <x v="4"/>
    <n v="5"/>
    <s v="California"/>
    <s v="Los Angeles County"/>
    <n v="1"/>
    <n v="1"/>
    <x v="2"/>
  </r>
  <r>
    <s v="TX500042"/>
    <s v="Casual Dresses"/>
    <n v="1"/>
    <n v="80.7"/>
    <n v="80.7"/>
    <d v="2025-01-02T00:00:00"/>
    <d v="2025-01-03T00:00:00"/>
    <s v="M"/>
    <x v="0"/>
    <n v="5"/>
    <s v="California"/>
    <s v="Napa County"/>
    <n v="1"/>
    <n v="1"/>
    <x v="1"/>
  </r>
  <r>
    <s v="TX500043"/>
    <s v="Graphic Tees"/>
    <n v="2"/>
    <n v="54.5"/>
    <n v="109"/>
    <d v="2025-01-02T00:00:00"/>
    <d v="2025-01-04T00:00:00"/>
    <s v="M"/>
    <x v="1"/>
    <n v="3"/>
    <s v="California"/>
    <s v="Sacramento County"/>
    <n v="2"/>
    <n v="1"/>
    <x v="1"/>
  </r>
  <r>
    <s v="TX500044"/>
    <s v="Jeans"/>
    <n v="3"/>
    <n v="68.599999999999994"/>
    <n v="205.79999999999998"/>
    <d v="2025-01-02T00:00:00"/>
    <d v="2025-01-02T00:00:00"/>
    <s v="F"/>
    <x v="0"/>
    <n v="3"/>
    <s v="California"/>
    <s v="San Diego County"/>
    <n v="0"/>
    <n v="1"/>
    <x v="2"/>
  </r>
  <r>
    <s v="TX500045"/>
    <s v="Sneakers"/>
    <n v="4"/>
    <n v="135.9"/>
    <n v="543.6"/>
    <d v="2025-01-02T00:00:00"/>
    <d v="2025-01-03T00:00:00"/>
    <s v="F"/>
    <x v="2"/>
    <n v="5"/>
    <s v="California"/>
    <s v="San Diego County"/>
    <n v="1"/>
    <n v="1"/>
    <x v="2"/>
  </r>
  <r>
    <s v="TX500046"/>
    <s v="Sneakers"/>
    <n v="4"/>
    <n v="70.900000000000006"/>
    <n v="283.60000000000002"/>
    <d v="2025-01-02T00:00:00"/>
    <d v="2025-01-03T00:00:00"/>
    <s v="F"/>
    <x v="0"/>
    <n v="4"/>
    <s v="California"/>
    <s v="San Francisco"/>
    <n v="1"/>
    <n v="1"/>
    <x v="2"/>
  </r>
  <r>
    <s v="TX500047"/>
    <s v="Tank Tops"/>
    <n v="5"/>
    <n v="63.7"/>
    <n v="318.5"/>
    <d v="2025-01-02T00:00:00"/>
    <d v="2025-01-03T00:00:00"/>
    <s v="M"/>
    <x v="1"/>
    <n v="3"/>
    <s v="California"/>
    <s v="San Mateo County"/>
    <n v="1"/>
    <n v="1"/>
    <x v="1"/>
  </r>
  <r>
    <s v="TX500048"/>
    <s v="Tote Bags"/>
    <n v="1"/>
    <n v="29.7"/>
    <n v="29.7"/>
    <d v="2025-01-02T00:00:00"/>
    <d v="2025-01-04T00:00:00"/>
    <s v="F"/>
    <x v="1"/>
    <n v="4"/>
    <s v="California"/>
    <s v="Santa Clara County"/>
    <n v="2"/>
    <n v="1"/>
    <x v="2"/>
  </r>
  <r>
    <s v="TX500049"/>
    <s v="Graphic Tees"/>
    <n v="3"/>
    <n v="26.8"/>
    <n v="80.400000000000006"/>
    <d v="2025-01-02T00:00:00"/>
    <d v="2025-01-11T00:00:00"/>
    <s v="F"/>
    <x v="1"/>
    <n v="5"/>
    <s v="California"/>
    <s v="Santa Clara County"/>
    <n v="9"/>
    <n v="1"/>
    <x v="2"/>
  </r>
  <r>
    <s v="TX500050"/>
    <s v="Baseball Caps"/>
    <n v="1"/>
    <n v="27"/>
    <n v="27"/>
    <d v="2025-01-02T00:00:00"/>
    <d v="2025-01-04T00:00:00"/>
    <s v="F"/>
    <x v="0"/>
    <n v="4"/>
    <s v="California"/>
    <s v="Sonoma County"/>
    <n v="2"/>
    <n v="1"/>
    <x v="2"/>
  </r>
  <r>
    <s v="TX500051"/>
    <s v="T-Shirts"/>
    <n v="1"/>
    <n v="41.4"/>
    <n v="41.4"/>
    <d v="2025-01-02T00:00:00"/>
    <d v="2025-01-03T00:00:00"/>
    <s v="M"/>
    <x v="1"/>
    <n v="5"/>
    <s v="California"/>
    <s v="Stanislaus County"/>
    <n v="1"/>
    <n v="1"/>
    <x v="1"/>
  </r>
  <r>
    <s v="TX500052"/>
    <s v="T-Shirts"/>
    <n v="2"/>
    <n v="24.3"/>
    <n v="48.6"/>
    <d v="2025-01-02T00:00:00"/>
    <d v="2025-01-05T00:00:00"/>
    <s v="F"/>
    <x v="1"/>
    <n v="4"/>
    <s v="California"/>
    <s v="Stanislaus County"/>
    <n v="3"/>
    <n v="1"/>
    <x v="2"/>
  </r>
  <r>
    <s v="TX500053"/>
    <s v="T-Shirts"/>
    <n v="3"/>
    <n v="41.7"/>
    <n v="125.10000000000001"/>
    <d v="2025-01-02T00:00:00"/>
    <d v="2025-01-04T00:00:00"/>
    <s v="M"/>
    <x v="0"/>
    <n v="5"/>
    <s v="California"/>
    <s v="Tulare County"/>
    <n v="2"/>
    <n v="1"/>
    <x v="1"/>
  </r>
  <r>
    <s v="TX500054"/>
    <s v="Shorts"/>
    <n v="2"/>
    <n v="18"/>
    <n v="36"/>
    <d v="2025-01-02T00:00:00"/>
    <d v="2025-01-03T00:00:00"/>
    <s v="F"/>
    <x v="0"/>
    <n v="5"/>
    <s v="California"/>
    <s v="Alameda County"/>
    <n v="1"/>
    <n v="1"/>
    <x v="2"/>
  </r>
  <r>
    <s v="TX500055"/>
    <s v="Hoodies &amp; Sweatshirts"/>
    <n v="3"/>
    <n v="91.3"/>
    <n v="273.89999999999998"/>
    <d v="2025-01-02T00:00:00"/>
    <d v="2025-01-05T00:00:00"/>
    <s v="M"/>
    <x v="2"/>
    <n v="5"/>
    <s v="California"/>
    <s v="Los Angeles County"/>
    <n v="3"/>
    <n v="1"/>
    <x v="1"/>
  </r>
  <r>
    <s v="TX500056"/>
    <s v="T-Shirts"/>
    <n v="8"/>
    <n v="19.3"/>
    <n v="154.4"/>
    <d v="2025-01-02T00:00:00"/>
    <d v="2025-01-03T00:00:00"/>
    <s v="M"/>
    <x v="0"/>
    <n v="4"/>
    <s v="California"/>
    <s v="Los Angeles County"/>
    <n v="1"/>
    <n v="1"/>
    <x v="1"/>
  </r>
  <r>
    <s v="TX500057"/>
    <s v="Casual Dresses"/>
    <n v="13"/>
    <n v="63.2"/>
    <n v="821.6"/>
    <d v="2025-01-02T00:00:00"/>
    <d v="2025-01-03T00:00:00"/>
    <s v="F"/>
    <x v="0"/>
    <n v="4"/>
    <s v="California"/>
    <s v="Los Angeles County"/>
    <n v="1"/>
    <n v="1"/>
    <x v="2"/>
  </r>
  <r>
    <s v="TX500058"/>
    <s v="Bikinis"/>
    <n v="9"/>
    <n v="33.299999999999997"/>
    <n v="299.7"/>
    <d v="2025-01-03T00:00:00"/>
    <d v="2025-01-11T00:00:00"/>
    <s v="F"/>
    <x v="0"/>
    <n v="5"/>
    <s v="California"/>
    <s v="Los Angeles County"/>
    <n v="8"/>
    <n v="1"/>
    <x v="2"/>
  </r>
  <r>
    <s v="TX500059"/>
    <s v="Hoodies &amp; Sweatshirts"/>
    <n v="2"/>
    <n v="64.2"/>
    <n v="128.4"/>
    <d v="2025-01-03T00:00:00"/>
    <d v="2025-01-04T00:00:00"/>
    <s v="M"/>
    <x v="0"/>
    <n v="5"/>
    <s v="California"/>
    <s v="Los Angeles County"/>
    <n v="1"/>
    <n v="1"/>
    <x v="1"/>
  </r>
  <r>
    <s v="TX500060"/>
    <s v="Sundresses"/>
    <n v="3"/>
    <n v="23.1"/>
    <n v="69.300000000000011"/>
    <d v="2025-01-03T00:00:00"/>
    <d v="2025-01-06T00:00:00"/>
    <s v="F"/>
    <x v="1"/>
    <n v="5"/>
    <s v="California"/>
    <s v="Los Angeles County"/>
    <n v="3"/>
    <n v="1"/>
    <x v="2"/>
  </r>
  <r>
    <s v="TX500061"/>
    <s v="Crop Tops"/>
    <n v="2"/>
    <n v="71.099999999999994"/>
    <n v="142.19999999999999"/>
    <d v="2025-01-03T00:00:00"/>
    <d v="2025-01-05T00:00:00"/>
    <s v="F"/>
    <x v="3"/>
    <n v="3"/>
    <s v="California"/>
    <s v="Los Angeles County"/>
    <n v="2"/>
    <n v="1"/>
    <x v="2"/>
  </r>
  <r>
    <s v="TX500062"/>
    <s v="Shorts"/>
    <n v="2"/>
    <n v="11.5"/>
    <n v="23"/>
    <d v="2025-01-03T00:00:00"/>
    <d v="2025-01-04T00:00:00"/>
    <s v="F"/>
    <x v="0"/>
    <n v="4"/>
    <s v="California"/>
    <s v="Los Angeles County"/>
    <n v="1"/>
    <n v="1"/>
    <x v="2"/>
  </r>
  <r>
    <s v="TX500063"/>
    <s v="Crop Tops"/>
    <n v="19"/>
    <n v="69.2"/>
    <n v="1314.8"/>
    <d v="2025-01-03T00:00:00"/>
    <d v="2025-01-08T00:00:00"/>
    <s v="F"/>
    <x v="0"/>
    <n v="4"/>
    <s v="California"/>
    <s v="Los Angeles County"/>
    <n v="5"/>
    <n v="1"/>
    <x v="2"/>
  </r>
  <r>
    <s v="TX500064"/>
    <s v="Shorts"/>
    <n v="1"/>
    <n v="26.8"/>
    <n v="26.8"/>
    <d v="2025-01-03T00:00:00"/>
    <d v="2025-01-04T00:00:00"/>
    <s v="M"/>
    <x v="2"/>
    <n v="2"/>
    <s v="California"/>
    <s v="Los Angeles County"/>
    <n v="1"/>
    <n v="1"/>
    <x v="1"/>
  </r>
  <r>
    <s v="TX500065"/>
    <s v="Sunglasses"/>
    <n v="3"/>
    <n v="31.2"/>
    <n v="93.6"/>
    <d v="2025-01-03T00:00:00"/>
    <d v="2025-01-06T00:00:00"/>
    <s v="F"/>
    <x v="0"/>
    <n v="4"/>
    <s v="California"/>
    <s v="Los Angeles County"/>
    <n v="3"/>
    <n v="1"/>
    <x v="2"/>
  </r>
  <r>
    <s v="TX500066"/>
    <s v="Casual Dresses"/>
    <n v="2"/>
    <n v="113.2"/>
    <n v="226.4"/>
    <d v="2025-01-03T00:00:00"/>
    <d v="2025-01-04T00:00:00"/>
    <s v="F"/>
    <x v="4"/>
    <n v="4"/>
    <s v="California"/>
    <s v="Los Angeles County"/>
    <n v="1"/>
    <n v="1"/>
    <x v="2"/>
  </r>
  <r>
    <s v="TX500067"/>
    <s v="Bikinis"/>
    <n v="8"/>
    <n v="21"/>
    <n v="168"/>
    <d v="2025-01-03T00:00:00"/>
    <d v="2025-01-04T00:00:00"/>
    <s v="M"/>
    <x v="0"/>
    <n v="4"/>
    <s v="California"/>
    <s v="Sacramento County"/>
    <n v="1"/>
    <n v="1"/>
    <x v="1"/>
  </r>
  <r>
    <s v="TX500068"/>
    <s v="Tank Tops"/>
    <n v="2"/>
    <n v="89.1"/>
    <n v="178.2"/>
    <d v="2025-01-03T00:00:00"/>
    <d v="2025-01-04T00:00:00"/>
    <s v="F"/>
    <x v="2"/>
    <n v="5"/>
    <s v="California"/>
    <s v="Sacramento County"/>
    <n v="1"/>
    <n v="1"/>
    <x v="2"/>
  </r>
  <r>
    <s v="TX500069"/>
    <s v="Tank Tops"/>
    <n v="1"/>
    <n v="97.7"/>
    <n v="97.7"/>
    <d v="2025-01-03T00:00:00"/>
    <d v="2025-01-05T00:00:00"/>
    <s v="F"/>
    <x v="0"/>
    <n v="3"/>
    <s v="California"/>
    <s v="Sacramento County"/>
    <n v="2"/>
    <n v="1"/>
    <x v="2"/>
  </r>
  <r>
    <s v="TX500070"/>
    <s v="Crop Tops"/>
    <n v="4"/>
    <n v="97.7"/>
    <n v="390.8"/>
    <d v="2025-01-03T00:00:00"/>
    <d v="2025-01-05T00:00:00"/>
    <s v="M"/>
    <x v="3"/>
    <n v="4"/>
    <s v="California"/>
    <s v="Sacramento County"/>
    <n v="2"/>
    <n v="1"/>
    <x v="1"/>
  </r>
  <r>
    <s v="TX500071"/>
    <s v="Pajama Sets"/>
    <n v="3"/>
    <n v="47.4"/>
    <n v="142.19999999999999"/>
    <d v="2025-01-03T00:00:00"/>
    <d v="2025-01-06T00:00:00"/>
    <s v="M"/>
    <x v="3"/>
    <n v="5"/>
    <s v="California"/>
    <s v="San Diego County"/>
    <n v="3"/>
    <n v="1"/>
    <x v="1"/>
  </r>
  <r>
    <s v="TX500072"/>
    <s v="Hoodies &amp; Sweatshirts"/>
    <n v="1"/>
    <n v="89.6"/>
    <n v="89.6"/>
    <d v="2025-01-03T00:00:00"/>
    <d v="2025-01-06T00:00:00"/>
    <s v="F"/>
    <x v="0"/>
    <n v="5"/>
    <s v="California"/>
    <s v="San Diego County"/>
    <n v="3"/>
    <n v="1"/>
    <x v="2"/>
  </r>
  <r>
    <s v="TX500073"/>
    <s v="Bikinis"/>
    <n v="18"/>
    <n v="28.4"/>
    <n v="511.2"/>
    <d v="2025-01-03T00:00:00"/>
    <d v="2025-01-06T00:00:00"/>
    <s v="F"/>
    <x v="3"/>
    <n v="5"/>
    <s v="California"/>
    <s v="San Francisco"/>
    <n v="3"/>
    <n v="1"/>
    <x v="2"/>
  </r>
  <r>
    <s v="TX500074"/>
    <s v="Shorts"/>
    <n v="2"/>
    <n v="17.899999999999999"/>
    <n v="35.799999999999997"/>
    <d v="2025-01-03T00:00:00"/>
    <d v="2025-01-04T00:00:00"/>
    <s v="F"/>
    <x v="0"/>
    <n v="5"/>
    <s v="California"/>
    <s v="San Mateo County"/>
    <n v="1"/>
    <n v="1"/>
    <x v="2"/>
  </r>
  <r>
    <s v="TX500075"/>
    <s v="Sundresses"/>
    <n v="2"/>
    <n v="48.4"/>
    <n v="96.8"/>
    <d v="2025-01-03T00:00:00"/>
    <d v="2025-01-06T00:00:00"/>
    <s v="M"/>
    <x v="1"/>
    <n v="4"/>
    <s v="California"/>
    <s v="San Mateo County"/>
    <n v="3"/>
    <n v="1"/>
    <x v="1"/>
  </r>
  <r>
    <s v="TX500076"/>
    <s v="Casual Dresses"/>
    <n v="4"/>
    <n v="44.4"/>
    <n v="177.6"/>
    <d v="2025-01-03T00:00:00"/>
    <d v="2025-01-04T00:00:00"/>
    <s v="O"/>
    <x v="1"/>
    <n v="3"/>
    <s v="California"/>
    <s v="Santa Clara County"/>
    <n v="1"/>
    <n v="1"/>
    <x v="3"/>
  </r>
  <r>
    <s v="TX500077"/>
    <s v="Sneakers"/>
    <n v="8"/>
    <n v="103.7"/>
    <n v="829.6"/>
    <d v="2025-01-03T00:00:00"/>
    <d v="2025-01-04T00:00:00"/>
    <s v="F"/>
    <x v="0"/>
    <n v="3"/>
    <s v="California"/>
    <s v="Stanislaus County"/>
    <n v="1"/>
    <n v="1"/>
    <x v="2"/>
  </r>
  <r>
    <s v="TX500078"/>
    <s v="Sandals"/>
    <n v="4"/>
    <n v="58.6"/>
    <n v="234.4"/>
    <d v="2025-01-03T00:00:00"/>
    <d v="2025-01-05T00:00:00"/>
    <s v="M"/>
    <x v="3"/>
    <n v="4"/>
    <s v="California"/>
    <s v="Stanislaus County"/>
    <n v="2"/>
    <n v="1"/>
    <x v="1"/>
  </r>
  <r>
    <s v="TX500079"/>
    <s v="Sundresses"/>
    <n v="4"/>
    <n v="54.8"/>
    <n v="219.2"/>
    <d v="2025-01-03T00:00:00"/>
    <d v="2025-01-07T00:00:00"/>
    <s v="F"/>
    <x v="2"/>
    <n v="3"/>
    <s v="California"/>
    <s v="Ventura County"/>
    <n v="4"/>
    <n v="1"/>
    <x v="2"/>
  </r>
  <r>
    <s v="TX500080"/>
    <s v="Casual Dresses"/>
    <n v="3"/>
    <n v="78.8"/>
    <n v="236.39999999999998"/>
    <d v="2025-01-03T00:00:00"/>
    <d v="2025-01-09T00:00:00"/>
    <s v="F"/>
    <x v="4"/>
    <n v="3"/>
    <s v="California"/>
    <s v="Alameda County"/>
    <n v="6"/>
    <n v="1"/>
    <x v="2"/>
  </r>
  <r>
    <s v="TX500081"/>
    <s v="Leggings"/>
    <n v="5"/>
    <n v="36.799999999999997"/>
    <n v="184"/>
    <d v="2025-01-03T00:00:00"/>
    <d v="2025-01-06T00:00:00"/>
    <s v="M"/>
    <x v="4"/>
    <n v="3"/>
    <s v="California"/>
    <s v="Kern County"/>
    <n v="3"/>
    <n v="1"/>
    <x v="1"/>
  </r>
  <r>
    <s v="TX500082"/>
    <s v="Jeans"/>
    <n v="6"/>
    <n v="50.6"/>
    <n v="303.60000000000002"/>
    <d v="2025-01-03T00:00:00"/>
    <d v="2025-01-05T00:00:00"/>
    <s v="F"/>
    <x v="3"/>
    <n v="4"/>
    <s v="California"/>
    <s v="Los Angeles County"/>
    <n v="2"/>
    <n v="1"/>
    <x v="2"/>
  </r>
  <r>
    <s v="TX500083"/>
    <s v="Crop Tops"/>
    <n v="3"/>
    <n v="36.799999999999997"/>
    <n v="110.39999999999999"/>
    <d v="2025-01-03T00:00:00"/>
    <d v="2025-01-03T00:00:00"/>
    <s v="M"/>
    <x v="2"/>
    <n v="3"/>
    <s v="California"/>
    <s v="Los Angeles County"/>
    <n v="0"/>
    <n v="1"/>
    <x v="1"/>
  </r>
  <r>
    <s v="TX500084"/>
    <s v="T-Shirts"/>
    <n v="9"/>
    <n v="41.8"/>
    <n v="376.2"/>
    <d v="2025-01-04T00:00:00"/>
    <d v="2025-01-10T00:00:00"/>
    <s v="F"/>
    <x v="3"/>
    <n v="4"/>
    <s v="California"/>
    <s v="Los Angeles County"/>
    <n v="6"/>
    <n v="1"/>
    <x v="2"/>
  </r>
  <r>
    <s v="TX500085"/>
    <s v="Leggings"/>
    <n v="1"/>
    <n v="77.3"/>
    <n v="77.3"/>
    <d v="2025-01-04T00:00:00"/>
    <d v="2025-01-05T00:00:00"/>
    <s v="M"/>
    <x v="4"/>
    <n v="2"/>
    <s v="California"/>
    <s v="Los Angeles County"/>
    <n v="1"/>
    <n v="1"/>
    <x v="1"/>
  </r>
  <r>
    <s v="TX500086"/>
    <s v="T-Shirts"/>
    <n v="4"/>
    <n v="19.8"/>
    <n v="79.2"/>
    <d v="2025-01-04T00:00:00"/>
    <d v="2025-01-10T00:00:00"/>
    <s v="M"/>
    <x v="1"/>
    <n v="5"/>
    <s v="California"/>
    <s v="Los Angeles County"/>
    <n v="6"/>
    <n v="1"/>
    <x v="1"/>
  </r>
  <r>
    <s v="TX500087"/>
    <s v="Tote Bags"/>
    <n v="4"/>
    <n v="15.5"/>
    <n v="62"/>
    <d v="2025-01-04T00:00:00"/>
    <d v="2025-01-05T00:00:00"/>
    <s v="F"/>
    <x v="1"/>
    <n v="5"/>
    <s v="California"/>
    <s v="Los Angeles County"/>
    <n v="1"/>
    <n v="1"/>
    <x v="2"/>
  </r>
  <r>
    <s v="TX500088"/>
    <s v="Casual Dresses"/>
    <n v="1"/>
    <n v="46.8"/>
    <n v="46.8"/>
    <d v="2025-01-04T00:00:00"/>
    <d v="2025-01-08T00:00:00"/>
    <s v="M"/>
    <x v="0"/>
    <n v="5"/>
    <s v="California"/>
    <s v="Los Angeles County"/>
    <n v="4"/>
    <n v="1"/>
    <x v="1"/>
  </r>
  <r>
    <s v="TX500089"/>
    <s v="Sundresses"/>
    <n v="9"/>
    <n v="28.6"/>
    <n v="257.40000000000003"/>
    <d v="2025-01-04T00:00:00"/>
    <d v="2025-01-08T00:00:00"/>
    <s v="M"/>
    <x v="0"/>
    <n v="5"/>
    <s v="California"/>
    <s v="Los Angeles County"/>
    <n v="4"/>
    <n v="1"/>
    <x v="1"/>
  </r>
  <r>
    <s v="TX500090"/>
    <s v="Sneakers"/>
    <n v="1"/>
    <n v="97.7"/>
    <n v="97.7"/>
    <d v="2025-01-04T00:00:00"/>
    <d v="2025-01-07T00:00:00"/>
    <s v="F"/>
    <x v="1"/>
    <n v="4"/>
    <s v="California"/>
    <s v="Los Angeles County"/>
    <n v="3"/>
    <n v="1"/>
    <x v="2"/>
  </r>
  <r>
    <s v="TX500091"/>
    <s v="Sundresses"/>
    <n v="5"/>
    <n v="54.7"/>
    <n v="273.5"/>
    <d v="2025-01-04T00:00:00"/>
    <d v="2025-01-07T00:00:00"/>
    <s v=""/>
    <x v="0"/>
    <n v="5"/>
    <s v="California"/>
    <s v="Riverside County"/>
    <n v="3"/>
    <n v="1"/>
    <x v="0"/>
  </r>
  <r>
    <s v="TX500092"/>
    <s v="Sneakers"/>
    <n v="6"/>
    <n v="130.5"/>
    <n v="783"/>
    <d v="2025-01-04T00:00:00"/>
    <d v="2025-01-06T00:00:00"/>
    <s v="F"/>
    <x v="0"/>
    <n v="3"/>
    <s v="California"/>
    <s v="Riverside County"/>
    <n v="2"/>
    <n v="1"/>
    <x v="2"/>
  </r>
  <r>
    <s v="TX500093"/>
    <s v="Maxi Dresses"/>
    <n v="2"/>
    <n v="50.4"/>
    <n v="100.8"/>
    <d v="2025-01-04T00:00:00"/>
    <d v="2025-01-06T00:00:00"/>
    <s v="M"/>
    <x v="2"/>
    <n v="5"/>
    <s v="California"/>
    <s v="Sacramento County"/>
    <n v="2"/>
    <n v="1"/>
    <x v="1"/>
  </r>
  <r>
    <s v="TX500094"/>
    <s v="Jeans"/>
    <n v="13"/>
    <n v="61.5"/>
    <n v="799.5"/>
    <d v="2025-01-04T00:00:00"/>
    <d v="2025-01-05T00:00:00"/>
    <s v=""/>
    <x v="3"/>
    <n v="3"/>
    <s v="California"/>
    <s v="Santa Clara County"/>
    <n v="1"/>
    <n v="1"/>
    <x v="0"/>
  </r>
  <r>
    <s v="TX500095"/>
    <s v="Sundresses"/>
    <n v="4"/>
    <n v="30.1"/>
    <n v="120.4"/>
    <d v="2025-01-04T00:00:00"/>
    <d v="2025-01-05T00:00:00"/>
    <s v="F"/>
    <x v="0"/>
    <n v="5"/>
    <s v="California"/>
    <s v="Alameda County"/>
    <n v="1"/>
    <n v="1"/>
    <x v="2"/>
  </r>
  <r>
    <s v="TX500096"/>
    <s v="Sneakers"/>
    <n v="5"/>
    <n v="74.8"/>
    <n v="374"/>
    <d v="2025-01-04T00:00:00"/>
    <d v="2025-01-05T00:00:00"/>
    <s v="F"/>
    <x v="1"/>
    <n v="4"/>
    <s v="California"/>
    <s v="Contra Costa County"/>
    <n v="1"/>
    <n v="1"/>
    <x v="2"/>
  </r>
  <r>
    <s v="TX500097"/>
    <s v="Sunglasses"/>
    <n v="3"/>
    <n v="64.900000000000006"/>
    <n v="194.70000000000002"/>
    <d v="2025-01-04T00:00:00"/>
    <d v="2025-01-11T00:00:00"/>
    <s v="M"/>
    <x v="0"/>
    <n v="4"/>
    <s v="California"/>
    <s v="Fresno County"/>
    <n v="7"/>
    <n v="1"/>
    <x v="1"/>
  </r>
  <r>
    <s v="TX500098"/>
    <s v="Sundresses"/>
    <n v="2"/>
    <n v="50.5"/>
    <n v="101"/>
    <d v="2025-01-04T00:00:00"/>
    <d v="2025-01-06T00:00:00"/>
    <s v="M"/>
    <x v="1"/>
    <n v="4"/>
    <s v="California"/>
    <s v="Kern County"/>
    <n v="2"/>
    <n v="1"/>
    <x v="1"/>
  </r>
  <r>
    <s v="TX500099"/>
    <s v="Maxi Dresses"/>
    <n v="7"/>
    <n v="63"/>
    <n v="441"/>
    <d v="2025-01-04T00:00:00"/>
    <d v="2025-01-07T00:00:00"/>
    <s v="M"/>
    <x v="3"/>
    <n v="5"/>
    <s v="California"/>
    <s v="Los Angeles County"/>
    <n v="3"/>
    <n v="1"/>
    <x v="1"/>
  </r>
  <r>
    <s v="TX500100"/>
    <s v="Sneakers"/>
    <n v="3"/>
    <n v="93.6"/>
    <n v="280.79999999999995"/>
    <d v="2025-01-04T00:00:00"/>
    <d v="2025-01-17T00:00:00"/>
    <s v="F"/>
    <x v="0"/>
    <n v="5"/>
    <s v="California"/>
    <s v="Los Angeles County"/>
    <n v="13"/>
    <n v="1"/>
    <x v="2"/>
  </r>
  <r>
    <s v="TX500101"/>
    <s v="Sandals"/>
    <n v="30"/>
    <n v="41.4"/>
    <n v="1242"/>
    <d v="2025-01-04T00:00:00"/>
    <d v="2025-01-08T00:00:00"/>
    <s v="M"/>
    <x v="2"/>
    <n v="5"/>
    <s v="California"/>
    <s v="Los Angeles County"/>
    <n v="4"/>
    <n v="1"/>
    <x v="1"/>
  </r>
  <r>
    <s v="TX500102"/>
    <s v="Sneakers"/>
    <n v="2"/>
    <n v="160"/>
    <n v="320"/>
    <d v="2025-01-05T00:00:00"/>
    <d v="2025-01-06T00:00:00"/>
    <s v="M"/>
    <x v="2"/>
    <n v="5"/>
    <s v="California"/>
    <s v="Placer County"/>
    <n v="1"/>
    <n v="2"/>
    <x v="1"/>
  </r>
  <r>
    <s v="TX500103"/>
    <s v="Jewelry"/>
    <n v="11"/>
    <n v="10.5"/>
    <n v="115.5"/>
    <d v="2025-01-05T00:00:00"/>
    <d v="2025-01-08T00:00:00"/>
    <s v="F"/>
    <x v="4"/>
    <n v="4"/>
    <s v="California"/>
    <s v="San Diego County"/>
    <n v="3"/>
    <n v="2"/>
    <x v="2"/>
  </r>
  <r>
    <s v="TX500104"/>
    <s v="Bikinis"/>
    <n v="2"/>
    <n v="53"/>
    <n v="106"/>
    <d v="2025-01-05T00:00:00"/>
    <d v="2025-01-05T00:00:00"/>
    <s v="M"/>
    <x v="2"/>
    <n v="2"/>
    <s v="California"/>
    <s v="San Francisco"/>
    <n v="0"/>
    <n v="2"/>
    <x v="1"/>
  </r>
  <r>
    <s v="TX500105"/>
    <s v="T-Shirts"/>
    <n v="3"/>
    <n v="18.5"/>
    <n v="55.5"/>
    <d v="2025-01-05T00:00:00"/>
    <d v="2025-01-10T00:00:00"/>
    <s v="F"/>
    <x v="1"/>
    <n v="5"/>
    <s v="California"/>
    <s v="Santa Clara County"/>
    <n v="5"/>
    <n v="2"/>
    <x v="2"/>
  </r>
  <r>
    <s v="TX500106"/>
    <s v="Sunglasses"/>
    <n v="3"/>
    <n v="84.5"/>
    <n v="253.5"/>
    <d v="2025-01-05T00:00:00"/>
    <d v="2025-01-07T00:00:00"/>
    <s v="F"/>
    <x v="4"/>
    <n v="3"/>
    <s v="California"/>
    <s v="Ventura County"/>
    <n v="2"/>
    <n v="2"/>
    <x v="2"/>
  </r>
  <r>
    <s v="TX500107"/>
    <s v="Crop Tops"/>
    <n v="7"/>
    <n v="31.2"/>
    <n v="218.4"/>
    <d v="2025-01-05T00:00:00"/>
    <d v="2025-01-05T00:00:00"/>
    <s v="F"/>
    <x v="2"/>
    <n v="5"/>
    <s v="California"/>
    <s v="Los Angeles County"/>
    <n v="0"/>
    <n v="2"/>
    <x v="2"/>
  </r>
  <r>
    <s v="TX500108"/>
    <s v="T-Shirts"/>
    <n v="18"/>
    <n v="32.6"/>
    <n v="586.80000000000007"/>
    <d v="2025-01-05T00:00:00"/>
    <d v="2025-01-06T00:00:00"/>
    <s v="M"/>
    <x v="1"/>
    <n v="3"/>
    <s v="California"/>
    <s v="Los Angeles County"/>
    <n v="1"/>
    <n v="2"/>
    <x v="1"/>
  </r>
  <r>
    <s v="TX500109"/>
    <s v="Bikinis"/>
    <n v="4"/>
    <n v="45.4"/>
    <n v="181.6"/>
    <d v="2025-01-05T00:00:00"/>
    <d v="2025-01-07T00:00:00"/>
    <s v="M"/>
    <x v="1"/>
    <n v="4"/>
    <s v="California"/>
    <s v="Los Angeles County"/>
    <n v="2"/>
    <n v="2"/>
    <x v="1"/>
  </r>
  <r>
    <s v="TX500110"/>
    <s v="Sneakers"/>
    <n v="12"/>
    <n v="120"/>
    <n v="1440"/>
    <d v="2025-01-05T00:00:00"/>
    <d v="2025-01-06T00:00:00"/>
    <s v="F"/>
    <x v="2"/>
    <n v="2"/>
    <s v="California"/>
    <s v="Los Angeles County"/>
    <n v="1"/>
    <n v="2"/>
    <x v="2"/>
  </r>
  <r>
    <s v="TX500111"/>
    <s v="Shorts"/>
    <n v="4"/>
    <n v="18.899999999999999"/>
    <n v="75.599999999999994"/>
    <d v="2025-01-05T00:00:00"/>
    <d v="2025-01-07T00:00:00"/>
    <s v="M"/>
    <x v="0"/>
    <n v="5"/>
    <s v="California"/>
    <s v="Los Angeles County"/>
    <n v="2"/>
    <n v="2"/>
    <x v="1"/>
  </r>
  <r>
    <s v="TX500112"/>
    <s v="Graphic Tees"/>
    <n v="1"/>
    <n v="32"/>
    <n v="32"/>
    <d v="2025-01-05T00:00:00"/>
    <d v="2025-01-07T00:00:00"/>
    <s v="F"/>
    <x v="4"/>
    <n v="4"/>
    <s v="California"/>
    <s v="Los Angeles County"/>
    <n v="2"/>
    <n v="2"/>
    <x v="2"/>
  </r>
  <r>
    <s v="TX500113"/>
    <s v="Hoodies &amp; Sweatshirts"/>
    <n v="2"/>
    <n v="37.299999999999997"/>
    <n v="74.599999999999994"/>
    <d v="2025-01-05T00:00:00"/>
    <d v="2025-01-06T00:00:00"/>
    <s v="M"/>
    <x v="2"/>
    <n v="4"/>
    <s v="California"/>
    <s v="Los Angeles County"/>
    <n v="1"/>
    <n v="2"/>
    <x v="1"/>
  </r>
  <r>
    <s v="TX500114"/>
    <s v="Leggings"/>
    <n v="1"/>
    <n v="119.8"/>
    <n v="119.8"/>
    <d v="2025-01-05T00:00:00"/>
    <d v="2025-01-06T00:00:00"/>
    <s v="M"/>
    <x v="1"/>
    <n v="3"/>
    <s v="California"/>
    <s v="Los Angeles County"/>
    <n v="1"/>
    <n v="2"/>
    <x v="1"/>
  </r>
  <r>
    <s v="TX500115"/>
    <s v="Bikinis"/>
    <n v="2"/>
    <n v="26.4"/>
    <n v="52.8"/>
    <d v="2025-01-05T00:00:00"/>
    <d v="2025-01-08T00:00:00"/>
    <s v="M"/>
    <x v="2"/>
    <n v="4"/>
    <s v="California"/>
    <s v="Los Angeles County"/>
    <n v="3"/>
    <n v="2"/>
    <x v="1"/>
  </r>
  <r>
    <s v="TX500116"/>
    <s v="Jeans"/>
    <n v="6"/>
    <n v="76.5"/>
    <n v="459"/>
    <d v="2025-01-05T00:00:00"/>
    <d v="2025-01-06T00:00:00"/>
    <s v="F"/>
    <x v="1"/>
    <n v="3"/>
    <s v="California"/>
    <s v="Los Angeles County"/>
    <n v="1"/>
    <n v="2"/>
    <x v="2"/>
  </r>
  <r>
    <s v="TX500117"/>
    <s v="Graphic Tees"/>
    <n v="10"/>
    <n v="45.7"/>
    <n v="457"/>
    <d v="2025-01-05T00:00:00"/>
    <d v="2025-01-06T00:00:00"/>
    <s v="F"/>
    <x v="2"/>
    <n v="4"/>
    <s v="California"/>
    <s v="Merced County"/>
    <n v="1"/>
    <n v="2"/>
    <x v="2"/>
  </r>
  <r>
    <s v="TX500118"/>
    <s v="Tank Tops"/>
    <n v="12"/>
    <n v="92.6"/>
    <n v="1111.1999999999998"/>
    <d v="2025-01-05T00:00:00"/>
    <d v="2025-01-07T00:00:00"/>
    <s v="F"/>
    <x v="2"/>
    <n v="4"/>
    <s v="California"/>
    <s v="Orange County"/>
    <n v="2"/>
    <n v="2"/>
    <x v="2"/>
  </r>
  <r>
    <s v="TX500119"/>
    <s v="Jeans"/>
    <n v="6"/>
    <n v="60.1"/>
    <n v="360.6"/>
    <d v="2025-01-05T00:00:00"/>
    <d v="2025-01-06T00:00:00"/>
    <s v="M"/>
    <x v="1"/>
    <n v="4"/>
    <s v="California"/>
    <s v="Riverside County"/>
    <n v="1"/>
    <n v="2"/>
    <x v="1"/>
  </r>
  <r>
    <s v="TX500120"/>
    <s v="Tank Tops"/>
    <n v="3"/>
    <n v="73"/>
    <n v="219"/>
    <d v="2025-01-05T00:00:00"/>
    <d v="2025-01-06T00:00:00"/>
    <s v="F"/>
    <x v="3"/>
    <n v="3"/>
    <s v="California"/>
    <s v="Sacramento County"/>
    <n v="1"/>
    <n v="2"/>
    <x v="2"/>
  </r>
  <r>
    <s v="TX500121"/>
    <s v="Jeans"/>
    <n v="3"/>
    <n v="44.3"/>
    <n v="132.89999999999998"/>
    <d v="2025-01-05T00:00:00"/>
    <d v="2025-01-09T00:00:00"/>
    <s v=""/>
    <x v="2"/>
    <n v="5"/>
    <s v="California"/>
    <s v="Sacramento County"/>
    <n v="4"/>
    <n v="2"/>
    <x v="0"/>
  </r>
  <r>
    <s v="TX500122"/>
    <s v="Jeans"/>
    <n v="3"/>
    <n v="63.3"/>
    <n v="189.89999999999998"/>
    <d v="2025-01-05T00:00:00"/>
    <d v="2025-01-06T00:00:00"/>
    <s v="M"/>
    <x v="2"/>
    <n v="4"/>
    <s v="California"/>
    <s v="Sacramento County"/>
    <n v="1"/>
    <n v="2"/>
    <x v="1"/>
  </r>
  <r>
    <s v="TX500123"/>
    <s v="Casual Dresses"/>
    <n v="1"/>
    <n v="66.8"/>
    <n v="66.8"/>
    <d v="2025-01-05T00:00:00"/>
    <d v="2025-01-06T00:00:00"/>
    <s v="F"/>
    <x v="1"/>
    <n v="4"/>
    <s v="California"/>
    <s v="Sacramento County"/>
    <n v="1"/>
    <n v="2"/>
    <x v="2"/>
  </r>
  <r>
    <s v="TX500124"/>
    <s v="Sneakers"/>
    <n v="2"/>
    <n v="59.7"/>
    <n v="119.4"/>
    <d v="2025-01-05T00:00:00"/>
    <d v="2025-01-06T00:00:00"/>
    <s v="F"/>
    <x v="0"/>
    <n v="4"/>
    <s v="California"/>
    <s v="San Bernardino County"/>
    <n v="1"/>
    <n v="2"/>
    <x v="2"/>
  </r>
  <r>
    <s v="TX500125"/>
    <s v="Tank Tops"/>
    <n v="6"/>
    <n v="92"/>
    <n v="552"/>
    <d v="2025-01-05T00:00:00"/>
    <d v="2025-01-07T00:00:00"/>
    <s v="M"/>
    <x v="0"/>
    <n v="2"/>
    <s v="California"/>
    <s v="San Bernardino County"/>
    <n v="2"/>
    <n v="2"/>
    <x v="1"/>
  </r>
  <r>
    <s v="TX500126"/>
    <s v="Hoodies &amp; Sweatshirts"/>
    <n v="2"/>
    <n v="87.6"/>
    <n v="175.2"/>
    <d v="2025-01-05T00:00:00"/>
    <d v="2025-01-07T00:00:00"/>
    <s v="M"/>
    <x v="1"/>
    <n v="3"/>
    <s v="California"/>
    <s v="San Diego County"/>
    <n v="2"/>
    <n v="2"/>
    <x v="1"/>
  </r>
  <r>
    <s v="TX500127"/>
    <s v="Jeans"/>
    <n v="3"/>
    <n v="84.5"/>
    <n v="253.5"/>
    <d v="2025-01-05T00:00:00"/>
    <d v="2025-01-06T00:00:00"/>
    <s v="F"/>
    <x v="1"/>
    <n v="3"/>
    <s v="California"/>
    <s v="San Diego County"/>
    <n v="1"/>
    <n v="2"/>
    <x v="2"/>
  </r>
  <r>
    <s v="TX500128"/>
    <s v="Tank Tops"/>
    <n v="2"/>
    <n v="116.3"/>
    <n v="232.6"/>
    <d v="2025-01-06T00:00:00"/>
    <d v="2025-01-08T00:00:00"/>
    <s v="M"/>
    <x v="2"/>
    <n v="5"/>
    <s v="California"/>
    <s v="San Diego County"/>
    <n v="2"/>
    <n v="2"/>
    <x v="1"/>
  </r>
  <r>
    <s v="TX500129"/>
    <s v="Jeans"/>
    <n v="5"/>
    <n v="52.7"/>
    <n v="263.5"/>
    <d v="2025-01-06T00:00:00"/>
    <d v="2025-01-10T00:00:00"/>
    <s v="M"/>
    <x v="0"/>
    <n v="4"/>
    <s v="California"/>
    <s v="San Diego County"/>
    <n v="4"/>
    <n v="2"/>
    <x v="1"/>
  </r>
  <r>
    <s v="TX500130"/>
    <s v="Sunglasses"/>
    <n v="3"/>
    <n v="34.200000000000003"/>
    <n v="102.60000000000001"/>
    <d v="2025-01-06T00:00:00"/>
    <d v="2025-01-07T00:00:00"/>
    <s v="M"/>
    <x v="0"/>
    <n v="5"/>
    <s v="California"/>
    <s v="San Joaquin County"/>
    <n v="1"/>
    <n v="2"/>
    <x v="1"/>
  </r>
  <r>
    <s v="TX500131"/>
    <s v="Sundresses"/>
    <n v="1"/>
    <n v="23.3"/>
    <n v="23.3"/>
    <d v="2025-01-06T00:00:00"/>
    <d v="2025-01-15T00:00:00"/>
    <s v="O"/>
    <x v="2"/>
    <n v="5"/>
    <s v="California"/>
    <s v="San Mateo County"/>
    <n v="9"/>
    <n v="2"/>
    <x v="3"/>
  </r>
  <r>
    <s v="TX500132"/>
    <s v="Shorts"/>
    <n v="26"/>
    <n v="25.9"/>
    <n v="673.4"/>
    <d v="2025-01-06T00:00:00"/>
    <d v="2025-01-09T00:00:00"/>
    <s v="F"/>
    <x v="4"/>
    <n v="3"/>
    <s v="California"/>
    <s v="San Mateo County"/>
    <n v="3"/>
    <n v="2"/>
    <x v="2"/>
  </r>
  <r>
    <s v="TX500133"/>
    <s v="Jeans"/>
    <n v="29"/>
    <n v="54.9"/>
    <n v="1592.1"/>
    <d v="2025-01-06T00:00:00"/>
    <d v="2025-01-07T00:00:00"/>
    <s v="M"/>
    <x v="1"/>
    <n v="5"/>
    <s v="California"/>
    <s v="San Mateo County"/>
    <n v="1"/>
    <n v="2"/>
    <x v="1"/>
  </r>
  <r>
    <s v="TX500134"/>
    <s v="Sandals"/>
    <n v="3"/>
    <n v="75.8"/>
    <n v="227.39999999999998"/>
    <d v="2025-01-06T00:00:00"/>
    <d v="2025-01-11T00:00:00"/>
    <s v="O"/>
    <x v="1"/>
    <n v="4"/>
    <s v="California"/>
    <s v="Sonoma County"/>
    <n v="5"/>
    <n v="2"/>
    <x v="3"/>
  </r>
  <r>
    <s v="TX500135"/>
    <s v="Tank Tops"/>
    <n v="9"/>
    <n v="44.9"/>
    <n v="404.09999999999997"/>
    <d v="2025-01-06T00:00:00"/>
    <d v="2025-01-09T00:00:00"/>
    <s v="F"/>
    <x v="2"/>
    <n v="5"/>
    <s v="California"/>
    <s v="Fresno County"/>
    <n v="3"/>
    <n v="2"/>
    <x v="2"/>
  </r>
  <r>
    <s v="TX500136"/>
    <s v="Maxi Dresses"/>
    <n v="2"/>
    <n v="48.8"/>
    <n v="97.6"/>
    <d v="2025-01-06T00:00:00"/>
    <d v="2025-01-08T00:00:00"/>
    <s v="F"/>
    <x v="3"/>
    <n v="4"/>
    <s v="California"/>
    <s v="Glenn County"/>
    <n v="2"/>
    <n v="2"/>
    <x v="2"/>
  </r>
  <r>
    <s v="TX500137"/>
    <s v="Crop Tops"/>
    <n v="1"/>
    <n v="20.3"/>
    <n v="20.3"/>
    <d v="2025-01-06T00:00:00"/>
    <d v="2025-01-07T00:00:00"/>
    <s v="F"/>
    <x v="0"/>
    <n v="5"/>
    <s v="California"/>
    <s v="Kern County"/>
    <n v="1"/>
    <n v="2"/>
    <x v="2"/>
  </r>
  <r>
    <s v="TX500138"/>
    <s v="Sandals"/>
    <n v="7"/>
    <n v="36.4"/>
    <n v="254.79999999999998"/>
    <d v="2025-01-06T00:00:00"/>
    <d v="2025-01-09T00:00:00"/>
    <s v="F"/>
    <x v="0"/>
    <n v="3"/>
    <s v="California"/>
    <s v="Los Angeles County"/>
    <n v="3"/>
    <n v="2"/>
    <x v="2"/>
  </r>
  <r>
    <s v="TX500139"/>
    <s v="Shorts"/>
    <n v="1"/>
    <n v="19"/>
    <n v="19"/>
    <d v="2025-01-06T00:00:00"/>
    <d v="2025-01-11T00:00:00"/>
    <s v="F"/>
    <x v="1"/>
    <n v="5"/>
    <s v="California"/>
    <s v="Los Angeles County"/>
    <n v="5"/>
    <n v="2"/>
    <x v="2"/>
  </r>
  <r>
    <s v="TX500140"/>
    <s v="T-Shirts"/>
    <n v="1"/>
    <n v="17.8"/>
    <n v="17.8"/>
    <d v="2025-01-06T00:00:00"/>
    <d v="2025-01-06T00:00:00"/>
    <s v="M"/>
    <x v="0"/>
    <n v="4"/>
    <s v="California"/>
    <s v="Los Angeles County"/>
    <n v="0"/>
    <n v="2"/>
    <x v="1"/>
  </r>
  <r>
    <s v="TX500141"/>
    <s v="Sneakers"/>
    <n v="6"/>
    <n v="139.6"/>
    <n v="837.59999999999991"/>
    <d v="2025-01-06T00:00:00"/>
    <d v="2025-01-09T00:00:00"/>
    <s v="M"/>
    <x v="0"/>
    <n v="4"/>
    <s v="California"/>
    <s v="Los Angeles County"/>
    <n v="3"/>
    <n v="2"/>
    <x v="1"/>
  </r>
  <r>
    <s v="TX500142"/>
    <s v="Sundresses"/>
    <n v="1"/>
    <n v="31.7"/>
    <n v="31.7"/>
    <d v="2025-01-06T00:00:00"/>
    <d v="2025-01-06T00:00:00"/>
    <s v=""/>
    <x v="0"/>
    <n v="4"/>
    <s v="California"/>
    <s v="Los Angeles County"/>
    <n v="0"/>
    <n v="2"/>
    <x v="0"/>
  </r>
  <r>
    <s v="TX500143"/>
    <s v="T-Shirts"/>
    <n v="8"/>
    <n v="26.3"/>
    <n v="210.4"/>
    <d v="2025-01-06T00:00:00"/>
    <d v="2025-01-09T00:00:00"/>
    <s v="F"/>
    <x v="4"/>
    <n v="2"/>
    <s v="California"/>
    <s v="Los Angeles County"/>
    <n v="3"/>
    <n v="2"/>
    <x v="2"/>
  </r>
  <r>
    <s v="TX500144"/>
    <s v="Graphic Tees"/>
    <n v="2"/>
    <n v="47.8"/>
    <n v="95.6"/>
    <d v="2025-01-06T00:00:00"/>
    <d v="2025-01-07T00:00:00"/>
    <s v=""/>
    <x v="0"/>
    <n v="4"/>
    <s v="California"/>
    <s v="Los Angeles County"/>
    <n v="1"/>
    <n v="2"/>
    <x v="0"/>
  </r>
  <r>
    <s v="TX500145"/>
    <s v="Sundresses"/>
    <n v="3"/>
    <n v="69.400000000000006"/>
    <n v="208.20000000000002"/>
    <d v="2025-01-06T00:00:00"/>
    <d v="2025-01-10T00:00:00"/>
    <s v="F"/>
    <x v="0"/>
    <n v="4"/>
    <s v="California"/>
    <s v="Los Angeles County"/>
    <n v="4"/>
    <n v="2"/>
    <x v="2"/>
  </r>
  <r>
    <s v="TX500146"/>
    <s v="Leggings"/>
    <n v="12"/>
    <n v="25.8"/>
    <n v="309.60000000000002"/>
    <d v="2025-01-06T00:00:00"/>
    <d v="2025-01-07T00:00:00"/>
    <s v="M"/>
    <x v="4"/>
    <n v="2"/>
    <s v="California"/>
    <s v="Los Angeles County"/>
    <n v="1"/>
    <n v="2"/>
    <x v="1"/>
  </r>
  <r>
    <s v="TX500147"/>
    <s v="Shorts"/>
    <n v="4"/>
    <n v="26.4"/>
    <n v="105.6"/>
    <d v="2025-01-06T00:00:00"/>
    <d v="2025-01-07T00:00:00"/>
    <s v="M"/>
    <x v="1"/>
    <n v="5"/>
    <s v="California"/>
    <s v="Los Angeles County"/>
    <n v="1"/>
    <n v="2"/>
    <x v="1"/>
  </r>
  <r>
    <s v="TX500148"/>
    <s v="T-Shirts"/>
    <n v="4"/>
    <n v="15.7"/>
    <n v="62.8"/>
    <d v="2025-01-06T00:00:00"/>
    <d v="2025-01-07T00:00:00"/>
    <s v="M"/>
    <x v="2"/>
    <n v="4"/>
    <s v="California"/>
    <s v="Los Angeles County"/>
    <n v="1"/>
    <n v="2"/>
    <x v="1"/>
  </r>
  <r>
    <s v="TX500149"/>
    <s v="T-Shirts"/>
    <n v="1"/>
    <n v="39.700000000000003"/>
    <n v="39.700000000000003"/>
    <d v="2025-01-06T00:00:00"/>
    <d v="2025-01-10T00:00:00"/>
    <s v="M"/>
    <x v="0"/>
    <n v="4"/>
    <s v="California"/>
    <s v="Los Angeles County"/>
    <n v="4"/>
    <n v="2"/>
    <x v="1"/>
  </r>
  <r>
    <s v="TX500150"/>
    <s v="Bikinis"/>
    <n v="4"/>
    <n v="31.1"/>
    <n v="124.4"/>
    <d v="2025-01-06T00:00:00"/>
    <d v="2025-01-08T00:00:00"/>
    <s v="F"/>
    <x v="2"/>
    <n v="3"/>
    <s v="California"/>
    <s v="Los Angeles County"/>
    <n v="2"/>
    <n v="2"/>
    <x v="2"/>
  </r>
  <r>
    <s v="TX500151"/>
    <s v="Tote Bags"/>
    <n v="15"/>
    <n v="23.4"/>
    <n v="351"/>
    <d v="2025-01-06T00:00:00"/>
    <d v="2025-01-15T00:00:00"/>
    <s v="M"/>
    <x v="0"/>
    <n v="4"/>
    <s v="California"/>
    <s v="Los Angeles County"/>
    <n v="9"/>
    <n v="2"/>
    <x v="1"/>
  </r>
  <r>
    <s v="TX500152"/>
    <s v="Tank Tops"/>
    <n v="4"/>
    <n v="57.1"/>
    <n v="228.4"/>
    <d v="2025-01-07T00:00:00"/>
    <d v="2025-01-08T00:00:00"/>
    <s v="M"/>
    <x v="2"/>
    <n v="4"/>
    <s v="California"/>
    <s v="Orange County"/>
    <n v="1"/>
    <n v="2"/>
    <x v="1"/>
  </r>
  <r>
    <s v="TX500153"/>
    <s v="Sneakers"/>
    <n v="5"/>
    <n v="89.9"/>
    <n v="449.5"/>
    <d v="2025-01-07T00:00:00"/>
    <d v="2025-01-07T00:00:00"/>
    <s v="F"/>
    <x v="0"/>
    <n v="1"/>
    <s v="California"/>
    <s v="Riverside County"/>
    <n v="0"/>
    <n v="2"/>
    <x v="2"/>
  </r>
  <r>
    <s v="TX500154"/>
    <s v="Bikinis"/>
    <n v="7"/>
    <n v="48.1"/>
    <n v="336.7"/>
    <d v="2025-01-07T00:00:00"/>
    <d v="2025-01-09T00:00:00"/>
    <s v="F"/>
    <x v="1"/>
    <n v="5"/>
    <s v="California"/>
    <s v="Sacramento County"/>
    <n v="2"/>
    <n v="2"/>
    <x v="2"/>
  </r>
  <r>
    <s v="TX500155"/>
    <s v="T-Shirts"/>
    <n v="2"/>
    <n v="29.3"/>
    <n v="58.6"/>
    <d v="2025-01-07T00:00:00"/>
    <d v="2025-01-07T00:00:00"/>
    <s v="F"/>
    <x v="1"/>
    <n v="3"/>
    <s v="California"/>
    <s v="Sacramento County"/>
    <n v="0"/>
    <n v="2"/>
    <x v="2"/>
  </r>
  <r>
    <s v="TX500156"/>
    <s v="T-Shirts"/>
    <n v="4"/>
    <n v="28.8"/>
    <n v="115.2"/>
    <d v="2025-01-07T00:00:00"/>
    <d v="2025-01-08T00:00:00"/>
    <s v="F"/>
    <x v="0"/>
    <n v="2"/>
    <s v="California"/>
    <s v="Sacramento County"/>
    <n v="1"/>
    <n v="2"/>
    <x v="2"/>
  </r>
  <r>
    <s v="TX500157"/>
    <s v="Bikinis"/>
    <n v="5"/>
    <n v="40.5"/>
    <n v="202.5"/>
    <d v="2025-01-07T00:00:00"/>
    <d v="2025-01-11T00:00:00"/>
    <s v="F"/>
    <x v="3"/>
    <n v="4"/>
    <s v="California"/>
    <s v="Sacramento County"/>
    <n v="4"/>
    <n v="2"/>
    <x v="2"/>
  </r>
  <r>
    <s v="TX500158"/>
    <s v="Leggings"/>
    <n v="14"/>
    <n v="65.099999999999994"/>
    <n v="911.39999999999986"/>
    <d v="2025-01-07T00:00:00"/>
    <d v="2025-01-08T00:00:00"/>
    <s v="F"/>
    <x v="4"/>
    <n v="4"/>
    <s v="California"/>
    <s v="San Bernardino County"/>
    <n v="1"/>
    <n v="2"/>
    <x v="2"/>
  </r>
  <r>
    <s v="TX500159"/>
    <s v="T-Shirts"/>
    <n v="4"/>
    <n v="40.299999999999997"/>
    <n v="161.19999999999999"/>
    <d v="2025-01-07T00:00:00"/>
    <d v="2025-01-12T00:00:00"/>
    <s v="F"/>
    <x v="2"/>
    <n v="4"/>
    <s v="California"/>
    <s v="San Bernardino County"/>
    <n v="5"/>
    <n v="2"/>
    <x v="2"/>
  </r>
  <r>
    <s v="TX500160"/>
    <s v="Jeans"/>
    <n v="5"/>
    <n v="51.8"/>
    <n v="259"/>
    <d v="2025-01-07T00:00:00"/>
    <d v="2025-01-08T00:00:00"/>
    <s v="M"/>
    <x v="2"/>
    <n v="5"/>
    <s v="California"/>
    <s v="San Diego County"/>
    <n v="1"/>
    <n v="2"/>
    <x v="1"/>
  </r>
  <r>
    <s v="TX500161"/>
    <s v="Jeans"/>
    <n v="3"/>
    <n v="61.3"/>
    <n v="183.89999999999998"/>
    <d v="2025-01-07T00:00:00"/>
    <d v="2025-01-08T00:00:00"/>
    <s v="F"/>
    <x v="3"/>
    <n v="4"/>
    <s v="California"/>
    <s v="San Diego County"/>
    <n v="1"/>
    <n v="2"/>
    <x v="2"/>
  </r>
  <r>
    <s v="TX500162"/>
    <s v="Sneakers"/>
    <n v="4"/>
    <n v="122.5"/>
    <n v="490"/>
    <d v="2025-01-07T00:00:00"/>
    <d v="2025-01-08T00:00:00"/>
    <s v="M"/>
    <x v="0"/>
    <n v="4"/>
    <s v="California"/>
    <s v="San Diego County"/>
    <n v="1"/>
    <n v="2"/>
    <x v="1"/>
  </r>
  <r>
    <s v="TX500163"/>
    <s v="Shorts"/>
    <n v="9"/>
    <n v="12.5"/>
    <n v="112.5"/>
    <d v="2025-01-07T00:00:00"/>
    <d v="2025-01-08T00:00:00"/>
    <s v=""/>
    <x v="1"/>
    <n v="5"/>
    <s v="California"/>
    <s v="San Diego County"/>
    <n v="1"/>
    <n v="2"/>
    <x v="0"/>
  </r>
  <r>
    <s v="TX500164"/>
    <s v="Crop Tops"/>
    <n v="8"/>
    <n v="37.5"/>
    <n v="300"/>
    <d v="2025-01-07T00:00:00"/>
    <d v="2025-01-08T00:00:00"/>
    <s v="F"/>
    <x v="0"/>
    <n v="4"/>
    <s v="California"/>
    <s v="San Mateo County"/>
    <n v="1"/>
    <n v="2"/>
    <x v="2"/>
  </r>
  <r>
    <s v="TX500165"/>
    <s v="Jeans"/>
    <n v="3"/>
    <n v="40"/>
    <n v="120"/>
    <d v="2025-01-07T00:00:00"/>
    <d v="2025-01-10T00:00:00"/>
    <s v="M"/>
    <x v="0"/>
    <n v="2"/>
    <s v="California"/>
    <s v="Santa Clara County"/>
    <n v="3"/>
    <n v="2"/>
    <x v="1"/>
  </r>
  <r>
    <s v="TX500166"/>
    <s v="Pajama Sets"/>
    <n v="8"/>
    <n v="38.5"/>
    <n v="308"/>
    <d v="2025-01-07T00:00:00"/>
    <d v="2025-01-12T00:00:00"/>
    <s v="F"/>
    <x v="2"/>
    <n v="3"/>
    <s v="California"/>
    <s v="Santa Clara County"/>
    <n v="5"/>
    <n v="2"/>
    <x v="2"/>
  </r>
  <r>
    <s v="TX500167"/>
    <s v="Sneakers"/>
    <n v="2"/>
    <n v="86.4"/>
    <n v="172.8"/>
    <d v="2025-01-07T00:00:00"/>
    <d v="2025-01-09T00:00:00"/>
    <s v="F"/>
    <x v="0"/>
    <n v="4"/>
    <s v="California"/>
    <s v="Sonoma County"/>
    <n v="2"/>
    <n v="2"/>
    <x v="2"/>
  </r>
  <r>
    <s v="TX500168"/>
    <s v="Bikinis"/>
    <n v="1"/>
    <n v="50.7"/>
    <n v="50.7"/>
    <d v="2025-01-07T00:00:00"/>
    <d v="2025-01-11T00:00:00"/>
    <s v="F"/>
    <x v="1"/>
    <n v="4"/>
    <s v="California"/>
    <s v="Sonoma County"/>
    <n v="4"/>
    <n v="2"/>
    <x v="2"/>
  </r>
  <r>
    <s v="TX500169"/>
    <s v="Bikinis"/>
    <n v="2"/>
    <n v="61"/>
    <n v="122"/>
    <d v="2025-01-07T00:00:00"/>
    <d v="2025-01-18T00:00:00"/>
    <s v="F"/>
    <x v="4"/>
    <n v="3"/>
    <s v="California"/>
    <s v="Sonoma County"/>
    <n v="11"/>
    <n v="2"/>
    <x v="2"/>
  </r>
  <r>
    <s v="TX500170"/>
    <s v="Graphic Tees"/>
    <n v="2"/>
    <n v="19.899999999999999"/>
    <n v="39.799999999999997"/>
    <d v="2025-01-07T00:00:00"/>
    <d v="2025-01-10T00:00:00"/>
    <s v="F"/>
    <x v="1"/>
    <n v="4"/>
    <s v="California"/>
    <s v="Yolo County"/>
    <n v="3"/>
    <n v="2"/>
    <x v="2"/>
  </r>
  <r>
    <s v="TX500171"/>
    <s v="Sandals"/>
    <n v="1"/>
    <n v="78.3"/>
    <n v="78.3"/>
    <d v="2025-01-07T00:00:00"/>
    <d v="2025-01-07T00:00:00"/>
    <s v="F"/>
    <x v="0"/>
    <n v="5"/>
    <s v="California"/>
    <s v="Contra Costa County"/>
    <n v="0"/>
    <n v="2"/>
    <x v="2"/>
  </r>
  <r>
    <s v="TX500172"/>
    <s v="Shorts"/>
    <n v="19"/>
    <n v="10.4"/>
    <n v="197.6"/>
    <d v="2025-01-07T00:00:00"/>
    <d v="2025-01-09T00:00:00"/>
    <s v="M"/>
    <x v="0"/>
    <n v="5"/>
    <s v="California"/>
    <s v="Fresno County"/>
    <n v="2"/>
    <n v="2"/>
    <x v="1"/>
  </r>
  <r>
    <s v="TX500173"/>
    <s v="Bikinis"/>
    <n v="1"/>
    <n v="36.1"/>
    <n v="36.1"/>
    <d v="2025-01-07T00:00:00"/>
    <d v="2025-01-10T00:00:00"/>
    <s v="M"/>
    <x v="3"/>
    <n v="5"/>
    <s v="California"/>
    <s v="Los Angeles County"/>
    <n v="3"/>
    <n v="2"/>
    <x v="1"/>
  </r>
  <r>
    <s v="TX500174"/>
    <s v="Baseball Caps"/>
    <n v="2"/>
    <n v="17.3"/>
    <n v="34.6"/>
    <d v="2025-01-07T00:00:00"/>
    <d v="2025-01-09T00:00:00"/>
    <s v="F"/>
    <x v="1"/>
    <n v="5"/>
    <s v="California"/>
    <s v="Los Angeles County"/>
    <n v="2"/>
    <n v="2"/>
    <x v="2"/>
  </r>
  <r>
    <s v="TX500175"/>
    <s v="Bikinis"/>
    <n v="2"/>
    <n v="30.5"/>
    <n v="61"/>
    <d v="2025-01-07T00:00:00"/>
    <d v="2025-01-08T00:00:00"/>
    <s v="F"/>
    <x v="1"/>
    <n v="5"/>
    <s v="California"/>
    <s v="Los Angeles County"/>
    <n v="1"/>
    <n v="2"/>
    <x v="2"/>
  </r>
  <r>
    <s v="TX500176"/>
    <s v="Leggings"/>
    <n v="62"/>
    <n v="70.099999999999994"/>
    <n v="4346.2"/>
    <d v="2025-01-07T00:00:00"/>
    <d v="2025-01-07T00:00:00"/>
    <s v="F"/>
    <x v="2"/>
    <n v="4"/>
    <s v="California"/>
    <s v="Los Angeles County"/>
    <n v="0"/>
    <n v="2"/>
    <x v="2"/>
  </r>
  <r>
    <s v="TX500177"/>
    <s v="Workout Tops"/>
    <n v="1"/>
    <n v="76.099999999999994"/>
    <n v="76.099999999999994"/>
    <d v="2025-01-07T00:00:00"/>
    <d v="2025-01-07T00:00:00"/>
    <s v="F"/>
    <x v="2"/>
    <n v="3"/>
    <s v="California"/>
    <s v="Los Angeles County"/>
    <n v="0"/>
    <n v="2"/>
    <x v="2"/>
  </r>
  <r>
    <s v="TX500178"/>
    <s v="Crop Tops"/>
    <n v="13"/>
    <n v="34.200000000000003"/>
    <n v="444.6"/>
    <d v="2025-01-07T00:00:00"/>
    <d v="2025-01-08T00:00:00"/>
    <s v="M"/>
    <x v="0"/>
    <n v="4"/>
    <s v="California"/>
    <s v="Los Angeles County"/>
    <n v="1"/>
    <n v="2"/>
    <x v="1"/>
  </r>
  <r>
    <s v="TX500179"/>
    <s v="T-Shirts"/>
    <n v="5"/>
    <n v="30.3"/>
    <n v="151.5"/>
    <d v="2025-01-07T00:00:00"/>
    <d v="2025-01-12T00:00:00"/>
    <s v="F"/>
    <x v="4"/>
    <n v="4"/>
    <s v="California"/>
    <s v="Los Angeles County"/>
    <n v="5"/>
    <n v="2"/>
    <x v="2"/>
  </r>
  <r>
    <s v="TX500180"/>
    <s v="Jeans"/>
    <n v="5"/>
    <n v="52.5"/>
    <n v="262.5"/>
    <d v="2025-01-07T00:00:00"/>
    <d v="2025-01-11T00:00:00"/>
    <s v=""/>
    <x v="3"/>
    <n v="4"/>
    <s v="California"/>
    <s v="Los Angeles County"/>
    <n v="4"/>
    <n v="2"/>
    <x v="0"/>
  </r>
  <r>
    <s v="TX500181"/>
    <s v="Sundresses"/>
    <n v="11"/>
    <n v="28.7"/>
    <n v="315.7"/>
    <d v="2025-01-07T00:00:00"/>
    <d v="2025-01-08T00:00:00"/>
    <s v="F"/>
    <x v="2"/>
    <n v="4"/>
    <s v="California"/>
    <s v="Los Angeles County"/>
    <n v="1"/>
    <n v="2"/>
    <x v="2"/>
  </r>
  <r>
    <s v="TX500182"/>
    <s v="Hoodies &amp; Sweatshirts"/>
    <n v="7"/>
    <n v="52"/>
    <n v="364"/>
    <d v="2025-01-07T00:00:00"/>
    <d v="2025-01-08T00:00:00"/>
    <s v="M"/>
    <x v="1"/>
    <n v="2"/>
    <s v="California"/>
    <s v="Los Angeles County"/>
    <n v="1"/>
    <n v="2"/>
    <x v="1"/>
  </r>
  <r>
    <s v="TX500183"/>
    <s v="Shorts"/>
    <n v="1"/>
    <n v="13.3"/>
    <n v="13.3"/>
    <d v="2025-01-08T00:00:00"/>
    <d v="2025-01-12T00:00:00"/>
    <s v="F"/>
    <x v="2"/>
    <n v="3"/>
    <s v="California"/>
    <s v="Los Angeles County"/>
    <n v="4"/>
    <n v="2"/>
    <x v="2"/>
  </r>
  <r>
    <s v="TX500184"/>
    <s v="Shorts"/>
    <n v="3"/>
    <n v="15.7"/>
    <n v="47.099999999999994"/>
    <d v="2025-01-08T00:00:00"/>
    <d v="2025-01-09T00:00:00"/>
    <s v="F"/>
    <x v="1"/>
    <n v="4"/>
    <s v="California"/>
    <s v="Mendocino County"/>
    <n v="1"/>
    <n v="2"/>
    <x v="2"/>
  </r>
  <r>
    <s v="TX500185"/>
    <s v="T-Shirts"/>
    <n v="2"/>
    <n v="25.6"/>
    <n v="51.2"/>
    <d v="2025-01-08T00:00:00"/>
    <d v="2025-01-09T00:00:00"/>
    <s v="M"/>
    <x v="0"/>
    <n v="5"/>
    <s v="California"/>
    <s v="Riverside County"/>
    <n v="1"/>
    <n v="2"/>
    <x v="1"/>
  </r>
  <r>
    <s v="TX500186"/>
    <s v="T-Shirts"/>
    <n v="1"/>
    <n v="43.4"/>
    <n v="43.4"/>
    <d v="2025-01-08T00:00:00"/>
    <d v="2025-01-13T00:00:00"/>
    <s v="M"/>
    <x v="0"/>
    <n v="4"/>
    <s v="California"/>
    <s v="Sacramento County"/>
    <n v="5"/>
    <n v="2"/>
    <x v="1"/>
  </r>
  <r>
    <s v="TX500187"/>
    <s v="Maxi Dresses"/>
    <n v="9"/>
    <n v="33.4"/>
    <n v="300.59999999999997"/>
    <d v="2025-01-08T00:00:00"/>
    <d v="2025-01-08T00:00:00"/>
    <s v="F"/>
    <x v="0"/>
    <n v="4"/>
    <s v="California"/>
    <s v="San Diego County"/>
    <n v="0"/>
    <n v="2"/>
    <x v="2"/>
  </r>
  <r>
    <s v="TX500188"/>
    <s v="T-Shirts"/>
    <n v="19"/>
    <n v="55"/>
    <n v="1045"/>
    <d v="2025-01-08T00:00:00"/>
    <d v="2025-01-09T00:00:00"/>
    <s v="F"/>
    <x v="1"/>
    <n v="5"/>
    <s v="California"/>
    <s v="San Diego County"/>
    <n v="1"/>
    <n v="2"/>
    <x v="2"/>
  </r>
  <r>
    <s v="TX500189"/>
    <s v="T-Shirts"/>
    <n v="3"/>
    <n v="23.6"/>
    <n v="70.800000000000011"/>
    <d v="2025-01-08T00:00:00"/>
    <d v="2025-01-09T00:00:00"/>
    <s v="M"/>
    <x v="0"/>
    <n v="5"/>
    <s v="California"/>
    <s v="San Diego County"/>
    <n v="1"/>
    <n v="2"/>
    <x v="1"/>
  </r>
  <r>
    <s v="TX500190"/>
    <s v="Casual Dresses"/>
    <n v="9"/>
    <n v="104"/>
    <n v="936"/>
    <d v="2025-01-08T00:00:00"/>
    <d v="2025-01-10T00:00:00"/>
    <s v="F"/>
    <x v="2"/>
    <n v="5"/>
    <s v="California"/>
    <s v="San Francisco"/>
    <n v="2"/>
    <n v="2"/>
    <x v="2"/>
  </r>
  <r>
    <s v="TX500191"/>
    <s v="Jeans"/>
    <n v="2"/>
    <n v="51.8"/>
    <n v="103.6"/>
    <d v="2025-01-08T00:00:00"/>
    <d v="2025-01-12T00:00:00"/>
    <s v=""/>
    <x v="0"/>
    <n v="5"/>
    <s v="California"/>
    <s v="Santa Barbara County"/>
    <n v="4"/>
    <n v="2"/>
    <x v="0"/>
  </r>
  <r>
    <s v="TX500192"/>
    <s v="Bikinis"/>
    <n v="5"/>
    <n v="34.5"/>
    <n v="172.5"/>
    <d v="2025-01-08T00:00:00"/>
    <d v="2025-01-10T00:00:00"/>
    <s v=""/>
    <x v="2"/>
    <n v="5"/>
    <s v="California"/>
    <s v="Santa Clara County"/>
    <n v="2"/>
    <n v="2"/>
    <x v="0"/>
  </r>
  <r>
    <s v="TX500193"/>
    <s v="Jeans"/>
    <n v="2"/>
    <n v="51.8"/>
    <n v="103.6"/>
    <d v="2025-01-08T00:00:00"/>
    <d v="2025-01-10T00:00:00"/>
    <s v="M"/>
    <x v="1"/>
    <n v="5"/>
    <s v="California"/>
    <s v="Siskiyou County"/>
    <n v="2"/>
    <n v="2"/>
    <x v="1"/>
  </r>
  <r>
    <s v="TX500194"/>
    <s v="Leggings"/>
    <n v="43"/>
    <n v="131.5"/>
    <n v="5654.5"/>
    <d v="2025-01-08T00:00:00"/>
    <d v="2025-01-09T00:00:00"/>
    <s v="F"/>
    <x v="0"/>
    <n v="5"/>
    <s v="California"/>
    <s v="Sonoma County"/>
    <n v="1"/>
    <n v="2"/>
    <x v="2"/>
  </r>
  <r>
    <s v="TX500195"/>
    <s v="T-Shirts"/>
    <n v="7"/>
    <n v="47.8"/>
    <n v="334.59999999999997"/>
    <d v="2025-01-08T00:00:00"/>
    <d v="2025-01-08T00:00:00"/>
    <s v="F"/>
    <x v="0"/>
    <n v="4"/>
    <s v="California"/>
    <s v="Stanislaus County"/>
    <n v="0"/>
    <n v="2"/>
    <x v="2"/>
  </r>
  <r>
    <s v="TX500196"/>
    <s v="Shorts"/>
    <n v="2"/>
    <n v="10.199999999999999"/>
    <n v="20.399999999999999"/>
    <d v="2025-01-08T00:00:00"/>
    <d v="2025-01-10T00:00:00"/>
    <s v="F"/>
    <x v="0"/>
    <n v="4"/>
    <s v="California"/>
    <s v="Stanislaus County"/>
    <n v="2"/>
    <n v="2"/>
    <x v="2"/>
  </r>
  <r>
    <s v="TX500197"/>
    <s v="T-Shirts"/>
    <n v="8"/>
    <n v="41"/>
    <n v="328"/>
    <d v="2025-01-08T00:00:00"/>
    <d v="2025-01-08T00:00:00"/>
    <s v="F"/>
    <x v="1"/>
    <n v="5"/>
    <s v="California"/>
    <s v="Stanislaus County"/>
    <n v="0"/>
    <n v="2"/>
    <x v="2"/>
  </r>
  <r>
    <s v="TX500198"/>
    <s v="Bikinis"/>
    <n v="7"/>
    <n v="50.8"/>
    <n v="355.59999999999997"/>
    <d v="2025-01-08T00:00:00"/>
    <d v="2025-01-11T00:00:00"/>
    <s v="F"/>
    <x v="1"/>
    <n v="4"/>
    <s v="California"/>
    <s v="Alameda County"/>
    <n v="3"/>
    <n v="2"/>
    <x v="2"/>
  </r>
  <r>
    <s v="TX500199"/>
    <s v="Leggings"/>
    <n v="3"/>
    <n v="39.6"/>
    <n v="118.80000000000001"/>
    <d v="2025-01-08T00:00:00"/>
    <d v="2025-01-09T00:00:00"/>
    <s v="M"/>
    <x v="2"/>
    <n v="5"/>
    <s v="California"/>
    <s v="Contra Costa County"/>
    <n v="1"/>
    <n v="2"/>
    <x v="1"/>
  </r>
  <r>
    <s v="TX500200"/>
    <s v="Sandals"/>
    <n v="2"/>
    <n v="69.5"/>
    <n v="139"/>
    <d v="2025-01-08T00:00:00"/>
    <d v="2025-01-10T00:00:00"/>
    <s v="M"/>
    <x v="0"/>
    <n v="5"/>
    <s v="California"/>
    <s v="Fresno County"/>
    <n v="2"/>
    <n v="2"/>
    <x v="1"/>
  </r>
  <r>
    <s v="TX500201"/>
    <s v="T-Shirts"/>
    <n v="8"/>
    <n v="32.6"/>
    <n v="260.8"/>
    <d v="2025-01-08T00:00:00"/>
    <d v="2025-01-11T00:00:00"/>
    <s v="M"/>
    <x v="1"/>
    <n v="4"/>
    <s v="California"/>
    <s v="Los Angeles County"/>
    <n v="3"/>
    <n v="2"/>
    <x v="1"/>
  </r>
  <r>
    <s v="TX500202"/>
    <s v="Hoodies &amp; Sweatshirts"/>
    <n v="2"/>
    <n v="49.1"/>
    <n v="98.2"/>
    <d v="2025-01-08T00:00:00"/>
    <d v="2025-01-16T00:00:00"/>
    <s v="M"/>
    <x v="3"/>
    <n v="5"/>
    <s v="California"/>
    <s v="Los Angeles County"/>
    <n v="8"/>
    <n v="2"/>
    <x v="1"/>
  </r>
  <r>
    <s v="TX500203"/>
    <s v="Jeans"/>
    <n v="2"/>
    <n v="49.4"/>
    <n v="98.8"/>
    <d v="2025-01-09T00:00:00"/>
    <d v="2025-01-10T00:00:00"/>
    <s v="F"/>
    <x v="2"/>
    <n v="4"/>
    <s v="California"/>
    <s v="Los Angeles County"/>
    <n v="1"/>
    <n v="2"/>
    <x v="2"/>
  </r>
  <r>
    <s v="TX500204"/>
    <s v="Hoodies &amp; Sweatshirts"/>
    <n v="7"/>
    <n v="65.099999999999994"/>
    <n v="455.69999999999993"/>
    <d v="2025-01-09T00:00:00"/>
    <d v="2025-01-12T00:00:00"/>
    <s v="F"/>
    <x v="2"/>
    <n v="5"/>
    <s v="California"/>
    <s v="Los Angeles County"/>
    <n v="3"/>
    <n v="2"/>
    <x v="2"/>
  </r>
  <r>
    <s v="TX500205"/>
    <s v="Workout Tops"/>
    <n v="2"/>
    <n v="52.1"/>
    <n v="104.2"/>
    <d v="2025-01-09T00:00:00"/>
    <d v="2025-01-13T00:00:00"/>
    <s v="F"/>
    <x v="2"/>
    <n v="4"/>
    <s v="California"/>
    <s v="Los Angeles County"/>
    <n v="4"/>
    <n v="2"/>
    <x v="2"/>
  </r>
  <r>
    <s v="TX500206"/>
    <s v="Sneakers"/>
    <n v="4"/>
    <n v="129.19999999999999"/>
    <n v="516.79999999999995"/>
    <d v="2025-01-09T00:00:00"/>
    <d v="2025-01-10T00:00:00"/>
    <s v="F"/>
    <x v="1"/>
    <n v="4"/>
    <s v="California"/>
    <s v="Los Angeles County"/>
    <n v="1"/>
    <n v="2"/>
    <x v="2"/>
  </r>
  <r>
    <s v="TX500207"/>
    <s v="Tank Tops"/>
    <n v="19"/>
    <n v="81.8"/>
    <n v="1554.2"/>
    <d v="2025-01-09T00:00:00"/>
    <d v="2025-01-09T00:00:00"/>
    <s v="F"/>
    <x v="1"/>
    <n v="3"/>
    <s v="California"/>
    <s v="Los Angeles County"/>
    <n v="0"/>
    <n v="2"/>
    <x v="2"/>
  </r>
  <r>
    <s v="TX500208"/>
    <s v="Pajama Sets"/>
    <n v="1"/>
    <n v="24.9"/>
    <n v="24.9"/>
    <d v="2025-01-09T00:00:00"/>
    <d v="2025-01-13T00:00:00"/>
    <s v="F"/>
    <x v="1"/>
    <n v="4"/>
    <s v="California"/>
    <s v="Los Angeles County"/>
    <n v="4"/>
    <n v="2"/>
    <x v="2"/>
  </r>
  <r>
    <s v="TX500209"/>
    <s v="Shorts"/>
    <n v="3"/>
    <n v="49.4"/>
    <n v="148.19999999999999"/>
    <d v="2025-01-09T00:00:00"/>
    <d v="2025-01-12T00:00:00"/>
    <s v="F"/>
    <x v="4"/>
    <n v="2"/>
    <s v="California"/>
    <s v="Los Angeles County"/>
    <n v="3"/>
    <n v="2"/>
    <x v="2"/>
  </r>
  <r>
    <s v="TX500210"/>
    <s v="T-Shirts"/>
    <n v="2"/>
    <n v="22.7"/>
    <n v="45.4"/>
    <d v="2025-01-09T00:00:00"/>
    <d v="2025-01-10T00:00:00"/>
    <s v="M"/>
    <x v="3"/>
    <n v="5"/>
    <s v="California"/>
    <s v="Los Angeles County"/>
    <n v="1"/>
    <n v="2"/>
    <x v="1"/>
  </r>
  <r>
    <s v="TX500211"/>
    <s v="Tank Tops"/>
    <n v="1"/>
    <n v="77.3"/>
    <n v="77.3"/>
    <d v="2025-01-09T00:00:00"/>
    <d v="2025-01-09T00:00:00"/>
    <s v="F"/>
    <x v="0"/>
    <n v="5"/>
    <s v="California"/>
    <s v="Sacramento County"/>
    <n v="0"/>
    <n v="2"/>
    <x v="2"/>
  </r>
  <r>
    <s v="TX500212"/>
    <s v="Tank Tops"/>
    <n v="5"/>
    <n v="109.1"/>
    <n v="545.5"/>
    <d v="2025-01-09T00:00:00"/>
    <d v="2025-01-12T00:00:00"/>
    <s v="F"/>
    <x v="0"/>
    <n v="4"/>
    <s v="California"/>
    <s v="Sacramento County"/>
    <n v="3"/>
    <n v="2"/>
    <x v="2"/>
  </r>
  <r>
    <s v="TX500213"/>
    <s v="Sneakers"/>
    <n v="4"/>
    <n v="53.9"/>
    <n v="215.6"/>
    <d v="2025-01-09T00:00:00"/>
    <d v="2025-01-10T00:00:00"/>
    <s v="M"/>
    <x v="0"/>
    <n v="3"/>
    <s v="California"/>
    <s v="San Diego County"/>
    <n v="1"/>
    <n v="2"/>
    <x v="1"/>
  </r>
  <r>
    <s v="TX500214"/>
    <s v="Sundresses"/>
    <n v="26"/>
    <n v="21.2"/>
    <n v="551.19999999999993"/>
    <d v="2025-01-09T00:00:00"/>
    <d v="2025-01-09T00:00:00"/>
    <s v="F"/>
    <x v="0"/>
    <n v="4"/>
    <s v="California"/>
    <s v="San Mateo County"/>
    <n v="0"/>
    <n v="2"/>
    <x v="2"/>
  </r>
  <r>
    <s v="TX500215"/>
    <s v="Sunglasses"/>
    <n v="4"/>
    <n v="69"/>
    <n v="276"/>
    <d v="2025-01-09T00:00:00"/>
    <d v="2025-01-11T00:00:00"/>
    <s v="F"/>
    <x v="1"/>
    <n v="3"/>
    <s v="California"/>
    <s v="Sonoma County"/>
    <n v="2"/>
    <n v="2"/>
    <x v="2"/>
  </r>
  <r>
    <s v="TX500216"/>
    <s v="Jeans"/>
    <n v="3"/>
    <n v="46.2"/>
    <n v="138.60000000000002"/>
    <d v="2025-01-09T00:00:00"/>
    <d v="2025-01-11T00:00:00"/>
    <s v="F"/>
    <x v="0"/>
    <n v="5"/>
    <s v="California"/>
    <s v="Sutter County"/>
    <n v="2"/>
    <n v="2"/>
    <x v="2"/>
  </r>
  <r>
    <s v="TX500217"/>
    <s v="Tank Tops"/>
    <n v="5"/>
    <n v="97.4"/>
    <n v="487"/>
    <d v="2025-01-09T00:00:00"/>
    <d v="2025-01-13T00:00:00"/>
    <s v="F"/>
    <x v="4"/>
    <n v="5"/>
    <s v="California"/>
    <s v="Alameda County"/>
    <n v="4"/>
    <n v="2"/>
    <x v="2"/>
  </r>
  <r>
    <s v="TX500218"/>
    <s v="T-Shirts"/>
    <n v="5"/>
    <n v="21"/>
    <n v="105"/>
    <d v="2025-01-09T00:00:00"/>
    <d v="2025-01-10T00:00:00"/>
    <s v="M"/>
    <x v="0"/>
    <n v="3"/>
    <s v="California"/>
    <s v="Alameda County"/>
    <n v="1"/>
    <n v="2"/>
    <x v="1"/>
  </r>
  <r>
    <s v="TX500219"/>
    <s v="Sandals"/>
    <n v="2"/>
    <n v="32.700000000000003"/>
    <n v="65.400000000000006"/>
    <d v="2025-01-10T00:00:00"/>
    <d v="2025-01-13T00:00:00"/>
    <s v="F"/>
    <x v="1"/>
    <n v="4"/>
    <s v="California"/>
    <s v="Fresno County"/>
    <n v="3"/>
    <n v="2"/>
    <x v="2"/>
  </r>
  <r>
    <s v="TX500220"/>
    <s v="Jeans"/>
    <n v="4"/>
    <n v="48"/>
    <n v="192"/>
    <d v="2025-01-10T00:00:00"/>
    <d v="2025-01-11T00:00:00"/>
    <s v="M"/>
    <x v="3"/>
    <n v="4"/>
    <s v="California"/>
    <s v="Los Angeles County"/>
    <n v="1"/>
    <n v="2"/>
    <x v="1"/>
  </r>
  <r>
    <s v="TX500221"/>
    <s v="Jeans"/>
    <n v="3"/>
    <n v="68.2"/>
    <n v="204.60000000000002"/>
    <d v="2025-01-10T00:00:00"/>
    <d v="2025-01-14T00:00:00"/>
    <s v=""/>
    <x v="0"/>
    <n v="5"/>
    <s v="California"/>
    <s v="Los Angeles County"/>
    <n v="4"/>
    <n v="2"/>
    <x v="0"/>
  </r>
  <r>
    <s v="TX500222"/>
    <s v="Sandals"/>
    <n v="1"/>
    <n v="45.4"/>
    <n v="45.4"/>
    <d v="2025-01-10T00:00:00"/>
    <d v="2025-01-12T00:00:00"/>
    <s v="M"/>
    <x v="1"/>
    <n v="4"/>
    <s v="California"/>
    <s v="Los Angeles County"/>
    <n v="2"/>
    <n v="2"/>
    <x v="1"/>
  </r>
  <r>
    <s v="TX500223"/>
    <s v="Casual Dresses"/>
    <n v="2"/>
    <n v="53.9"/>
    <n v="107.8"/>
    <d v="2025-01-10T00:00:00"/>
    <d v="2025-01-11T00:00:00"/>
    <s v="F"/>
    <x v="2"/>
    <n v="4"/>
    <s v="California"/>
    <s v="Los Angeles County"/>
    <n v="1"/>
    <n v="2"/>
    <x v="2"/>
  </r>
  <r>
    <s v="TX500224"/>
    <s v="Sneakers"/>
    <n v="4"/>
    <n v="62.1"/>
    <n v="248.4"/>
    <d v="2025-01-10T00:00:00"/>
    <d v="2025-01-14T00:00:00"/>
    <s v="F"/>
    <x v="0"/>
    <n v="4"/>
    <s v="California"/>
    <s v="Nevada County"/>
    <n v="4"/>
    <n v="2"/>
    <x v="2"/>
  </r>
  <r>
    <s v="TX500225"/>
    <s v="Tote Bags"/>
    <n v="7"/>
    <n v="33.1"/>
    <n v="231.70000000000002"/>
    <d v="2025-01-10T00:00:00"/>
    <d v="2025-01-15T00:00:00"/>
    <s v="M"/>
    <x v="1"/>
    <n v="4"/>
    <s v="California"/>
    <s v="Sacramento County"/>
    <n v="5"/>
    <n v="2"/>
    <x v="1"/>
  </r>
  <r>
    <s v="TX500226"/>
    <s v="Leggings"/>
    <n v="5"/>
    <n v="35.200000000000003"/>
    <n v="176"/>
    <d v="2025-01-10T00:00:00"/>
    <d v="2025-01-10T00:00:00"/>
    <s v="F"/>
    <x v="1"/>
    <n v="4"/>
    <s v="California"/>
    <s v="Sacramento County"/>
    <n v="0"/>
    <n v="2"/>
    <x v="2"/>
  </r>
  <r>
    <s v="TX500227"/>
    <s v="Sundresses"/>
    <n v="3"/>
    <n v="32.1"/>
    <n v="96.300000000000011"/>
    <d v="2025-01-10T00:00:00"/>
    <d v="2025-01-15T00:00:00"/>
    <s v="M"/>
    <x v="3"/>
    <n v="4"/>
    <s v="California"/>
    <s v="San Diego County"/>
    <n v="5"/>
    <n v="2"/>
    <x v="1"/>
  </r>
  <r>
    <s v="TX500228"/>
    <s v="Maxi Dresses"/>
    <n v="1"/>
    <n v="38.1"/>
    <n v="38.1"/>
    <d v="2025-01-10T00:00:00"/>
    <d v="2025-01-15T00:00:00"/>
    <s v="F"/>
    <x v="0"/>
    <n v="5"/>
    <s v="California"/>
    <s v="San Diego County"/>
    <n v="5"/>
    <n v="2"/>
    <x v="2"/>
  </r>
  <r>
    <s v="TX500229"/>
    <s v="T-Shirts"/>
    <n v="1"/>
    <n v="65.2"/>
    <n v="65.2"/>
    <d v="2025-01-10T00:00:00"/>
    <d v="2025-01-15T00:00:00"/>
    <s v="F"/>
    <x v="3"/>
    <n v="3"/>
    <s v="California"/>
    <s v="San Diego County"/>
    <n v="5"/>
    <n v="2"/>
    <x v="2"/>
  </r>
  <r>
    <s v="TX500230"/>
    <s v="Bikinis"/>
    <n v="7"/>
    <n v="55.2"/>
    <n v="386.40000000000003"/>
    <d v="2025-01-10T00:00:00"/>
    <d v="2025-01-11T00:00:00"/>
    <s v="M"/>
    <x v="2"/>
    <n v="4"/>
    <s v="California"/>
    <s v="Santa Clara County"/>
    <n v="1"/>
    <n v="2"/>
    <x v="1"/>
  </r>
  <r>
    <s v="TX500231"/>
    <s v="Jeans"/>
    <n v="1"/>
    <n v="62"/>
    <n v="62"/>
    <d v="2025-01-10T00:00:00"/>
    <d v="2025-01-14T00:00:00"/>
    <s v="F"/>
    <x v="0"/>
    <n v="4"/>
    <s v="California"/>
    <s v="Santa Clara County"/>
    <n v="4"/>
    <n v="2"/>
    <x v="2"/>
  </r>
  <r>
    <s v="TX500232"/>
    <s v="Hoodies &amp; Sweatshirts"/>
    <n v="3"/>
    <n v="45.9"/>
    <n v="137.69999999999999"/>
    <d v="2025-01-10T00:00:00"/>
    <d v="2025-01-11T00:00:00"/>
    <s v="F"/>
    <x v="2"/>
    <n v="4"/>
    <s v="California"/>
    <s v="Santa Cruz County"/>
    <n v="1"/>
    <n v="2"/>
    <x v="2"/>
  </r>
  <r>
    <s v="TX500233"/>
    <s v="Leggings"/>
    <n v="3"/>
    <n v="58.3"/>
    <n v="174.89999999999998"/>
    <d v="2025-01-10T00:00:00"/>
    <d v="2025-01-10T00:00:00"/>
    <s v="M"/>
    <x v="1"/>
    <n v="3"/>
    <s v="California"/>
    <s v="Sonoma County"/>
    <n v="0"/>
    <n v="2"/>
    <x v="1"/>
  </r>
  <r>
    <s v="TX500234"/>
    <s v="T-Shirts"/>
    <n v="2"/>
    <n v="22.3"/>
    <n v="44.6"/>
    <d v="2025-01-10T00:00:00"/>
    <d v="2025-01-13T00:00:00"/>
    <s v="F"/>
    <x v="0"/>
    <n v="5"/>
    <s v="California"/>
    <s v="Tulare County"/>
    <n v="3"/>
    <n v="2"/>
    <x v="2"/>
  </r>
  <r>
    <s v="TX500235"/>
    <s v="Jewelry"/>
    <n v="5"/>
    <n v="24"/>
    <n v="120"/>
    <d v="2025-01-10T00:00:00"/>
    <d v="2025-01-11T00:00:00"/>
    <s v="M"/>
    <x v="4"/>
    <n v="4"/>
    <s v="California"/>
    <s v="Contra Costa County"/>
    <n v="1"/>
    <n v="2"/>
    <x v="1"/>
  </r>
  <r>
    <s v="TX500236"/>
    <s v="Shorts"/>
    <n v="10"/>
    <n v="21.3"/>
    <n v="213"/>
    <d v="2025-01-10T00:00:00"/>
    <d v="2025-01-10T00:00:00"/>
    <s v="F"/>
    <x v="1"/>
    <n v="5"/>
    <s v="California"/>
    <s v="Kern County"/>
    <n v="0"/>
    <n v="2"/>
    <x v="2"/>
  </r>
  <r>
    <s v="TX500237"/>
    <s v="Jeans"/>
    <n v="41"/>
    <n v="57.8"/>
    <n v="2369.7999999999997"/>
    <d v="2025-01-10T00:00:00"/>
    <d v="2025-01-12T00:00:00"/>
    <s v="F"/>
    <x v="0"/>
    <n v="5"/>
    <s v="California"/>
    <s v="Los Angeles County"/>
    <n v="2"/>
    <n v="2"/>
    <x v="2"/>
  </r>
  <r>
    <s v="TX500238"/>
    <s v="Bikinis"/>
    <n v="3"/>
    <n v="67.599999999999994"/>
    <n v="202.79999999999998"/>
    <d v="2025-01-10T00:00:00"/>
    <d v="2025-01-11T00:00:00"/>
    <s v="F"/>
    <x v="0"/>
    <n v="4"/>
    <s v="California"/>
    <s v="Los Angeles County"/>
    <n v="1"/>
    <n v="2"/>
    <x v="2"/>
  </r>
  <r>
    <s v="TX500239"/>
    <s v="Jeans"/>
    <n v="6"/>
    <n v="66.7"/>
    <n v="400.20000000000005"/>
    <d v="2025-01-10T00:00:00"/>
    <d v="2025-01-14T00:00:00"/>
    <s v="M"/>
    <x v="4"/>
    <n v="3"/>
    <s v="California"/>
    <s v="Los Angeles County"/>
    <n v="4"/>
    <n v="2"/>
    <x v="1"/>
  </r>
  <r>
    <s v="TX500240"/>
    <s v="Tank Tops"/>
    <n v="4"/>
    <n v="53.1"/>
    <n v="212.4"/>
    <d v="2025-01-10T00:00:00"/>
    <d v="2025-01-12T00:00:00"/>
    <s v="F"/>
    <x v="1"/>
    <n v="4"/>
    <s v="California"/>
    <s v="Los Angeles County"/>
    <n v="2"/>
    <n v="2"/>
    <x v="2"/>
  </r>
  <r>
    <s v="TX500241"/>
    <s v="Casual Dresses"/>
    <n v="3"/>
    <n v="57.4"/>
    <n v="172.2"/>
    <d v="2025-01-10T00:00:00"/>
    <d v="2025-01-13T00:00:00"/>
    <s v="F"/>
    <x v="0"/>
    <n v="5"/>
    <s v="California"/>
    <s v="Mendocino County"/>
    <n v="3"/>
    <n v="2"/>
    <x v="2"/>
  </r>
  <r>
    <s v="TX500242"/>
    <s v="Sneakers"/>
    <n v="5"/>
    <n v="58.1"/>
    <n v="290.5"/>
    <d v="2025-01-10T00:00:00"/>
    <d v="2025-01-10T00:00:00"/>
    <s v="M"/>
    <x v="2"/>
    <n v="5"/>
    <s v="California"/>
    <s v="Sacramento County"/>
    <n v="0"/>
    <n v="2"/>
    <x v="1"/>
  </r>
  <r>
    <s v="TX500243"/>
    <s v="Sandals"/>
    <n v="3"/>
    <n v="31.8"/>
    <n v="95.4"/>
    <d v="2025-01-11T00:00:00"/>
    <d v="2025-01-13T00:00:00"/>
    <s v="M"/>
    <x v="3"/>
    <n v="4"/>
    <s v="California"/>
    <s v="Sacramento County"/>
    <n v="2"/>
    <n v="2"/>
    <x v="1"/>
  </r>
  <r>
    <s v="TX500244"/>
    <s v="Graphic Tees"/>
    <n v="3"/>
    <n v="31.5"/>
    <n v="94.5"/>
    <d v="2025-01-11T00:00:00"/>
    <d v="2025-01-14T00:00:00"/>
    <s v="M"/>
    <x v="0"/>
    <n v="3"/>
    <s v="California"/>
    <s v="San Diego County"/>
    <n v="3"/>
    <n v="2"/>
    <x v="1"/>
  </r>
  <r>
    <s v="TX500245"/>
    <s v="Jeans"/>
    <n v="7"/>
    <n v="55.9"/>
    <n v="391.3"/>
    <d v="2025-01-11T00:00:00"/>
    <d v="2025-01-15T00:00:00"/>
    <s v="F"/>
    <x v="1"/>
    <n v="5"/>
    <s v="California"/>
    <s v="San Diego County"/>
    <n v="4"/>
    <n v="2"/>
    <x v="2"/>
  </r>
  <r>
    <s v="TX500246"/>
    <s v="T-Shirts"/>
    <n v="2"/>
    <n v="36.4"/>
    <n v="72.8"/>
    <d v="2025-01-11T00:00:00"/>
    <d v="2025-01-12T00:00:00"/>
    <s v="M"/>
    <x v="1"/>
    <n v="3"/>
    <s v="California"/>
    <s v="San Mateo County"/>
    <n v="1"/>
    <n v="2"/>
    <x v="1"/>
  </r>
  <r>
    <s v="TX500247"/>
    <s v="Tank Tops"/>
    <n v="5"/>
    <n v="47.3"/>
    <n v="236.5"/>
    <d v="2025-01-11T00:00:00"/>
    <d v="2025-01-14T00:00:00"/>
    <s v="M"/>
    <x v="2"/>
    <n v="4"/>
    <s v="California"/>
    <s v="Santa Barbara County"/>
    <n v="3"/>
    <n v="2"/>
    <x v="1"/>
  </r>
  <r>
    <s v="TX500248"/>
    <s v="Jeans"/>
    <n v="3"/>
    <n v="82.5"/>
    <n v="247.5"/>
    <d v="2025-01-11T00:00:00"/>
    <d v="2025-01-12T00:00:00"/>
    <s v="M"/>
    <x v="0"/>
    <n v="4"/>
    <s v="California"/>
    <s v="Santa Clara County"/>
    <n v="1"/>
    <n v="2"/>
    <x v="1"/>
  </r>
  <r>
    <s v="TX500249"/>
    <s v="Shorts"/>
    <n v="1"/>
    <n v="14.3"/>
    <n v="14.3"/>
    <d v="2025-01-11T00:00:00"/>
    <d v="2025-01-12T00:00:00"/>
    <s v="F"/>
    <x v="0"/>
    <n v="4"/>
    <s v="California"/>
    <s v="Alameda County"/>
    <n v="1"/>
    <n v="2"/>
    <x v="2"/>
  </r>
  <r>
    <s v="TX500250"/>
    <s v="Sneakers"/>
    <n v="6"/>
    <n v="57.6"/>
    <n v="345.6"/>
    <d v="2025-01-11T00:00:00"/>
    <d v="2025-01-25T00:00:00"/>
    <s v="F"/>
    <x v="0"/>
    <n v="4"/>
    <s v="California"/>
    <s v="Alameda County"/>
    <n v="14"/>
    <n v="2"/>
    <x v="2"/>
  </r>
  <r>
    <s v="TX500251"/>
    <s v="Sneakers"/>
    <n v="3"/>
    <n v="142.4"/>
    <n v="427.20000000000005"/>
    <d v="2025-01-11T00:00:00"/>
    <d v="2025-01-13T00:00:00"/>
    <s v="M"/>
    <x v="4"/>
    <n v="3"/>
    <s v="California"/>
    <s v="Alameda County"/>
    <n v="2"/>
    <n v="2"/>
    <x v="1"/>
  </r>
  <r>
    <s v="TX500252"/>
    <s v="Casual Dresses"/>
    <n v="1"/>
    <n v="30.2"/>
    <n v="30.2"/>
    <d v="2025-01-11T00:00:00"/>
    <d v="2025-01-15T00:00:00"/>
    <s v="M"/>
    <x v="1"/>
    <n v="5"/>
    <s v="California"/>
    <s v="Fresno County"/>
    <n v="4"/>
    <n v="2"/>
    <x v="1"/>
  </r>
  <r>
    <s v="TX500253"/>
    <s v="Leggings"/>
    <n v="3"/>
    <n v="65.3"/>
    <n v="195.89999999999998"/>
    <d v="2025-01-11T00:00:00"/>
    <d v="2025-01-12T00:00:00"/>
    <s v="O"/>
    <x v="1"/>
    <n v="4"/>
    <s v="California"/>
    <s v="Imperial County"/>
    <n v="1"/>
    <n v="2"/>
    <x v="3"/>
  </r>
  <r>
    <s v="TX500254"/>
    <s v="Shorts"/>
    <n v="2"/>
    <n v="33.4"/>
    <n v="66.8"/>
    <d v="2025-01-11T00:00:00"/>
    <d v="2025-01-12T00:00:00"/>
    <s v="M"/>
    <x v="1"/>
    <n v="3"/>
    <s v="California"/>
    <s v="Kern County"/>
    <n v="1"/>
    <n v="2"/>
    <x v="1"/>
  </r>
  <r>
    <s v="TX500255"/>
    <s v="Hoodies &amp; Sweatshirts"/>
    <n v="2"/>
    <n v="45.1"/>
    <n v="90.2"/>
    <d v="2025-01-11T00:00:00"/>
    <d v="2025-01-19T00:00:00"/>
    <s v="M"/>
    <x v="0"/>
    <n v="4"/>
    <s v="California"/>
    <s v="Kings County"/>
    <n v="8"/>
    <n v="2"/>
    <x v="1"/>
  </r>
  <r>
    <s v="TX500256"/>
    <s v="Sneakers"/>
    <n v="7"/>
    <n v="61.7"/>
    <n v="431.90000000000003"/>
    <d v="2025-01-11T00:00:00"/>
    <d v="2025-01-13T00:00:00"/>
    <s v="F"/>
    <x v="4"/>
    <n v="4"/>
    <s v="California"/>
    <s v="Los Angeles County"/>
    <n v="2"/>
    <n v="2"/>
    <x v="2"/>
  </r>
  <r>
    <s v="TX500257"/>
    <s v="Sundresses"/>
    <n v="3"/>
    <n v="45.1"/>
    <n v="135.30000000000001"/>
    <d v="2025-01-12T00:00:00"/>
    <d v="2025-01-13T00:00:00"/>
    <s v="M"/>
    <x v="4"/>
    <n v="3"/>
    <s v="California"/>
    <s v="Los Angeles County"/>
    <n v="1"/>
    <n v="3"/>
    <x v="1"/>
  </r>
  <r>
    <s v="TX500258"/>
    <s v="Crop Tops"/>
    <n v="5"/>
    <n v="22.7"/>
    <n v="113.5"/>
    <d v="2025-01-12T00:00:00"/>
    <d v="2025-01-17T00:00:00"/>
    <s v="M"/>
    <x v="0"/>
    <n v="5"/>
    <s v="California"/>
    <s v="Plumas County"/>
    <n v="5"/>
    <n v="3"/>
    <x v="1"/>
  </r>
  <r>
    <s v="TX500259"/>
    <s v="T-Shirts"/>
    <n v="1"/>
    <n v="17.600000000000001"/>
    <n v="17.600000000000001"/>
    <d v="2025-01-12T00:00:00"/>
    <d v="2025-01-13T00:00:00"/>
    <s v="F"/>
    <x v="0"/>
    <n v="5"/>
    <s v="California"/>
    <s v="Riverside County"/>
    <n v="1"/>
    <n v="3"/>
    <x v="2"/>
  </r>
  <r>
    <s v="TX500260"/>
    <s v="Baseball Caps"/>
    <n v="2"/>
    <n v="11.3"/>
    <n v="22.6"/>
    <d v="2025-01-12T00:00:00"/>
    <d v="2025-01-15T00:00:00"/>
    <s v="F"/>
    <x v="3"/>
    <n v="5"/>
    <s v="California"/>
    <s v="Riverside County"/>
    <n v="3"/>
    <n v="3"/>
    <x v="2"/>
  </r>
  <r>
    <s v="TX500261"/>
    <s v="Jeans"/>
    <n v="3"/>
    <n v="53.4"/>
    <n v="160.19999999999999"/>
    <d v="2025-01-12T00:00:00"/>
    <d v="2025-01-15T00:00:00"/>
    <s v="M"/>
    <x v="3"/>
    <n v="5"/>
    <s v="California"/>
    <s v="San Benito County"/>
    <n v="3"/>
    <n v="3"/>
    <x v="1"/>
  </r>
  <r>
    <s v="TX500262"/>
    <s v="Jeans"/>
    <n v="11"/>
    <n v="51.1"/>
    <n v="562.1"/>
    <d v="2025-01-12T00:00:00"/>
    <d v="2025-01-14T00:00:00"/>
    <s v="F"/>
    <x v="2"/>
    <n v="5"/>
    <s v="California"/>
    <s v="San Diego County"/>
    <n v="2"/>
    <n v="3"/>
    <x v="2"/>
  </r>
  <r>
    <s v="TX500263"/>
    <s v="T-Shirts"/>
    <n v="2"/>
    <n v="27.5"/>
    <n v="55"/>
    <d v="2025-01-12T00:00:00"/>
    <d v="2025-01-13T00:00:00"/>
    <s v="M"/>
    <x v="4"/>
    <n v="3"/>
    <s v="California"/>
    <s v="San Diego County"/>
    <n v="1"/>
    <n v="3"/>
    <x v="1"/>
  </r>
  <r>
    <s v="TX500264"/>
    <s v="Sundresses"/>
    <n v="1"/>
    <n v="33.5"/>
    <n v="33.5"/>
    <d v="2025-01-12T00:00:00"/>
    <d v="2025-01-14T00:00:00"/>
    <s v="F"/>
    <x v="0"/>
    <n v="2"/>
    <s v="California"/>
    <s v="San Diego County"/>
    <n v="2"/>
    <n v="3"/>
    <x v="2"/>
  </r>
  <r>
    <s v="TX500265"/>
    <s v="Graphic Tees"/>
    <n v="1"/>
    <n v="59.5"/>
    <n v="59.5"/>
    <d v="2025-01-12T00:00:00"/>
    <d v="2025-01-12T00:00:00"/>
    <s v="M"/>
    <x v="0"/>
    <n v="5"/>
    <s v="California"/>
    <s v="Sonoma County"/>
    <n v="0"/>
    <n v="3"/>
    <x v="1"/>
  </r>
  <r>
    <s v="TX500266"/>
    <s v="Pajama Sets"/>
    <n v="4"/>
    <n v="23.5"/>
    <n v="94"/>
    <d v="2025-01-12T00:00:00"/>
    <d v="2025-01-13T00:00:00"/>
    <s v="F"/>
    <x v="3"/>
    <n v="1"/>
    <s v="California"/>
    <s v="Stanislaus County"/>
    <n v="1"/>
    <n v="3"/>
    <x v="2"/>
  </r>
  <r>
    <s v="TX500267"/>
    <s v="Jeans"/>
    <n v="1"/>
    <n v="49.7"/>
    <n v="49.7"/>
    <d v="2025-01-12T00:00:00"/>
    <d v="2025-01-13T00:00:00"/>
    <s v=""/>
    <x v="1"/>
    <n v="5"/>
    <s v="California"/>
    <s v="Tulare County"/>
    <n v="1"/>
    <n v="3"/>
    <x v="0"/>
  </r>
  <r>
    <s v="TX500268"/>
    <s v="Jeans"/>
    <n v="4"/>
    <n v="44.2"/>
    <n v="176.8"/>
    <d v="2025-01-12T00:00:00"/>
    <d v="2025-01-15T00:00:00"/>
    <s v="F"/>
    <x v="0"/>
    <n v="5"/>
    <s v="California"/>
    <s v="Alameda County"/>
    <n v="3"/>
    <n v="3"/>
    <x v="2"/>
  </r>
  <r>
    <s v="TX500269"/>
    <s v="T-Shirts"/>
    <n v="1"/>
    <n v="22.1"/>
    <n v="22.1"/>
    <d v="2025-01-12T00:00:00"/>
    <d v="2025-01-16T00:00:00"/>
    <s v="F"/>
    <x v="1"/>
    <n v="3"/>
    <s v="California"/>
    <s v="Imperial County"/>
    <n v="4"/>
    <n v="3"/>
    <x v="2"/>
  </r>
  <r>
    <s v="TX500270"/>
    <s v="Jeans"/>
    <n v="3"/>
    <n v="90.9"/>
    <n v="272.70000000000005"/>
    <d v="2025-01-12T00:00:00"/>
    <d v="2025-01-13T00:00:00"/>
    <s v="F"/>
    <x v="2"/>
    <n v="2"/>
    <s v="California"/>
    <s v="Los Angeles County"/>
    <n v="1"/>
    <n v="3"/>
    <x v="2"/>
  </r>
  <r>
    <s v="TX500271"/>
    <s v="T-Shirts"/>
    <n v="3"/>
    <n v="44.5"/>
    <n v="133.5"/>
    <d v="2025-01-12T00:00:00"/>
    <d v="2025-01-13T00:00:00"/>
    <s v="F"/>
    <x v="1"/>
    <n v="4"/>
    <s v="California"/>
    <s v="Los Angeles County"/>
    <n v="1"/>
    <n v="3"/>
    <x v="2"/>
  </r>
  <r>
    <s v="TX500272"/>
    <s v="Sundresses"/>
    <n v="6"/>
    <n v="32.299999999999997"/>
    <n v="193.79999999999998"/>
    <d v="2025-01-12T00:00:00"/>
    <d v="2025-01-16T00:00:00"/>
    <s v="F"/>
    <x v="0"/>
    <n v="4"/>
    <s v="California"/>
    <s v="Los Angeles County"/>
    <n v="4"/>
    <n v="3"/>
    <x v="2"/>
  </r>
  <r>
    <s v="TX500273"/>
    <s v="Pajama Sets"/>
    <n v="3"/>
    <n v="87.5"/>
    <n v="262.5"/>
    <d v="2025-01-12T00:00:00"/>
    <d v="2025-01-13T00:00:00"/>
    <s v="F"/>
    <x v="1"/>
    <n v="3"/>
    <s v="California"/>
    <s v="Los Angeles County"/>
    <n v="1"/>
    <n v="3"/>
    <x v="2"/>
  </r>
  <r>
    <s v="TX500274"/>
    <s v="Sunglasses"/>
    <n v="5"/>
    <n v="48.7"/>
    <n v="243.5"/>
    <d v="2025-01-12T00:00:00"/>
    <d v="2025-01-13T00:00:00"/>
    <s v="M"/>
    <x v="2"/>
    <n v="4"/>
    <s v="California"/>
    <s v="Los Angeles County"/>
    <n v="1"/>
    <n v="3"/>
    <x v="1"/>
  </r>
  <r>
    <s v="TX500275"/>
    <s v="Shorts"/>
    <n v="5"/>
    <n v="22.5"/>
    <n v="112.5"/>
    <d v="2025-01-12T00:00:00"/>
    <d v="2025-01-13T00:00:00"/>
    <s v="M"/>
    <x v="0"/>
    <n v="4"/>
    <s v="California"/>
    <s v="Los Angeles County"/>
    <n v="1"/>
    <n v="3"/>
    <x v="1"/>
  </r>
  <r>
    <s v="TX500276"/>
    <s v="Tank Tops"/>
    <n v="8"/>
    <n v="65.900000000000006"/>
    <n v="527.20000000000005"/>
    <d v="2025-01-12T00:00:00"/>
    <d v="2025-01-15T00:00:00"/>
    <s v="F"/>
    <x v="1"/>
    <n v="5"/>
    <s v="California"/>
    <s v="Los Angeles County"/>
    <n v="3"/>
    <n v="3"/>
    <x v="2"/>
  </r>
  <r>
    <s v="TX500277"/>
    <s v="Jeans"/>
    <n v="5"/>
    <n v="41.9"/>
    <n v="209.5"/>
    <d v="2025-01-12T00:00:00"/>
    <d v="2025-01-19T00:00:00"/>
    <s v=""/>
    <x v="0"/>
    <n v="4"/>
    <s v="California"/>
    <s v="Los Angeles County"/>
    <n v="7"/>
    <n v="3"/>
    <x v="0"/>
  </r>
  <r>
    <s v="TX500278"/>
    <s v="Tank Tops"/>
    <n v="5"/>
    <n v="67.5"/>
    <n v="337.5"/>
    <d v="2025-01-12T00:00:00"/>
    <d v="2025-01-13T00:00:00"/>
    <s v="F"/>
    <x v="0"/>
    <n v="5"/>
    <s v="California"/>
    <s v="Los Angeles County"/>
    <n v="1"/>
    <n v="3"/>
    <x v="2"/>
  </r>
  <r>
    <s v="TX500279"/>
    <s v="Sundresses"/>
    <n v="1"/>
    <n v="60.4"/>
    <n v="60.4"/>
    <d v="2025-01-13T00:00:00"/>
    <d v="2025-01-15T00:00:00"/>
    <s v="F"/>
    <x v="1"/>
    <n v="3"/>
    <s v="California"/>
    <s v="Los Angeles County"/>
    <n v="2"/>
    <n v="3"/>
    <x v="2"/>
  </r>
  <r>
    <s v="TX500280"/>
    <s v="Tank Tops"/>
    <n v="7"/>
    <n v="30.4"/>
    <n v="212.79999999999998"/>
    <d v="2025-01-13T00:00:00"/>
    <d v="2025-01-16T00:00:00"/>
    <s v="F"/>
    <x v="4"/>
    <n v="4"/>
    <s v="California"/>
    <s v="Los Angeles County"/>
    <n v="3"/>
    <n v="3"/>
    <x v="2"/>
  </r>
  <r>
    <s v="TX500281"/>
    <s v="Baseball Caps"/>
    <n v="2"/>
    <n v="24.5"/>
    <n v="49"/>
    <d v="2025-01-13T00:00:00"/>
    <d v="2025-01-14T00:00:00"/>
    <s v="M"/>
    <x v="3"/>
    <n v="5"/>
    <s v="California"/>
    <s v="Los Angeles County"/>
    <n v="1"/>
    <n v="3"/>
    <x v="1"/>
  </r>
  <r>
    <s v="TX500282"/>
    <s v="Sneakers"/>
    <n v="3"/>
    <n v="105.9"/>
    <n v="317.70000000000005"/>
    <d v="2025-01-13T00:00:00"/>
    <d v="2025-01-18T00:00:00"/>
    <s v="M"/>
    <x v="0"/>
    <n v="4"/>
    <s v="California"/>
    <s v="Madera County"/>
    <n v="5"/>
    <n v="3"/>
    <x v="1"/>
  </r>
  <r>
    <s v="TX500283"/>
    <s v="Bikinis"/>
    <n v="24"/>
    <n v="25.9"/>
    <n v="621.59999999999991"/>
    <d v="2025-01-13T00:00:00"/>
    <d v="2025-01-14T00:00:00"/>
    <s v="F"/>
    <x v="4"/>
    <n v="4"/>
    <s v="California"/>
    <s v="Riverside County"/>
    <n v="1"/>
    <n v="3"/>
    <x v="2"/>
  </r>
  <r>
    <s v="TX500284"/>
    <s v="Jeans"/>
    <n v="3"/>
    <n v="66.8"/>
    <n v="200.39999999999998"/>
    <d v="2025-01-13T00:00:00"/>
    <d v="2025-01-13T00:00:00"/>
    <s v="M"/>
    <x v="0"/>
    <n v="4"/>
    <s v="California"/>
    <s v="Riverside County"/>
    <n v="0"/>
    <n v="3"/>
    <x v="1"/>
  </r>
  <r>
    <s v="TX500285"/>
    <s v="Jeans"/>
    <n v="3"/>
    <n v="112.3"/>
    <n v="336.9"/>
    <d v="2025-01-13T00:00:00"/>
    <d v="2025-01-14T00:00:00"/>
    <s v="M"/>
    <x v="2"/>
    <n v="2"/>
    <s v="California"/>
    <s v="Sacramento County"/>
    <n v="1"/>
    <n v="3"/>
    <x v="1"/>
  </r>
  <r>
    <s v="TX500286"/>
    <s v="Tank Tops"/>
    <n v="6"/>
    <n v="94.1"/>
    <n v="564.59999999999991"/>
    <d v="2025-01-13T00:00:00"/>
    <d v="2025-01-14T00:00:00"/>
    <s v="F"/>
    <x v="0"/>
    <n v="2"/>
    <s v="California"/>
    <s v="Sacramento County"/>
    <n v="1"/>
    <n v="3"/>
    <x v="2"/>
  </r>
  <r>
    <s v="TX500287"/>
    <s v="Sandals"/>
    <n v="1"/>
    <n v="40.700000000000003"/>
    <n v="40.700000000000003"/>
    <d v="2025-01-13T00:00:00"/>
    <d v="2025-01-16T00:00:00"/>
    <s v="F"/>
    <x v="2"/>
    <n v="4"/>
    <s v="California"/>
    <s v="Sacramento County"/>
    <n v="3"/>
    <n v="3"/>
    <x v="2"/>
  </r>
  <r>
    <s v="TX500288"/>
    <s v="Workout Tops"/>
    <n v="2"/>
    <n v="71.400000000000006"/>
    <n v="142.80000000000001"/>
    <d v="2025-01-13T00:00:00"/>
    <d v="2025-01-14T00:00:00"/>
    <s v="M"/>
    <x v="0"/>
    <n v="4"/>
    <s v="California"/>
    <s v="San Bernardino County"/>
    <n v="1"/>
    <n v="3"/>
    <x v="1"/>
  </r>
  <r>
    <s v="TX500289"/>
    <s v="Shorts"/>
    <n v="18"/>
    <n v="15.6"/>
    <n v="280.8"/>
    <d v="2025-01-13T00:00:00"/>
    <d v="2025-01-14T00:00:00"/>
    <s v="M"/>
    <x v="1"/>
    <n v="1"/>
    <s v="California"/>
    <s v="San Diego County"/>
    <n v="1"/>
    <n v="3"/>
    <x v="1"/>
  </r>
  <r>
    <s v="TX500290"/>
    <s v="Bikinis"/>
    <n v="4"/>
    <n v="37.799999999999997"/>
    <n v="151.19999999999999"/>
    <d v="2025-01-13T00:00:00"/>
    <d v="2025-01-14T00:00:00"/>
    <s v="M"/>
    <x v="2"/>
    <n v="5"/>
    <s v="California"/>
    <s v="San Diego County"/>
    <n v="1"/>
    <n v="3"/>
    <x v="1"/>
  </r>
  <r>
    <s v="TX500291"/>
    <s v="Graphic Tees"/>
    <n v="3"/>
    <n v="28.1"/>
    <n v="84.300000000000011"/>
    <d v="2025-01-13T00:00:00"/>
    <d v="2025-01-17T00:00:00"/>
    <s v="M"/>
    <x v="0"/>
    <n v="4"/>
    <s v="California"/>
    <s v="San Diego County"/>
    <n v="4"/>
    <n v="3"/>
    <x v="1"/>
  </r>
  <r>
    <s v="TX500292"/>
    <s v="Hoodies &amp; Sweatshirts"/>
    <n v="6"/>
    <n v="51.4"/>
    <n v="308.39999999999998"/>
    <d v="2025-01-13T00:00:00"/>
    <d v="2025-01-17T00:00:00"/>
    <s v="M"/>
    <x v="0"/>
    <n v="4"/>
    <s v="California"/>
    <s v="San Diego County"/>
    <n v="4"/>
    <n v="3"/>
    <x v="1"/>
  </r>
  <r>
    <s v="TX500293"/>
    <s v="Hoodies &amp; Sweatshirts"/>
    <n v="2"/>
    <n v="97.7"/>
    <n v="195.4"/>
    <d v="2025-01-13T00:00:00"/>
    <d v="2025-01-15T00:00:00"/>
    <s v="F"/>
    <x v="4"/>
    <n v="5"/>
    <s v="California"/>
    <s v="San Francisco"/>
    <n v="2"/>
    <n v="3"/>
    <x v="2"/>
  </r>
  <r>
    <s v="TX500294"/>
    <s v="Tank Tops"/>
    <n v="4"/>
    <n v="63.8"/>
    <n v="255.2"/>
    <d v="2025-01-13T00:00:00"/>
    <d v="2025-01-14T00:00:00"/>
    <s v="M"/>
    <x v="2"/>
    <n v="4"/>
    <s v="California"/>
    <s v="Solano County"/>
    <n v="1"/>
    <n v="3"/>
    <x v="1"/>
  </r>
  <r>
    <s v="TX500295"/>
    <s v="Tote Bags"/>
    <n v="2"/>
    <n v="20.100000000000001"/>
    <n v="40.200000000000003"/>
    <d v="2025-01-13T00:00:00"/>
    <d v="2025-01-15T00:00:00"/>
    <s v="M"/>
    <x v="0"/>
    <n v="5"/>
    <s v="California"/>
    <s v="Tulare County"/>
    <n v="2"/>
    <n v="3"/>
    <x v="1"/>
  </r>
  <r>
    <s v="TX500296"/>
    <s v="Maxi Dresses"/>
    <n v="3"/>
    <n v="50.4"/>
    <n v="151.19999999999999"/>
    <d v="2025-01-13T00:00:00"/>
    <d v="2025-01-16T00:00:00"/>
    <s v="F"/>
    <x v="3"/>
    <n v="4"/>
    <s v="California"/>
    <s v="Ventura County"/>
    <n v="3"/>
    <n v="3"/>
    <x v="2"/>
  </r>
  <r>
    <s v="TX500297"/>
    <s v="Shorts"/>
    <n v="1"/>
    <n v="16.2"/>
    <n v="16.2"/>
    <d v="2025-01-13T00:00:00"/>
    <d v="2025-01-26T00:00:00"/>
    <s v="F"/>
    <x v="1"/>
    <n v="4"/>
    <s v="California"/>
    <s v="Contra Costa County"/>
    <n v="13"/>
    <n v="3"/>
    <x v="2"/>
  </r>
  <r>
    <s v="TX500298"/>
    <s v="Jeans"/>
    <n v="7"/>
    <n v="80.900000000000006"/>
    <n v="566.30000000000007"/>
    <d v="2025-01-13T00:00:00"/>
    <d v="2025-01-15T00:00:00"/>
    <s v="M"/>
    <x v="4"/>
    <n v="2"/>
    <s v="California"/>
    <s v="Fresno County"/>
    <n v="2"/>
    <n v="3"/>
    <x v="1"/>
  </r>
  <r>
    <s v="TX500299"/>
    <s v="Sundresses"/>
    <n v="6"/>
    <n v="95.2"/>
    <n v="571.20000000000005"/>
    <d v="2025-01-13T00:00:00"/>
    <d v="2025-01-15T00:00:00"/>
    <s v="F"/>
    <x v="0"/>
    <n v="5"/>
    <s v="California"/>
    <s v="Fresno County"/>
    <n v="2"/>
    <n v="3"/>
    <x v="2"/>
  </r>
  <r>
    <s v="TX500300"/>
    <s v="Sandals"/>
    <n v="8"/>
    <n v="70.400000000000006"/>
    <n v="563.20000000000005"/>
    <d v="2025-01-13T00:00:00"/>
    <d v="2025-01-14T00:00:00"/>
    <s v="M"/>
    <x v="1"/>
    <n v="3"/>
    <s v="California"/>
    <s v="Los Angeles County"/>
    <n v="1"/>
    <n v="3"/>
    <x v="1"/>
  </r>
  <r>
    <s v="TX500301"/>
    <s v="Shorts"/>
    <n v="5"/>
    <n v="10.7"/>
    <n v="53.5"/>
    <d v="2025-01-13T00:00:00"/>
    <d v="2025-01-17T00:00:00"/>
    <s v="F"/>
    <x v="2"/>
    <n v="4"/>
    <s v="California"/>
    <s v="Los Angeles County"/>
    <n v="4"/>
    <n v="3"/>
    <x v="2"/>
  </r>
  <r>
    <s v="TX500302"/>
    <s v="T-Shirts"/>
    <n v="5"/>
    <n v="19.600000000000001"/>
    <n v="98"/>
    <d v="2025-01-13T00:00:00"/>
    <d v="2025-01-15T00:00:00"/>
    <s v="F"/>
    <x v="0"/>
    <n v="1"/>
    <s v="California"/>
    <s v="Los Angeles County"/>
    <n v="2"/>
    <n v="3"/>
    <x v="2"/>
  </r>
  <r>
    <s v="TX500303"/>
    <s v="T-Shirts"/>
    <n v="11"/>
    <n v="34.700000000000003"/>
    <n v="381.70000000000005"/>
    <d v="2025-01-13T00:00:00"/>
    <d v="2025-01-15T00:00:00"/>
    <s v="F"/>
    <x v="0"/>
    <n v="5"/>
    <s v="California"/>
    <s v="Los Angeles County"/>
    <n v="2"/>
    <n v="3"/>
    <x v="2"/>
  </r>
  <r>
    <s v="TX500304"/>
    <s v="Bikinis"/>
    <n v="9"/>
    <n v="34.1"/>
    <n v="306.90000000000003"/>
    <d v="2025-01-13T00:00:00"/>
    <d v="2025-01-14T00:00:00"/>
    <s v="F"/>
    <x v="4"/>
    <n v="3"/>
    <s v="California"/>
    <s v="Los Angeles County"/>
    <n v="1"/>
    <n v="3"/>
    <x v="2"/>
  </r>
  <r>
    <s v="TX500305"/>
    <s v="Shorts"/>
    <n v="49"/>
    <n v="29.3"/>
    <n v="1435.7"/>
    <d v="2025-01-13T00:00:00"/>
    <d v="2025-01-13T00:00:00"/>
    <s v="M"/>
    <x v="0"/>
    <n v="3"/>
    <s v="California"/>
    <s v="Los Angeles County"/>
    <n v="0"/>
    <n v="3"/>
    <x v="1"/>
  </r>
  <r>
    <s v="TX500306"/>
    <s v="Tank Tops"/>
    <n v="1"/>
    <n v="55.2"/>
    <n v="55.2"/>
    <d v="2025-01-13T00:00:00"/>
    <d v="2025-01-14T00:00:00"/>
    <s v="F"/>
    <x v="0"/>
    <n v="3"/>
    <s v="California"/>
    <s v="Los Angeles County"/>
    <n v="1"/>
    <n v="3"/>
    <x v="2"/>
  </r>
  <r>
    <s v="TX500307"/>
    <s v="Leggings"/>
    <n v="3"/>
    <n v="26"/>
    <n v="78"/>
    <d v="2025-01-13T00:00:00"/>
    <d v="2025-01-16T00:00:00"/>
    <s v="F"/>
    <x v="0"/>
    <n v="5"/>
    <s v="California"/>
    <s v="Los Angeles County"/>
    <n v="3"/>
    <n v="3"/>
    <x v="2"/>
  </r>
  <r>
    <s v="TX500308"/>
    <s v="Baseball Caps"/>
    <n v="2"/>
    <n v="14.2"/>
    <n v="28.4"/>
    <d v="2025-01-13T00:00:00"/>
    <d v="2025-01-18T00:00:00"/>
    <s v="F"/>
    <x v="3"/>
    <n v="4"/>
    <s v="California"/>
    <s v="Modoc County"/>
    <n v="5"/>
    <n v="3"/>
    <x v="2"/>
  </r>
  <r>
    <s v="TX500309"/>
    <s v="T-Shirts"/>
    <n v="9"/>
    <n v="22.7"/>
    <n v="204.29999999999998"/>
    <d v="2025-01-14T00:00:00"/>
    <d v="2025-01-15T00:00:00"/>
    <s v="M"/>
    <x v="1"/>
    <n v="4"/>
    <s v="California"/>
    <s v="Sacramento County"/>
    <n v="1"/>
    <n v="3"/>
    <x v="1"/>
  </r>
  <r>
    <s v="TX500310"/>
    <s v="Shorts"/>
    <n v="15"/>
    <n v="19.8"/>
    <n v="297"/>
    <d v="2025-01-14T00:00:00"/>
    <d v="2025-01-14T00:00:00"/>
    <s v="F"/>
    <x v="0"/>
    <n v="5"/>
    <s v="California"/>
    <s v="Sacramento County"/>
    <n v="0"/>
    <n v="3"/>
    <x v="2"/>
  </r>
  <r>
    <s v="TX500311"/>
    <s v="Shorts"/>
    <n v="3"/>
    <n v="31.7"/>
    <n v="95.1"/>
    <d v="2025-01-14T00:00:00"/>
    <d v="2025-01-15T00:00:00"/>
    <s v="M"/>
    <x v="2"/>
    <n v="4"/>
    <s v="California"/>
    <s v="Sacramento County"/>
    <n v="1"/>
    <n v="3"/>
    <x v="1"/>
  </r>
  <r>
    <s v="TX500312"/>
    <s v="T-Shirts"/>
    <n v="4"/>
    <n v="30.4"/>
    <n v="121.6"/>
    <d v="2025-01-14T00:00:00"/>
    <d v="2025-01-18T00:00:00"/>
    <s v="M"/>
    <x v="0"/>
    <n v="4"/>
    <s v="California"/>
    <s v="Sacramento County"/>
    <n v="4"/>
    <n v="3"/>
    <x v="1"/>
  </r>
  <r>
    <s v="TX500313"/>
    <s v="Shorts"/>
    <n v="4"/>
    <n v="25.6"/>
    <n v="102.4"/>
    <d v="2025-01-14T00:00:00"/>
    <d v="2025-01-15T00:00:00"/>
    <s v="M"/>
    <x v="3"/>
    <n v="4"/>
    <s v="California"/>
    <s v="San Diego County"/>
    <n v="1"/>
    <n v="3"/>
    <x v="1"/>
  </r>
  <r>
    <s v="TX500314"/>
    <s v="Sandals"/>
    <n v="2"/>
    <n v="34.9"/>
    <n v="69.8"/>
    <d v="2025-01-14T00:00:00"/>
    <d v="2025-01-15T00:00:00"/>
    <s v="F"/>
    <x v="2"/>
    <n v="4"/>
    <s v="California"/>
    <s v="San Mateo County"/>
    <n v="1"/>
    <n v="3"/>
    <x v="2"/>
  </r>
  <r>
    <s v="TX500315"/>
    <s v="Hoodies &amp; Sweatshirts"/>
    <n v="6"/>
    <n v="42.7"/>
    <n v="256.20000000000005"/>
    <d v="2025-01-14T00:00:00"/>
    <d v="2025-01-17T00:00:00"/>
    <s v="M"/>
    <x v="2"/>
    <n v="3"/>
    <s v="California"/>
    <s v="Santa Clara County"/>
    <n v="3"/>
    <n v="3"/>
    <x v="1"/>
  </r>
  <r>
    <s v="TX500316"/>
    <s v="T-Shirts"/>
    <n v="1"/>
    <n v="23.9"/>
    <n v="23.9"/>
    <d v="2025-01-14T00:00:00"/>
    <d v="2025-01-16T00:00:00"/>
    <s v="F"/>
    <x v="3"/>
    <n v="4"/>
    <s v="California"/>
    <s v="Santa Clara County"/>
    <n v="2"/>
    <n v="3"/>
    <x v="2"/>
  </r>
  <r>
    <s v="TX500317"/>
    <s v="Jeans"/>
    <n v="1"/>
    <n v="124.3"/>
    <n v="124.3"/>
    <d v="2025-01-14T00:00:00"/>
    <d v="2025-01-15T00:00:00"/>
    <s v=""/>
    <x v="2"/>
    <n v="3"/>
    <s v="California"/>
    <s v="Alameda County"/>
    <n v="1"/>
    <n v="3"/>
    <x v="0"/>
  </r>
  <r>
    <s v="TX500318"/>
    <s v="T-Shirts"/>
    <n v="6"/>
    <n v="35.9"/>
    <n v="215.39999999999998"/>
    <d v="2025-01-14T00:00:00"/>
    <d v="2025-01-15T00:00:00"/>
    <s v="F"/>
    <x v="0"/>
    <n v="3"/>
    <s v="California"/>
    <s v="Contra Costa County"/>
    <n v="1"/>
    <n v="3"/>
    <x v="2"/>
  </r>
  <r>
    <s v="TX500319"/>
    <s v="Sneakers"/>
    <n v="2"/>
    <n v="69.099999999999994"/>
    <n v="138.19999999999999"/>
    <d v="2025-01-14T00:00:00"/>
    <d v="2025-01-17T00:00:00"/>
    <s v="F"/>
    <x v="0"/>
    <n v="5"/>
    <s v="California"/>
    <s v="Kern County"/>
    <n v="3"/>
    <n v="3"/>
    <x v="2"/>
  </r>
  <r>
    <s v="TX500320"/>
    <s v="Hoodies &amp; Sweatshirts"/>
    <n v="1"/>
    <n v="58.4"/>
    <n v="58.4"/>
    <d v="2025-01-14T00:00:00"/>
    <d v="2025-01-18T00:00:00"/>
    <s v="M"/>
    <x v="0"/>
    <n v="4"/>
    <s v="California"/>
    <s v="Kern County"/>
    <n v="4"/>
    <n v="3"/>
    <x v="1"/>
  </r>
  <r>
    <s v="TX500321"/>
    <s v="Sandals"/>
    <n v="1"/>
    <n v="65.2"/>
    <n v="65.2"/>
    <d v="2025-01-14T00:00:00"/>
    <d v="2025-01-16T00:00:00"/>
    <s v="O"/>
    <x v="4"/>
    <n v="2"/>
    <s v="California"/>
    <s v="Los Angeles County"/>
    <n v="2"/>
    <n v="3"/>
    <x v="3"/>
  </r>
  <r>
    <s v="TX500322"/>
    <s v="T-Shirts"/>
    <n v="17"/>
    <n v="32.700000000000003"/>
    <n v="555.90000000000009"/>
    <d v="2025-01-14T00:00:00"/>
    <d v="2025-01-21T00:00:00"/>
    <s v=""/>
    <x v="4"/>
    <n v="4"/>
    <s v="California"/>
    <s v="Los Angeles County"/>
    <n v="7"/>
    <n v="3"/>
    <x v="0"/>
  </r>
  <r>
    <s v="TX500323"/>
    <s v="Bikinis"/>
    <n v="7"/>
    <n v="24.4"/>
    <n v="170.79999999999998"/>
    <d v="2025-01-14T00:00:00"/>
    <d v="2025-01-15T00:00:00"/>
    <s v="F"/>
    <x v="0"/>
    <n v="4"/>
    <s v="California"/>
    <s v="Los Angeles County"/>
    <n v="1"/>
    <n v="3"/>
    <x v="2"/>
  </r>
  <r>
    <s v="TX500324"/>
    <s v="Baseball Caps"/>
    <n v="2"/>
    <n v="50.4"/>
    <n v="100.8"/>
    <d v="2025-01-14T00:00:00"/>
    <d v="2025-01-20T00:00:00"/>
    <s v="M"/>
    <x v="0"/>
    <n v="3"/>
    <s v="California"/>
    <s v="Los Angeles County"/>
    <n v="6"/>
    <n v="3"/>
    <x v="1"/>
  </r>
  <r>
    <s v="TX500325"/>
    <s v="Tank Tops"/>
    <n v="2"/>
    <n v="100"/>
    <n v="200"/>
    <d v="2025-01-14T00:00:00"/>
    <d v="2025-01-15T00:00:00"/>
    <s v="F"/>
    <x v="0"/>
    <n v="4"/>
    <s v="California"/>
    <s v="Los Angeles County"/>
    <n v="1"/>
    <n v="3"/>
    <x v="2"/>
  </r>
  <r>
    <s v="TX500326"/>
    <s v="Bikinis"/>
    <n v="3"/>
    <n v="43"/>
    <n v="129"/>
    <d v="2025-01-15T00:00:00"/>
    <d v="2025-01-15T00:00:00"/>
    <s v="F"/>
    <x v="2"/>
    <n v="3"/>
    <s v="California"/>
    <s v="Los Angeles County"/>
    <n v="0"/>
    <n v="3"/>
    <x v="2"/>
  </r>
  <r>
    <s v="TX500327"/>
    <s v="Tank Tops"/>
    <n v="5"/>
    <n v="64.400000000000006"/>
    <n v="322"/>
    <d v="2025-01-15T00:00:00"/>
    <d v="2025-01-17T00:00:00"/>
    <s v="M"/>
    <x v="2"/>
    <n v="3"/>
    <s v="California"/>
    <s v="Los Angeles County"/>
    <n v="2"/>
    <n v="3"/>
    <x v="1"/>
  </r>
  <r>
    <s v="TX500328"/>
    <s v="Leggings"/>
    <n v="2"/>
    <n v="57.4"/>
    <n v="114.8"/>
    <d v="2025-01-15T00:00:00"/>
    <d v="2025-01-16T00:00:00"/>
    <s v="M"/>
    <x v="2"/>
    <n v="3"/>
    <s v="California"/>
    <s v="Los Angeles County"/>
    <n v="1"/>
    <n v="3"/>
    <x v="1"/>
  </r>
  <r>
    <s v="TX500329"/>
    <s v="Sneakers"/>
    <n v="3"/>
    <n v="55.1"/>
    <n v="165.3"/>
    <d v="2025-01-15T00:00:00"/>
    <d v="2025-01-18T00:00:00"/>
    <s v="F"/>
    <x v="1"/>
    <n v="4"/>
    <s v="California"/>
    <s v="Los Angeles County"/>
    <n v="3"/>
    <n v="3"/>
    <x v="2"/>
  </r>
  <r>
    <s v="TX500330"/>
    <s v="Hoodies &amp; Sweatshirts"/>
    <n v="4"/>
    <n v="45.4"/>
    <n v="181.6"/>
    <d v="2025-01-15T00:00:00"/>
    <d v="2025-01-16T00:00:00"/>
    <s v="F"/>
    <x v="1"/>
    <n v="4"/>
    <s v="California"/>
    <s v="Los Angeles County"/>
    <n v="1"/>
    <n v="3"/>
    <x v="2"/>
  </r>
  <r>
    <s v="TX500331"/>
    <s v="Workout Tops"/>
    <n v="3"/>
    <n v="93.3"/>
    <n v="279.89999999999998"/>
    <d v="2025-01-15T00:00:00"/>
    <d v="2025-01-16T00:00:00"/>
    <s v="F"/>
    <x v="0"/>
    <n v="4"/>
    <s v="California"/>
    <s v="Mariposa County"/>
    <n v="1"/>
    <n v="3"/>
    <x v="2"/>
  </r>
  <r>
    <s v="TX500332"/>
    <s v="Sneakers"/>
    <n v="19"/>
    <n v="158.19999999999999"/>
    <n v="3005.7999999999997"/>
    <d v="2025-01-15T00:00:00"/>
    <d v="2025-01-16T00:00:00"/>
    <s v="F"/>
    <x v="1"/>
    <n v="5"/>
    <s v="California"/>
    <s v="Napa County"/>
    <n v="1"/>
    <n v="3"/>
    <x v="2"/>
  </r>
  <r>
    <s v="TX500333"/>
    <s v="Sneakers"/>
    <n v="2"/>
    <n v="74.900000000000006"/>
    <n v="149.80000000000001"/>
    <d v="2025-01-15T00:00:00"/>
    <d v="2025-01-17T00:00:00"/>
    <s v="M"/>
    <x v="3"/>
    <n v="4"/>
    <s v="California"/>
    <s v="Sacramento County"/>
    <n v="2"/>
    <n v="3"/>
    <x v="1"/>
  </r>
  <r>
    <s v="TX500334"/>
    <s v="T-Shirts"/>
    <n v="7"/>
    <n v="26"/>
    <n v="182"/>
    <d v="2025-01-15T00:00:00"/>
    <d v="2025-01-18T00:00:00"/>
    <s v="F"/>
    <x v="1"/>
    <n v="4"/>
    <s v="California"/>
    <s v="San Diego County"/>
    <n v="3"/>
    <n v="3"/>
    <x v="2"/>
  </r>
  <r>
    <s v="TX500335"/>
    <s v="Sundresses"/>
    <n v="6"/>
    <n v="37.5"/>
    <n v="225"/>
    <d v="2025-01-15T00:00:00"/>
    <d v="2025-01-16T00:00:00"/>
    <s v="F"/>
    <x v="0"/>
    <n v="3"/>
    <s v="California"/>
    <s v="San Diego County"/>
    <n v="1"/>
    <n v="3"/>
    <x v="2"/>
  </r>
  <r>
    <s v="TX500336"/>
    <s v="Jeans"/>
    <n v="2"/>
    <n v="75.8"/>
    <n v="151.6"/>
    <d v="2025-01-15T00:00:00"/>
    <d v="2025-01-21T00:00:00"/>
    <s v="M"/>
    <x v="0"/>
    <n v="4"/>
    <s v="California"/>
    <s v="San Diego County"/>
    <n v="6"/>
    <n v="3"/>
    <x v="1"/>
  </r>
  <r>
    <s v="TX500337"/>
    <s v="Hoodies &amp; Sweatshirts"/>
    <n v="1"/>
    <n v="48.5"/>
    <n v="48.5"/>
    <d v="2025-01-15T00:00:00"/>
    <d v="2025-01-27T00:00:00"/>
    <s v=""/>
    <x v="4"/>
    <n v="5"/>
    <s v="California"/>
    <s v="San Diego County"/>
    <n v="12"/>
    <n v="3"/>
    <x v="0"/>
  </r>
  <r>
    <s v="TX500338"/>
    <s v="Jeans"/>
    <n v="3"/>
    <n v="98.9"/>
    <n v="296.70000000000005"/>
    <d v="2025-01-15T00:00:00"/>
    <d v="2025-01-17T00:00:00"/>
    <s v="F"/>
    <x v="4"/>
    <n v="3"/>
    <s v="California"/>
    <s v="San Diego County"/>
    <n v="2"/>
    <n v="3"/>
    <x v="2"/>
  </r>
  <r>
    <s v="TX500339"/>
    <s v="Tank Tops"/>
    <n v="12"/>
    <n v="50.9"/>
    <n v="610.79999999999995"/>
    <d v="2025-01-15T00:00:00"/>
    <d v="2025-01-15T00:00:00"/>
    <s v="M"/>
    <x v="4"/>
    <n v="4"/>
    <s v="California"/>
    <s v="San Diego County"/>
    <n v="0"/>
    <n v="3"/>
    <x v="1"/>
  </r>
  <r>
    <s v="TX500340"/>
    <s v="Casual Dresses"/>
    <n v="6"/>
    <n v="84.7"/>
    <n v="508.20000000000005"/>
    <d v="2025-01-15T00:00:00"/>
    <d v="2025-01-15T00:00:00"/>
    <s v="F"/>
    <x v="2"/>
    <n v="4"/>
    <s v="California"/>
    <s v="San Diego County"/>
    <n v="0"/>
    <n v="3"/>
    <x v="2"/>
  </r>
  <r>
    <s v="TX500341"/>
    <s v="T-Shirts"/>
    <n v="1"/>
    <n v="20.7"/>
    <n v="20.7"/>
    <d v="2025-01-15T00:00:00"/>
    <d v="2025-01-17T00:00:00"/>
    <s v="F"/>
    <x v="3"/>
    <n v="5"/>
    <s v="California"/>
    <s v="San Diego County"/>
    <n v="2"/>
    <n v="3"/>
    <x v="2"/>
  </r>
  <r>
    <s v="TX500342"/>
    <s v="Casual Dresses"/>
    <n v="9"/>
    <n v="57.8"/>
    <n v="520.19999999999993"/>
    <d v="2025-01-15T00:00:00"/>
    <d v="2025-01-26T00:00:00"/>
    <s v="M"/>
    <x v="0"/>
    <n v="2"/>
    <s v="California"/>
    <s v="San Francisco"/>
    <n v="11"/>
    <n v="3"/>
    <x v="1"/>
  </r>
  <r>
    <s v="TX500343"/>
    <s v="Sneakers"/>
    <n v="2"/>
    <n v="106.9"/>
    <n v="213.8"/>
    <d v="2025-01-15T00:00:00"/>
    <d v="2025-01-17T00:00:00"/>
    <s v="F"/>
    <x v="0"/>
    <n v="5"/>
    <s v="California"/>
    <s v="San Luis Obispo County"/>
    <n v="2"/>
    <n v="3"/>
    <x v="2"/>
  </r>
  <r>
    <s v="TX500344"/>
    <s v="Workout Tops"/>
    <n v="5"/>
    <n v="45.2"/>
    <n v="226"/>
    <d v="2025-01-15T00:00:00"/>
    <d v="2025-01-19T00:00:00"/>
    <s v="F"/>
    <x v="1"/>
    <n v="4"/>
    <s v="California"/>
    <s v="Alameda County"/>
    <n v="4"/>
    <n v="3"/>
    <x v="2"/>
  </r>
  <r>
    <s v="TX500345"/>
    <s v="T-Shirts"/>
    <n v="13"/>
    <n v="34.6"/>
    <n v="449.8"/>
    <d v="2025-01-15T00:00:00"/>
    <d v="2025-01-15T00:00:00"/>
    <s v="F"/>
    <x v="1"/>
    <n v="3"/>
    <s v="California"/>
    <s v="Alameda County"/>
    <n v="0"/>
    <n v="3"/>
    <x v="2"/>
  </r>
  <r>
    <s v="TX500346"/>
    <s v="Crop Tops"/>
    <n v="1"/>
    <n v="43.8"/>
    <n v="43.8"/>
    <d v="2025-01-15T00:00:00"/>
    <d v="2025-01-17T00:00:00"/>
    <s v=""/>
    <x v="0"/>
    <n v="5"/>
    <s v="California"/>
    <s v="Alameda County"/>
    <n v="2"/>
    <n v="3"/>
    <x v="0"/>
  </r>
  <r>
    <s v="TX500347"/>
    <s v="Crop Tops"/>
    <n v="1"/>
    <n v="20.399999999999999"/>
    <n v="20.399999999999999"/>
    <d v="2025-01-15T00:00:00"/>
    <d v="2025-01-17T00:00:00"/>
    <s v="M"/>
    <x v="4"/>
    <n v="3"/>
    <s v="California"/>
    <s v="Alameda County"/>
    <n v="2"/>
    <n v="3"/>
    <x v="1"/>
  </r>
  <r>
    <s v="TX500348"/>
    <s v="Tank Tops"/>
    <n v="1"/>
    <n v="36.700000000000003"/>
    <n v="36.700000000000003"/>
    <d v="2025-01-15T00:00:00"/>
    <d v="2025-01-16T00:00:00"/>
    <s v="M"/>
    <x v="0"/>
    <n v="3"/>
    <s v="California"/>
    <s v="Contra Costa County"/>
    <n v="1"/>
    <n v="3"/>
    <x v="1"/>
  </r>
  <r>
    <s v="TX500349"/>
    <s v="T-Shirts"/>
    <n v="3"/>
    <n v="27.2"/>
    <n v="81.599999999999994"/>
    <d v="2025-01-15T00:00:00"/>
    <d v="2025-01-19T00:00:00"/>
    <s v="M"/>
    <x v="0"/>
    <n v="5"/>
    <s v="California"/>
    <s v="Contra Costa County"/>
    <n v="4"/>
    <n v="3"/>
    <x v="1"/>
  </r>
  <r>
    <s v="TX500350"/>
    <s v="Jeans"/>
    <n v="1"/>
    <n v="58.2"/>
    <n v="58.2"/>
    <d v="2025-01-15T00:00:00"/>
    <d v="2025-01-16T00:00:00"/>
    <s v="F"/>
    <x v="0"/>
    <n v="5"/>
    <s v="California"/>
    <s v="El Dorado County"/>
    <n v="1"/>
    <n v="3"/>
    <x v="2"/>
  </r>
  <r>
    <s v="TX500351"/>
    <s v="T-Shirts"/>
    <n v="3"/>
    <n v="25.6"/>
    <n v="76.800000000000011"/>
    <d v="2025-01-15T00:00:00"/>
    <d v="2025-01-16T00:00:00"/>
    <s v="M"/>
    <x v="4"/>
    <n v="2"/>
    <s v="California"/>
    <s v="Fresno County"/>
    <n v="1"/>
    <n v="3"/>
    <x v="1"/>
  </r>
  <r>
    <s v="TX500352"/>
    <s v="Bikinis"/>
    <n v="1"/>
    <n v="21.2"/>
    <n v="21.2"/>
    <d v="2025-01-15T00:00:00"/>
    <d v="2025-01-15T00:00:00"/>
    <s v="F"/>
    <x v="1"/>
    <n v="5"/>
    <s v="California"/>
    <s v="Los Angeles County"/>
    <n v="0"/>
    <n v="3"/>
    <x v="2"/>
  </r>
  <r>
    <s v="TX500353"/>
    <s v="Jeans"/>
    <n v="2"/>
    <n v="48.2"/>
    <n v="96.4"/>
    <d v="2025-01-15T00:00:00"/>
    <d v="2025-01-23T00:00:00"/>
    <s v="F"/>
    <x v="0"/>
    <n v="5"/>
    <s v="California"/>
    <s v="Los Angeles County"/>
    <n v="8"/>
    <n v="3"/>
    <x v="2"/>
  </r>
  <r>
    <s v="TX500354"/>
    <s v="Tank Tops"/>
    <n v="4"/>
    <n v="83.4"/>
    <n v="333.6"/>
    <d v="2025-01-16T00:00:00"/>
    <d v="2025-01-17T00:00:00"/>
    <s v="M"/>
    <x v="0"/>
    <n v="4"/>
    <s v="California"/>
    <s v="Los Angeles County"/>
    <n v="1"/>
    <n v="3"/>
    <x v="1"/>
  </r>
  <r>
    <s v="TX500355"/>
    <s v="Sundresses"/>
    <n v="3"/>
    <n v="45.3"/>
    <n v="135.89999999999998"/>
    <d v="2025-01-16T00:00:00"/>
    <d v="2025-01-22T00:00:00"/>
    <s v="M"/>
    <x v="2"/>
    <n v="3"/>
    <s v="California"/>
    <s v="Los Angeles County"/>
    <n v="6"/>
    <n v="3"/>
    <x v="1"/>
  </r>
  <r>
    <s v="TX500356"/>
    <s v="Pajama Sets"/>
    <n v="1"/>
    <n v="42"/>
    <n v="42"/>
    <d v="2025-01-16T00:00:00"/>
    <d v="2025-01-17T00:00:00"/>
    <s v=""/>
    <x v="0"/>
    <n v="4"/>
    <s v="California"/>
    <s v="Los Angeles County"/>
    <n v="1"/>
    <n v="3"/>
    <x v="0"/>
  </r>
  <r>
    <s v="TX500357"/>
    <s v="Shorts"/>
    <n v="9"/>
    <n v="21.8"/>
    <n v="196.20000000000002"/>
    <d v="2025-01-16T00:00:00"/>
    <d v="2025-01-18T00:00:00"/>
    <s v="F"/>
    <x v="1"/>
    <n v="4"/>
    <s v="California"/>
    <s v="Los Angeles County"/>
    <n v="2"/>
    <n v="3"/>
    <x v="2"/>
  </r>
  <r>
    <s v="TX500358"/>
    <s v="T-Shirts"/>
    <n v="18"/>
    <n v="21.4"/>
    <n v="385.2"/>
    <d v="2025-01-16T00:00:00"/>
    <d v="2025-01-19T00:00:00"/>
    <s v="F"/>
    <x v="1"/>
    <n v="5"/>
    <s v="California"/>
    <s v="Los Angeles County"/>
    <n v="3"/>
    <n v="3"/>
    <x v="2"/>
  </r>
  <r>
    <s v="TX500359"/>
    <s v="Bikinis"/>
    <n v="3"/>
    <n v="45"/>
    <n v="135"/>
    <d v="2025-01-16T00:00:00"/>
    <d v="2025-01-16T00:00:00"/>
    <s v="F"/>
    <x v="1"/>
    <n v="5"/>
    <s v="California"/>
    <s v="Los Angeles County"/>
    <n v="0"/>
    <n v="3"/>
    <x v="2"/>
  </r>
  <r>
    <s v="TX500360"/>
    <s v="Baseball Caps"/>
    <n v="1"/>
    <n v="39.6"/>
    <n v="39.6"/>
    <d v="2025-01-16T00:00:00"/>
    <d v="2025-01-17T00:00:00"/>
    <s v="M"/>
    <x v="0"/>
    <n v="5"/>
    <s v="California"/>
    <s v="Los Angeles County"/>
    <n v="1"/>
    <n v="3"/>
    <x v="1"/>
  </r>
  <r>
    <s v="TX500361"/>
    <s v="Casual Dresses"/>
    <n v="3"/>
    <n v="79.8"/>
    <n v="239.39999999999998"/>
    <d v="2025-01-16T00:00:00"/>
    <d v="2025-01-22T00:00:00"/>
    <s v="F"/>
    <x v="1"/>
    <n v="2"/>
    <s v="California"/>
    <s v="Los Angeles County"/>
    <n v="6"/>
    <n v="3"/>
    <x v="2"/>
  </r>
  <r>
    <s v="TX500362"/>
    <s v="Tank Tops"/>
    <n v="4"/>
    <n v="63.6"/>
    <n v="254.4"/>
    <d v="2025-01-16T00:00:00"/>
    <d v="2025-01-17T00:00:00"/>
    <s v="O"/>
    <x v="0"/>
    <n v="5"/>
    <s v="California"/>
    <s v="Merced County"/>
    <n v="1"/>
    <n v="3"/>
    <x v="3"/>
  </r>
  <r>
    <s v="TX500363"/>
    <s v="Hoodies &amp; Sweatshirts"/>
    <n v="10"/>
    <n v="92.7"/>
    <n v="927"/>
    <d v="2025-01-16T00:00:00"/>
    <d v="2025-01-20T00:00:00"/>
    <s v="M"/>
    <x v="1"/>
    <n v="5"/>
    <s v="California"/>
    <s v="Sacramento County"/>
    <n v="4"/>
    <n v="3"/>
    <x v="1"/>
  </r>
  <r>
    <s v="TX500364"/>
    <s v="Tank Tops"/>
    <n v="4"/>
    <n v="48.4"/>
    <n v="193.6"/>
    <d v="2025-01-16T00:00:00"/>
    <d v="2025-01-18T00:00:00"/>
    <s v="F"/>
    <x v="1"/>
    <n v="5"/>
    <s v="California"/>
    <s v="Sacramento County"/>
    <n v="2"/>
    <n v="3"/>
    <x v="2"/>
  </r>
  <r>
    <s v="TX500365"/>
    <s v="Sundresses"/>
    <n v="8"/>
    <n v="36"/>
    <n v="288"/>
    <d v="2025-01-16T00:00:00"/>
    <d v="2025-01-19T00:00:00"/>
    <s v="M"/>
    <x v="2"/>
    <n v="5"/>
    <s v="California"/>
    <s v="San Diego County"/>
    <n v="3"/>
    <n v="3"/>
    <x v="1"/>
  </r>
  <r>
    <s v="TX500366"/>
    <s v="T-Shirts"/>
    <n v="12"/>
    <n v="27"/>
    <n v="324"/>
    <d v="2025-01-16T00:00:00"/>
    <d v="2025-01-18T00:00:00"/>
    <s v="F"/>
    <x v="2"/>
    <n v="3"/>
    <s v="California"/>
    <s v="San Diego County"/>
    <n v="2"/>
    <n v="3"/>
    <x v="2"/>
  </r>
  <r>
    <s v="TX500367"/>
    <s v="Sneakers"/>
    <n v="8"/>
    <n v="53.9"/>
    <n v="431.2"/>
    <d v="2025-01-16T00:00:00"/>
    <d v="2025-01-17T00:00:00"/>
    <s v=""/>
    <x v="0"/>
    <n v="4"/>
    <s v="California"/>
    <s v="San Diego County"/>
    <n v="1"/>
    <n v="3"/>
    <x v="0"/>
  </r>
  <r>
    <s v="TX500368"/>
    <s v="Workout Tops"/>
    <n v="9"/>
    <n v="48.4"/>
    <n v="435.59999999999997"/>
    <d v="2025-01-16T00:00:00"/>
    <d v="2025-01-17T00:00:00"/>
    <s v="F"/>
    <x v="1"/>
    <n v="4"/>
    <s v="California"/>
    <s v="San Mateo County"/>
    <n v="1"/>
    <n v="3"/>
    <x v="2"/>
  </r>
  <r>
    <s v="TX500369"/>
    <s v="Pajama Sets"/>
    <n v="2"/>
    <n v="49.9"/>
    <n v="99.8"/>
    <d v="2025-01-16T00:00:00"/>
    <d v="2025-01-21T00:00:00"/>
    <s v="M"/>
    <x v="4"/>
    <n v="2"/>
    <s v="California"/>
    <s v="Santa Barbara County"/>
    <n v="5"/>
    <n v="3"/>
    <x v="1"/>
  </r>
  <r>
    <s v="TX500370"/>
    <s v="Tank Tops"/>
    <n v="3"/>
    <n v="51.7"/>
    <n v="155.10000000000002"/>
    <d v="2025-01-16T00:00:00"/>
    <d v="2025-01-17T00:00:00"/>
    <s v="F"/>
    <x v="0"/>
    <n v="5"/>
    <s v="California"/>
    <s v="Santa Clara County"/>
    <n v="1"/>
    <n v="3"/>
    <x v="2"/>
  </r>
  <r>
    <s v="TX500371"/>
    <s v="T-Shirts"/>
    <n v="3"/>
    <n v="41.8"/>
    <n v="125.39999999999999"/>
    <d v="2025-01-16T00:00:00"/>
    <d v="2025-01-18T00:00:00"/>
    <s v="F"/>
    <x v="2"/>
    <n v="4"/>
    <s v="California"/>
    <s v="Sonoma County"/>
    <n v="2"/>
    <n v="3"/>
    <x v="2"/>
  </r>
  <r>
    <s v="TX500372"/>
    <s v="Graphic Tees"/>
    <n v="4"/>
    <n v="36.200000000000003"/>
    <n v="144.80000000000001"/>
    <d v="2025-01-17T00:00:00"/>
    <d v="2025-01-18T00:00:00"/>
    <s v="M"/>
    <x v="2"/>
    <n v="5"/>
    <s v="California"/>
    <s v="Alameda County"/>
    <n v="1"/>
    <n v="3"/>
    <x v="1"/>
  </r>
  <r>
    <s v="TX500373"/>
    <s v="Sneakers"/>
    <n v="1"/>
    <n v="150.9"/>
    <n v="150.9"/>
    <d v="2025-01-17T00:00:00"/>
    <d v="2025-01-27T00:00:00"/>
    <s v="M"/>
    <x v="0"/>
    <n v="4"/>
    <s v="California"/>
    <s v="Contra Costa County"/>
    <n v="10"/>
    <n v="3"/>
    <x v="1"/>
  </r>
  <r>
    <s v="TX500374"/>
    <s v="Leggings"/>
    <n v="4"/>
    <n v="77.599999999999994"/>
    <n v="310.39999999999998"/>
    <d v="2025-01-17T00:00:00"/>
    <d v="2025-01-18T00:00:00"/>
    <s v=""/>
    <x v="2"/>
    <n v="4"/>
    <s v="California"/>
    <s v="Los Angeles County"/>
    <n v="1"/>
    <n v="3"/>
    <x v="0"/>
  </r>
  <r>
    <s v="TX500375"/>
    <s v="Tote Bags"/>
    <n v="5"/>
    <n v="65.5"/>
    <n v="327.5"/>
    <d v="2025-01-17T00:00:00"/>
    <d v="2025-01-17T00:00:00"/>
    <s v="M"/>
    <x v="1"/>
    <n v="4"/>
    <s v="California"/>
    <s v="Los Angeles County"/>
    <n v="0"/>
    <n v="3"/>
    <x v="1"/>
  </r>
  <r>
    <s v="TX500376"/>
    <s v="Jeans"/>
    <n v="3"/>
    <n v="90.1"/>
    <n v="270.29999999999995"/>
    <d v="2025-01-17T00:00:00"/>
    <d v="2025-01-19T00:00:00"/>
    <s v="F"/>
    <x v="0"/>
    <n v="4"/>
    <s v="California"/>
    <s v="Los Angeles County"/>
    <n v="2"/>
    <n v="3"/>
    <x v="2"/>
  </r>
  <r>
    <s v="TX500377"/>
    <s v="Tank Tops"/>
    <n v="2"/>
    <n v="108.3"/>
    <n v="216.6"/>
    <d v="2025-01-17T00:00:00"/>
    <d v="2025-01-20T00:00:00"/>
    <s v="O"/>
    <x v="4"/>
    <n v="4"/>
    <s v="California"/>
    <s v="Los Angeles County"/>
    <n v="3"/>
    <n v="3"/>
    <x v="3"/>
  </r>
  <r>
    <s v="TX500378"/>
    <s v="Sandals"/>
    <n v="3"/>
    <n v="59.9"/>
    <n v="179.7"/>
    <d v="2025-01-17T00:00:00"/>
    <d v="2025-01-21T00:00:00"/>
    <s v="F"/>
    <x v="0"/>
    <n v="4"/>
    <s v="California"/>
    <s v="Los Angeles County"/>
    <n v="4"/>
    <n v="3"/>
    <x v="2"/>
  </r>
  <r>
    <s v="TX500379"/>
    <s v="Sneakers"/>
    <n v="17"/>
    <n v="139"/>
    <n v="2363"/>
    <d v="2025-01-17T00:00:00"/>
    <d v="2025-01-19T00:00:00"/>
    <s v="F"/>
    <x v="1"/>
    <n v="2"/>
    <s v="California"/>
    <s v="Los Angeles County"/>
    <n v="2"/>
    <n v="3"/>
    <x v="2"/>
  </r>
  <r>
    <s v="TX500380"/>
    <s v="Jeans"/>
    <n v="3"/>
    <n v="87.3"/>
    <n v="261.89999999999998"/>
    <d v="2025-01-17T00:00:00"/>
    <d v="2025-01-18T00:00:00"/>
    <s v="F"/>
    <x v="0"/>
    <n v="4"/>
    <s v="California"/>
    <s v="Los Angeles County"/>
    <n v="1"/>
    <n v="3"/>
    <x v="2"/>
  </r>
  <r>
    <s v="TX500381"/>
    <s v="Maxi Dresses"/>
    <n v="4"/>
    <n v="42.3"/>
    <n v="169.2"/>
    <d v="2025-01-17T00:00:00"/>
    <d v="2025-01-17T00:00:00"/>
    <s v="M"/>
    <x v="0"/>
    <n v="4"/>
    <s v="California"/>
    <s v="Los Angeles County"/>
    <n v="0"/>
    <n v="3"/>
    <x v="1"/>
  </r>
  <r>
    <s v="TX500382"/>
    <s v="Baseball Caps"/>
    <n v="8"/>
    <n v="103.6"/>
    <n v="828.8"/>
    <d v="2025-01-17T00:00:00"/>
    <d v="2025-01-18T00:00:00"/>
    <s v="O"/>
    <x v="0"/>
    <n v="3"/>
    <s v="California"/>
    <s v="Los Angeles County"/>
    <n v="1"/>
    <n v="3"/>
    <x v="3"/>
  </r>
  <r>
    <s v="TX500383"/>
    <s v="Jeans"/>
    <n v="2"/>
    <n v="90.9"/>
    <n v="181.8"/>
    <d v="2025-01-17T00:00:00"/>
    <d v="2025-01-18T00:00:00"/>
    <s v="M"/>
    <x v="1"/>
    <n v="4"/>
    <s v="California"/>
    <s v="Sacramento County"/>
    <n v="1"/>
    <n v="3"/>
    <x v="1"/>
  </r>
  <r>
    <s v="TX500384"/>
    <s v="Sundresses"/>
    <n v="16"/>
    <n v="100.9"/>
    <n v="1614.4"/>
    <d v="2025-01-17T00:00:00"/>
    <d v="2025-01-18T00:00:00"/>
    <s v="F"/>
    <x v="1"/>
    <n v="4"/>
    <s v="California"/>
    <s v="Sacramento County"/>
    <n v="1"/>
    <n v="3"/>
    <x v="2"/>
  </r>
  <r>
    <s v="TX500385"/>
    <s v="Graphic Tees"/>
    <n v="5"/>
    <n v="36"/>
    <n v="180"/>
    <d v="2025-01-17T00:00:00"/>
    <d v="2025-01-19T00:00:00"/>
    <s v="F"/>
    <x v="1"/>
    <n v="4"/>
    <s v="California"/>
    <s v="San Bernardino County"/>
    <n v="2"/>
    <n v="3"/>
    <x v="2"/>
  </r>
  <r>
    <s v="TX500386"/>
    <s v="Jeans"/>
    <n v="6"/>
    <n v="83.3"/>
    <n v="499.79999999999995"/>
    <d v="2025-01-17T00:00:00"/>
    <d v="2025-01-20T00:00:00"/>
    <s v=""/>
    <x v="2"/>
    <n v="4"/>
    <s v="California"/>
    <s v="San Bernardino County"/>
    <n v="3"/>
    <n v="3"/>
    <x v="0"/>
  </r>
  <r>
    <s v="TX500387"/>
    <s v="Sneakers"/>
    <n v="17"/>
    <n v="60.3"/>
    <n v="1025.0999999999999"/>
    <d v="2025-01-17T00:00:00"/>
    <d v="2025-01-18T00:00:00"/>
    <s v="M"/>
    <x v="2"/>
    <n v="3"/>
    <s v="California"/>
    <s v="San Bernardino County"/>
    <n v="1"/>
    <n v="3"/>
    <x v="1"/>
  </r>
  <r>
    <s v="TX500388"/>
    <s v="Sneakers"/>
    <n v="6"/>
    <n v="120.3"/>
    <n v="721.8"/>
    <d v="2025-01-17T00:00:00"/>
    <d v="2025-01-18T00:00:00"/>
    <s v="M"/>
    <x v="2"/>
    <n v="4"/>
    <s v="California"/>
    <s v="San Diego County"/>
    <n v="1"/>
    <n v="3"/>
    <x v="1"/>
  </r>
  <r>
    <s v="TX500389"/>
    <s v="Graphic Tees"/>
    <n v="10"/>
    <n v="34"/>
    <n v="340"/>
    <d v="2025-01-17T00:00:00"/>
    <d v="2025-01-21T00:00:00"/>
    <s v="F"/>
    <x v="2"/>
    <n v="4"/>
    <s v="California"/>
    <s v="San Diego County"/>
    <n v="4"/>
    <n v="3"/>
    <x v="2"/>
  </r>
  <r>
    <s v="TX500390"/>
    <s v="Bikinis"/>
    <n v="5"/>
    <n v="42.6"/>
    <n v="213"/>
    <d v="2025-01-17T00:00:00"/>
    <d v="2025-01-20T00:00:00"/>
    <s v="M"/>
    <x v="1"/>
    <n v="4"/>
    <s v="California"/>
    <s v="San Diego County"/>
    <n v="3"/>
    <n v="3"/>
    <x v="1"/>
  </r>
  <r>
    <s v="TX500391"/>
    <s v="Sandals"/>
    <n v="20"/>
    <n v="47.4"/>
    <n v="948"/>
    <d v="2025-01-17T00:00:00"/>
    <d v="2025-01-17T00:00:00"/>
    <s v="F"/>
    <x v="2"/>
    <n v="3"/>
    <s v="California"/>
    <s v="San Francisco"/>
    <n v="0"/>
    <n v="3"/>
    <x v="2"/>
  </r>
  <r>
    <s v="TX500392"/>
    <s v="Sneakers"/>
    <n v="1"/>
    <n v="74"/>
    <n v="74"/>
    <d v="2025-01-18T00:00:00"/>
    <d v="2025-01-19T00:00:00"/>
    <s v="M"/>
    <x v="1"/>
    <n v="4"/>
    <s v="California"/>
    <s v="Santa Clara County"/>
    <n v="1"/>
    <n v="3"/>
    <x v="1"/>
  </r>
  <r>
    <s v="TX500393"/>
    <s v="Sneakers"/>
    <n v="5"/>
    <n v="60.4"/>
    <n v="302"/>
    <d v="2025-01-18T00:00:00"/>
    <d v="2025-01-21T00:00:00"/>
    <s v="F"/>
    <x v="1"/>
    <n v="2"/>
    <s v="California"/>
    <s v="Sonoma County"/>
    <n v="3"/>
    <n v="3"/>
    <x v="2"/>
  </r>
  <r>
    <s v="TX500394"/>
    <s v="Casual Dresses"/>
    <n v="2"/>
    <n v="69.3"/>
    <n v="138.6"/>
    <d v="2025-01-18T00:00:00"/>
    <d v="2025-01-21T00:00:00"/>
    <s v="M"/>
    <x v="1"/>
    <n v="3"/>
    <s v="California"/>
    <s v="Ventura County"/>
    <n v="3"/>
    <n v="3"/>
    <x v="1"/>
  </r>
  <r>
    <s v="TX500395"/>
    <s v="Sandals"/>
    <n v="5"/>
    <n v="81"/>
    <n v="405"/>
    <d v="2025-01-18T00:00:00"/>
    <d v="2025-01-24T00:00:00"/>
    <s v="M"/>
    <x v="3"/>
    <n v="4"/>
    <s v="California"/>
    <s v="Alameda County"/>
    <n v="6"/>
    <n v="3"/>
    <x v="1"/>
  </r>
  <r>
    <s v="TX500396"/>
    <s v="Crop Tops"/>
    <n v="3"/>
    <n v="41.5"/>
    <n v="124.5"/>
    <d v="2025-01-18T00:00:00"/>
    <d v="2025-01-20T00:00:00"/>
    <s v="O"/>
    <x v="1"/>
    <n v="4"/>
    <s v="California"/>
    <s v="Alameda County"/>
    <n v="2"/>
    <n v="3"/>
    <x v="3"/>
  </r>
  <r>
    <s v="TX500397"/>
    <s v="Leggings"/>
    <n v="2"/>
    <n v="69.7"/>
    <n v="139.4"/>
    <d v="2025-01-18T00:00:00"/>
    <d v="2025-01-23T00:00:00"/>
    <s v="M"/>
    <x v="1"/>
    <n v="4"/>
    <s v="California"/>
    <s v="Alameda County"/>
    <n v="5"/>
    <n v="3"/>
    <x v="1"/>
  </r>
  <r>
    <s v="TX500398"/>
    <s v="Sneakers"/>
    <n v="5"/>
    <n v="83.6"/>
    <n v="418"/>
    <d v="2025-01-18T00:00:00"/>
    <d v="2025-01-18T00:00:00"/>
    <s v="F"/>
    <x v="4"/>
    <n v="4"/>
    <s v="California"/>
    <s v="Contra Costa County"/>
    <n v="0"/>
    <n v="3"/>
    <x v="2"/>
  </r>
  <r>
    <s v="TX500399"/>
    <s v="T-Shirts"/>
    <n v="7"/>
    <n v="21.5"/>
    <n v="150.5"/>
    <d v="2025-01-18T00:00:00"/>
    <d v="2025-01-20T00:00:00"/>
    <s v="M"/>
    <x v="1"/>
    <n v="2"/>
    <s v="California"/>
    <s v="Kings County"/>
    <n v="2"/>
    <n v="3"/>
    <x v="1"/>
  </r>
  <r>
    <s v="TX500400"/>
    <s v="T-Shirts"/>
    <n v="8"/>
    <n v="28.6"/>
    <n v="228.8"/>
    <d v="2025-01-18T00:00:00"/>
    <d v="2025-01-19T00:00:00"/>
    <s v="M"/>
    <x v="0"/>
    <n v="4"/>
    <s v="California"/>
    <s v="Los Angeles County"/>
    <n v="1"/>
    <n v="3"/>
    <x v="1"/>
  </r>
  <r>
    <s v="TX500401"/>
    <s v="T-Shirts"/>
    <n v="6"/>
    <n v="18.8"/>
    <n v="112.80000000000001"/>
    <d v="2025-01-18T00:00:00"/>
    <d v="2025-01-21T00:00:00"/>
    <s v="M"/>
    <x v="3"/>
    <n v="5"/>
    <s v="California"/>
    <s v="Los Angeles County"/>
    <n v="3"/>
    <n v="3"/>
    <x v="1"/>
  </r>
  <r>
    <s v="TX500402"/>
    <s v="Bikinis"/>
    <n v="4"/>
    <n v="35.1"/>
    <n v="140.4"/>
    <d v="2025-01-18T00:00:00"/>
    <d v="2025-01-18T00:00:00"/>
    <s v="F"/>
    <x v="1"/>
    <n v="3"/>
    <s v="California"/>
    <s v="Los Angeles County"/>
    <n v="0"/>
    <n v="3"/>
    <x v="2"/>
  </r>
  <r>
    <s v="TX500403"/>
    <s v="Shorts"/>
    <n v="2"/>
    <n v="12.7"/>
    <n v="25.4"/>
    <d v="2025-01-18T00:00:00"/>
    <d v="2025-01-20T00:00:00"/>
    <s v="F"/>
    <x v="1"/>
    <n v="5"/>
    <s v="California"/>
    <s v="Los Angeles County"/>
    <n v="2"/>
    <n v="3"/>
    <x v="2"/>
  </r>
  <r>
    <s v="TX500404"/>
    <s v="T-Shirts"/>
    <n v="5"/>
    <n v="27.4"/>
    <n v="137"/>
    <d v="2025-01-18T00:00:00"/>
    <d v="2025-01-20T00:00:00"/>
    <s v="O"/>
    <x v="0"/>
    <n v="4"/>
    <s v="California"/>
    <s v="Los Angeles County"/>
    <n v="2"/>
    <n v="3"/>
    <x v="3"/>
  </r>
  <r>
    <s v="TX500405"/>
    <s v="Bikinis"/>
    <n v="2"/>
    <n v="61.3"/>
    <n v="122.6"/>
    <d v="2025-01-18T00:00:00"/>
    <d v="2025-01-19T00:00:00"/>
    <s v="F"/>
    <x v="1"/>
    <n v="4"/>
    <s v="California"/>
    <s v="Sacramento County"/>
    <n v="1"/>
    <n v="3"/>
    <x v="2"/>
  </r>
  <r>
    <s v="TX500406"/>
    <s v="T-Shirts"/>
    <n v="2"/>
    <n v="64.7"/>
    <n v="129.4"/>
    <d v="2025-01-18T00:00:00"/>
    <d v="2025-01-20T00:00:00"/>
    <s v="F"/>
    <x v="3"/>
    <n v="5"/>
    <s v="California"/>
    <s v="Sacramento County"/>
    <n v="2"/>
    <n v="3"/>
    <x v="2"/>
  </r>
  <r>
    <s v="TX500407"/>
    <s v="Hoodies &amp; Sweatshirts"/>
    <n v="4"/>
    <n v="91.4"/>
    <n v="365.6"/>
    <d v="2025-01-18T00:00:00"/>
    <d v="2025-01-20T00:00:00"/>
    <s v="F"/>
    <x v="0"/>
    <n v="4"/>
    <s v="California"/>
    <s v="San Diego County"/>
    <n v="2"/>
    <n v="3"/>
    <x v="2"/>
  </r>
  <r>
    <s v="TX500408"/>
    <s v="Shorts"/>
    <n v="2"/>
    <n v="33.1"/>
    <n v="66.2"/>
    <d v="2025-01-19T00:00:00"/>
    <d v="2025-01-20T00:00:00"/>
    <s v="M"/>
    <x v="0"/>
    <n v="5"/>
    <s v="California"/>
    <s v="San Diego County"/>
    <n v="1"/>
    <n v="4"/>
    <x v="1"/>
  </r>
  <r>
    <s v="TX500409"/>
    <s v="Workout Tops"/>
    <n v="2"/>
    <n v="105.6"/>
    <n v="211.2"/>
    <d v="2025-01-19T00:00:00"/>
    <d v="2025-01-20T00:00:00"/>
    <s v="M"/>
    <x v="2"/>
    <n v="3"/>
    <s v="California"/>
    <s v="San Diego County"/>
    <n v="1"/>
    <n v="4"/>
    <x v="1"/>
  </r>
  <r>
    <s v="TX500410"/>
    <s v="Bikinis"/>
    <n v="3"/>
    <n v="46.4"/>
    <n v="139.19999999999999"/>
    <d v="2025-01-19T00:00:00"/>
    <d v="2025-01-20T00:00:00"/>
    <s v="M"/>
    <x v="2"/>
    <n v="4"/>
    <s v="California"/>
    <s v="San Mateo County"/>
    <n v="1"/>
    <n v="4"/>
    <x v="1"/>
  </r>
  <r>
    <s v="TX500411"/>
    <s v="Sundresses"/>
    <n v="14"/>
    <n v="35.299999999999997"/>
    <n v="494.19999999999993"/>
    <d v="2025-01-19T00:00:00"/>
    <d v="2025-01-22T00:00:00"/>
    <s v="F"/>
    <x v="4"/>
    <n v="3"/>
    <s v="California"/>
    <s v="Santa Clara County"/>
    <n v="3"/>
    <n v="4"/>
    <x v="2"/>
  </r>
  <r>
    <s v="TX500412"/>
    <s v="Shorts"/>
    <n v="2"/>
    <n v="16.100000000000001"/>
    <n v="32.200000000000003"/>
    <d v="2025-01-19T00:00:00"/>
    <d v="2025-01-21T00:00:00"/>
    <s v="M"/>
    <x v="3"/>
    <n v="5"/>
    <s v="California"/>
    <s v="Santa Cruz County"/>
    <n v="2"/>
    <n v="4"/>
    <x v="1"/>
  </r>
  <r>
    <s v="TX500413"/>
    <s v="Graphic Tees"/>
    <n v="2"/>
    <n v="27.9"/>
    <n v="55.8"/>
    <d v="2025-01-19T00:00:00"/>
    <d v="2025-01-22T00:00:00"/>
    <s v="M"/>
    <x v="0"/>
    <n v="4"/>
    <s v="California"/>
    <s v="Ventura County"/>
    <n v="3"/>
    <n v="4"/>
    <x v="1"/>
  </r>
  <r>
    <s v="TX500414"/>
    <s v="T-Shirts"/>
    <n v="1"/>
    <n v="47.1"/>
    <n v="47.1"/>
    <d v="2025-01-19T00:00:00"/>
    <d v="2025-01-27T00:00:00"/>
    <s v="F"/>
    <x v="1"/>
    <n v="4"/>
    <s v="California"/>
    <s v="Fresno County"/>
    <n v="8"/>
    <n v="4"/>
    <x v="2"/>
  </r>
  <r>
    <s v="TX500415"/>
    <s v="Jeans"/>
    <n v="2"/>
    <n v="85"/>
    <n v="170"/>
    <d v="2025-01-19T00:00:00"/>
    <d v="2025-01-22T00:00:00"/>
    <s v=""/>
    <x v="2"/>
    <n v="5"/>
    <s v="California"/>
    <s v="Kern County"/>
    <n v="3"/>
    <n v="4"/>
    <x v="0"/>
  </r>
  <r>
    <s v="TX500416"/>
    <s v="Leggings"/>
    <n v="2"/>
    <n v="89"/>
    <n v="178"/>
    <d v="2025-01-19T00:00:00"/>
    <d v="2025-01-21T00:00:00"/>
    <s v="F"/>
    <x v="0"/>
    <n v="4"/>
    <s v="California"/>
    <s v="Los Angeles County"/>
    <n v="2"/>
    <n v="4"/>
    <x v="2"/>
  </r>
  <r>
    <s v="TX500417"/>
    <s v="Sunglasses"/>
    <n v="3"/>
    <n v="36.6"/>
    <n v="109.80000000000001"/>
    <d v="2025-01-19T00:00:00"/>
    <d v="2025-01-20T00:00:00"/>
    <s v="O"/>
    <x v="3"/>
    <n v="5"/>
    <s v="California"/>
    <s v="Los Angeles County"/>
    <n v="1"/>
    <n v="4"/>
    <x v="3"/>
  </r>
  <r>
    <s v="TX500418"/>
    <s v="Jeans"/>
    <n v="7"/>
    <n v="43.5"/>
    <n v="304.5"/>
    <d v="2025-01-19T00:00:00"/>
    <d v="2025-01-20T00:00:00"/>
    <s v="M"/>
    <x v="1"/>
    <n v="5"/>
    <s v="California"/>
    <s v="Los Angeles County"/>
    <n v="1"/>
    <n v="4"/>
    <x v="1"/>
  </r>
  <r>
    <s v="TX500419"/>
    <s v="Sundresses"/>
    <n v="19"/>
    <n v="30.5"/>
    <n v="579.5"/>
    <d v="2025-01-19T00:00:00"/>
    <d v="2025-01-19T00:00:00"/>
    <s v="F"/>
    <x v="3"/>
    <n v="4"/>
    <s v="California"/>
    <s v="Los Angeles County"/>
    <n v="0"/>
    <n v="4"/>
    <x v="2"/>
  </r>
  <r>
    <s v="TX500420"/>
    <s v="Tank Tops"/>
    <n v="2"/>
    <n v="107.7"/>
    <n v="215.4"/>
    <d v="2025-01-19T00:00:00"/>
    <d v="2025-01-23T00:00:00"/>
    <s v="M"/>
    <x v="3"/>
    <n v="2"/>
    <s v="California"/>
    <s v="Los Angeles County"/>
    <n v="4"/>
    <n v="4"/>
    <x v="1"/>
  </r>
  <r>
    <s v="TX500421"/>
    <s v="Pajama Sets"/>
    <n v="26"/>
    <n v="57.1"/>
    <n v="1484.6000000000001"/>
    <d v="2025-01-19T00:00:00"/>
    <d v="2025-01-20T00:00:00"/>
    <s v="M"/>
    <x v="1"/>
    <n v="4"/>
    <s v="California"/>
    <s v="Los Angeles County"/>
    <n v="1"/>
    <n v="4"/>
    <x v="1"/>
  </r>
  <r>
    <s v="TX500422"/>
    <s v="Sneakers"/>
    <n v="10"/>
    <n v="111.7"/>
    <n v="1117"/>
    <d v="2025-01-19T00:00:00"/>
    <d v="2025-01-20T00:00:00"/>
    <s v="F"/>
    <x v="4"/>
    <n v="5"/>
    <s v="California"/>
    <s v="Los Angeles County"/>
    <n v="1"/>
    <n v="4"/>
    <x v="2"/>
  </r>
  <r>
    <s v="TX500423"/>
    <s v="Leggings"/>
    <n v="7"/>
    <n v="44.3"/>
    <n v="310.09999999999997"/>
    <d v="2025-01-19T00:00:00"/>
    <d v="2025-01-22T00:00:00"/>
    <s v="M"/>
    <x v="3"/>
    <n v="5"/>
    <s v="California"/>
    <s v="Los Angeles County"/>
    <n v="3"/>
    <n v="4"/>
    <x v="1"/>
  </r>
  <r>
    <s v="TX500424"/>
    <s v="Sneakers"/>
    <n v="8"/>
    <n v="95.8"/>
    <n v="766.4"/>
    <d v="2025-01-19T00:00:00"/>
    <d v="2025-01-25T00:00:00"/>
    <s v="O"/>
    <x v="0"/>
    <n v="4"/>
    <s v="California"/>
    <s v="Los Angeles County"/>
    <n v="6"/>
    <n v="4"/>
    <x v="3"/>
  </r>
  <r>
    <s v="TX500425"/>
    <s v="Bikinis"/>
    <n v="7"/>
    <n v="22.6"/>
    <n v="158.20000000000002"/>
    <d v="2025-01-19T00:00:00"/>
    <d v="2025-01-22T00:00:00"/>
    <s v="F"/>
    <x v="3"/>
    <n v="3"/>
    <s v="California"/>
    <s v="Los Angeles County"/>
    <n v="3"/>
    <n v="4"/>
    <x v="2"/>
  </r>
  <r>
    <s v="TX500426"/>
    <s v="T-Shirts"/>
    <n v="8"/>
    <n v="25.6"/>
    <n v="204.8"/>
    <d v="2025-01-19T00:00:00"/>
    <d v="2025-01-21T00:00:00"/>
    <s v="F"/>
    <x v="4"/>
    <n v="4"/>
    <s v="California"/>
    <s v="Los Angeles County"/>
    <n v="2"/>
    <n v="4"/>
    <x v="2"/>
  </r>
  <r>
    <s v="TX500427"/>
    <s v="Jeans"/>
    <n v="16"/>
    <n v="54.3"/>
    <n v="868.8"/>
    <d v="2025-01-19T00:00:00"/>
    <d v="2025-01-22T00:00:00"/>
    <s v="F"/>
    <x v="4"/>
    <n v="4"/>
    <s v="California"/>
    <s v="Los Angeles County"/>
    <n v="3"/>
    <n v="4"/>
    <x v="2"/>
  </r>
  <r>
    <s v="TX500428"/>
    <s v="Leggings"/>
    <n v="13"/>
    <n v="51.3"/>
    <n v="666.9"/>
    <d v="2025-01-19T00:00:00"/>
    <d v="2025-01-21T00:00:00"/>
    <s v="M"/>
    <x v="0"/>
    <n v="5"/>
    <s v="California"/>
    <s v="Los Angeles County"/>
    <n v="2"/>
    <n v="4"/>
    <x v="1"/>
  </r>
  <r>
    <s v="TX500429"/>
    <s v="Shorts"/>
    <n v="8"/>
    <n v="25.6"/>
    <n v="204.8"/>
    <d v="2025-01-19T00:00:00"/>
    <d v="2025-01-20T00:00:00"/>
    <s v="F"/>
    <x v="1"/>
    <n v="3"/>
    <s v="California"/>
    <s v="Los Angeles County"/>
    <n v="1"/>
    <n v="4"/>
    <x v="2"/>
  </r>
  <r>
    <s v="TX500430"/>
    <s v="Shorts"/>
    <n v="2"/>
    <n v="15.6"/>
    <n v="31.2"/>
    <d v="2025-01-19T00:00:00"/>
    <d v="2025-01-20T00:00:00"/>
    <s v="F"/>
    <x v="2"/>
    <n v="5"/>
    <s v="California"/>
    <s v="Los Angeles County"/>
    <n v="1"/>
    <n v="4"/>
    <x v="2"/>
  </r>
  <r>
    <s v="TX500431"/>
    <s v="T-Shirts"/>
    <n v="3"/>
    <n v="30.3"/>
    <n v="90.9"/>
    <d v="2025-01-19T00:00:00"/>
    <d v="2025-01-23T00:00:00"/>
    <s v="F"/>
    <x v="0"/>
    <n v="3"/>
    <s v="California"/>
    <s v="Los Angeles County"/>
    <n v="4"/>
    <n v="4"/>
    <x v="2"/>
  </r>
  <r>
    <s v="TX500432"/>
    <s v="Casual Dresses"/>
    <n v="2"/>
    <n v="30.3"/>
    <n v="60.6"/>
    <d v="2025-01-19T00:00:00"/>
    <d v="2025-01-24T00:00:00"/>
    <s v="F"/>
    <x v="0"/>
    <n v="5"/>
    <s v="California"/>
    <s v="Madera County"/>
    <n v="5"/>
    <n v="4"/>
    <x v="2"/>
  </r>
  <r>
    <s v="TX500433"/>
    <s v="Bikinis"/>
    <n v="3"/>
    <n v="53"/>
    <n v="159"/>
    <d v="2025-01-19T00:00:00"/>
    <d v="2025-01-26T00:00:00"/>
    <s v="F"/>
    <x v="2"/>
    <n v="4"/>
    <s v="California"/>
    <s v="Merced County"/>
    <n v="7"/>
    <n v="4"/>
    <x v="2"/>
  </r>
  <r>
    <s v="TX500434"/>
    <s v="Sandals"/>
    <n v="18"/>
    <n v="59.9"/>
    <n v="1078.2"/>
    <d v="2025-01-19T00:00:00"/>
    <d v="2025-01-22T00:00:00"/>
    <s v="M"/>
    <x v="2"/>
    <n v="2"/>
    <s v="California"/>
    <s v="Orange County"/>
    <n v="3"/>
    <n v="4"/>
    <x v="1"/>
  </r>
  <r>
    <s v="TX500435"/>
    <s v="Sundresses"/>
    <n v="2"/>
    <n v="45.7"/>
    <n v="91.4"/>
    <d v="2025-01-19T00:00:00"/>
    <d v="2025-01-20T00:00:00"/>
    <s v="F"/>
    <x v="1"/>
    <n v="5"/>
    <s v="California"/>
    <s v="Sacramento County"/>
    <n v="1"/>
    <n v="4"/>
    <x v="2"/>
  </r>
  <r>
    <s v="TX500436"/>
    <s v="T-Shirts"/>
    <n v="4"/>
    <n v="46.1"/>
    <n v="184.4"/>
    <d v="2025-01-19T00:00:00"/>
    <d v="2025-01-20T00:00:00"/>
    <s v="M"/>
    <x v="0"/>
    <n v="4"/>
    <s v="California"/>
    <s v="Sacramento County"/>
    <n v="1"/>
    <n v="4"/>
    <x v="1"/>
  </r>
  <r>
    <s v="TX500437"/>
    <s v="T-Shirts"/>
    <n v="3"/>
    <n v="17.5"/>
    <n v="52.5"/>
    <d v="2025-01-19T00:00:00"/>
    <d v="2025-01-20T00:00:00"/>
    <s v="F"/>
    <x v="0"/>
    <n v="5"/>
    <s v="California"/>
    <s v="San Diego County"/>
    <n v="1"/>
    <n v="4"/>
    <x v="2"/>
  </r>
  <r>
    <s v="TX500438"/>
    <s v="Bikinis"/>
    <n v="3"/>
    <n v="36.5"/>
    <n v="109.5"/>
    <d v="2025-01-19T00:00:00"/>
    <d v="2025-01-30T00:00:00"/>
    <s v="M"/>
    <x v="2"/>
    <n v="4"/>
    <s v="California"/>
    <s v="San Diego County"/>
    <n v="11"/>
    <n v="4"/>
    <x v="1"/>
  </r>
  <r>
    <s v="TX500439"/>
    <s v="T-Shirts"/>
    <n v="2"/>
    <n v="47.5"/>
    <n v="95"/>
    <d v="2025-01-20T00:00:00"/>
    <d v="2025-01-22T00:00:00"/>
    <s v="F"/>
    <x v="1"/>
    <n v="4"/>
    <s v="California"/>
    <s v="San Diego County"/>
    <n v="2"/>
    <n v="4"/>
    <x v="2"/>
  </r>
  <r>
    <s v="TX500440"/>
    <s v="Jeans"/>
    <n v="5"/>
    <n v="45.6"/>
    <n v="228"/>
    <d v="2025-01-20T00:00:00"/>
    <d v="2025-01-22T00:00:00"/>
    <s v="F"/>
    <x v="0"/>
    <n v="5"/>
    <s v="California"/>
    <s v="San Diego County"/>
    <n v="2"/>
    <n v="4"/>
    <x v="2"/>
  </r>
  <r>
    <s v="TX500441"/>
    <s v="Sundresses"/>
    <n v="2"/>
    <n v="50.5"/>
    <n v="101"/>
    <d v="2025-01-20T00:00:00"/>
    <d v="2025-01-22T00:00:00"/>
    <s v="M"/>
    <x v="0"/>
    <n v="3"/>
    <s v="California"/>
    <s v="San Francisco"/>
    <n v="2"/>
    <n v="4"/>
    <x v="1"/>
  </r>
  <r>
    <s v="TX500442"/>
    <s v="Sneakers"/>
    <n v="10"/>
    <n v="99.8"/>
    <n v="998"/>
    <d v="2025-01-20T00:00:00"/>
    <d v="2025-01-23T00:00:00"/>
    <s v="F"/>
    <x v="2"/>
    <n v="3"/>
    <s v="California"/>
    <s v="San Francisco"/>
    <n v="3"/>
    <n v="4"/>
    <x v="2"/>
  </r>
  <r>
    <s v="TX500443"/>
    <s v="T-Shirts"/>
    <n v="15"/>
    <n v="19.2"/>
    <n v="288"/>
    <d v="2025-01-20T00:00:00"/>
    <d v="2025-01-22T00:00:00"/>
    <s v="O"/>
    <x v="4"/>
    <n v="3"/>
    <s v="California"/>
    <s v="San Joaquin County"/>
    <n v="2"/>
    <n v="4"/>
    <x v="3"/>
  </r>
  <r>
    <s v="TX500444"/>
    <s v="Pajama Sets"/>
    <n v="3"/>
    <n v="22.6"/>
    <n v="67.800000000000011"/>
    <d v="2025-01-20T00:00:00"/>
    <d v="2025-01-21T00:00:00"/>
    <s v="M"/>
    <x v="1"/>
    <n v="4"/>
    <s v="California"/>
    <s v="Santa Clara County"/>
    <n v="1"/>
    <n v="4"/>
    <x v="1"/>
  </r>
  <r>
    <s v="TX500445"/>
    <s v="Tank Tops"/>
    <n v="15"/>
    <n v="126.9"/>
    <n v="1903.5"/>
    <d v="2025-01-20T00:00:00"/>
    <d v="2025-01-22T00:00:00"/>
    <s v="F"/>
    <x v="0"/>
    <n v="5"/>
    <s v="California"/>
    <s v="Santa Clara County"/>
    <n v="2"/>
    <n v="4"/>
    <x v="2"/>
  </r>
  <r>
    <s v="TX500446"/>
    <s v="Sneakers"/>
    <n v="2"/>
    <n v="100.3"/>
    <n v="200.6"/>
    <d v="2025-01-20T00:00:00"/>
    <d v="2025-01-21T00:00:00"/>
    <s v="F"/>
    <x v="0"/>
    <n v="3"/>
    <s v="California"/>
    <s v="Santa Clara County"/>
    <n v="1"/>
    <n v="4"/>
    <x v="2"/>
  </r>
  <r>
    <s v="TX500447"/>
    <s v="Graphic Tees"/>
    <n v="18"/>
    <n v="24.6"/>
    <n v="442.8"/>
    <d v="2025-01-20T00:00:00"/>
    <d v="2025-01-21T00:00:00"/>
    <s v="F"/>
    <x v="4"/>
    <n v="4"/>
    <s v="California"/>
    <s v="Ventura County"/>
    <n v="1"/>
    <n v="4"/>
    <x v="2"/>
  </r>
  <r>
    <s v="TX500448"/>
    <s v="Jeans"/>
    <n v="2"/>
    <n v="47.3"/>
    <n v="94.6"/>
    <d v="2025-01-20T00:00:00"/>
    <d v="2025-01-21T00:00:00"/>
    <s v="M"/>
    <x v="1"/>
    <n v="5"/>
    <s v="California"/>
    <s v="Ventura County"/>
    <n v="1"/>
    <n v="4"/>
    <x v="1"/>
  </r>
  <r>
    <s v="TX500449"/>
    <s v="Jeans"/>
    <n v="7"/>
    <n v="40.799999999999997"/>
    <n v="285.59999999999997"/>
    <d v="2025-01-20T00:00:00"/>
    <d v="2025-01-23T00:00:00"/>
    <s v="F"/>
    <x v="2"/>
    <n v="5"/>
    <s v="California"/>
    <s v="Alameda County"/>
    <n v="3"/>
    <n v="4"/>
    <x v="2"/>
  </r>
  <r>
    <s v="TX500450"/>
    <s v="T-Shirts"/>
    <n v="8"/>
    <n v="49.2"/>
    <n v="393.6"/>
    <d v="2025-01-20T00:00:00"/>
    <d v="2025-01-22T00:00:00"/>
    <s v="F"/>
    <x v="0"/>
    <n v="4"/>
    <s v="California"/>
    <s v="Contra Costa County"/>
    <n v="2"/>
    <n v="4"/>
    <x v="2"/>
  </r>
  <r>
    <s v="TX500451"/>
    <s v="T-Shirts"/>
    <n v="1"/>
    <n v="28.5"/>
    <n v="28.5"/>
    <d v="2025-01-20T00:00:00"/>
    <d v="2025-01-22T00:00:00"/>
    <s v=""/>
    <x v="2"/>
    <n v="3"/>
    <s v="California"/>
    <s v="Los Angeles County"/>
    <n v="2"/>
    <n v="4"/>
    <x v="0"/>
  </r>
  <r>
    <s v="TX500452"/>
    <s v="Leggings"/>
    <n v="2"/>
    <n v="36.799999999999997"/>
    <n v="73.599999999999994"/>
    <d v="2025-01-20T00:00:00"/>
    <d v="2025-01-26T00:00:00"/>
    <s v="F"/>
    <x v="0"/>
    <n v="5"/>
    <s v="California"/>
    <s v="Los Angeles County"/>
    <n v="6"/>
    <n v="4"/>
    <x v="2"/>
  </r>
  <r>
    <s v="TX500453"/>
    <s v="Hoodies &amp; Sweatshirts"/>
    <n v="3"/>
    <n v="33.5"/>
    <n v="100.5"/>
    <d v="2025-01-20T00:00:00"/>
    <d v="2025-01-21T00:00:00"/>
    <s v="F"/>
    <x v="0"/>
    <n v="3"/>
    <s v="California"/>
    <s v="Los Angeles County"/>
    <n v="1"/>
    <n v="4"/>
    <x v="2"/>
  </r>
  <r>
    <s v="TX500454"/>
    <s v="Jeans"/>
    <n v="6"/>
    <n v="62.5"/>
    <n v="375"/>
    <d v="2025-01-20T00:00:00"/>
    <d v="2025-01-22T00:00:00"/>
    <s v="F"/>
    <x v="0"/>
    <n v="4"/>
    <s v="California"/>
    <s v="Los Angeles County"/>
    <n v="2"/>
    <n v="4"/>
    <x v="2"/>
  </r>
  <r>
    <s v="TX500455"/>
    <s v="T-Shirts"/>
    <n v="40"/>
    <n v="47.9"/>
    <n v="1916"/>
    <d v="2025-01-20T00:00:00"/>
    <d v="2025-01-21T00:00:00"/>
    <s v="F"/>
    <x v="3"/>
    <n v="4"/>
    <s v="California"/>
    <s v="Los Angeles County"/>
    <n v="1"/>
    <n v="4"/>
    <x v="2"/>
  </r>
  <r>
    <s v="TX500456"/>
    <s v="Jeans"/>
    <n v="6"/>
    <n v="92.9"/>
    <n v="557.40000000000009"/>
    <d v="2025-01-20T00:00:00"/>
    <d v="2025-01-31T00:00:00"/>
    <s v="F"/>
    <x v="0"/>
    <n v="2"/>
    <s v="California"/>
    <s v="Los Angeles County"/>
    <n v="11"/>
    <n v="4"/>
    <x v="2"/>
  </r>
  <r>
    <s v="TX500457"/>
    <s v="Casual Dresses"/>
    <n v="3"/>
    <n v="44.1"/>
    <n v="132.30000000000001"/>
    <d v="2025-01-20T00:00:00"/>
    <d v="2025-01-20T00:00:00"/>
    <s v="F"/>
    <x v="1"/>
    <n v="3"/>
    <s v="California"/>
    <s v="Marin County"/>
    <n v="0"/>
    <n v="4"/>
    <x v="2"/>
  </r>
  <r>
    <s v="TX500458"/>
    <s v="Shorts"/>
    <n v="1"/>
    <n v="11.4"/>
    <n v="11.4"/>
    <d v="2025-01-21T00:00:00"/>
    <d v="2025-01-23T00:00:00"/>
    <s v="F"/>
    <x v="2"/>
    <n v="4"/>
    <s v="California"/>
    <s v="Placer County"/>
    <n v="2"/>
    <n v="4"/>
    <x v="2"/>
  </r>
  <r>
    <s v="TX500459"/>
    <s v="Jeans"/>
    <n v="1"/>
    <n v="83.7"/>
    <n v="83.7"/>
    <d v="2025-01-21T00:00:00"/>
    <d v="2025-01-23T00:00:00"/>
    <s v="F"/>
    <x v="0"/>
    <n v="5"/>
    <s v="California"/>
    <s v="Sacramento County"/>
    <n v="2"/>
    <n v="4"/>
    <x v="2"/>
  </r>
  <r>
    <s v="TX500460"/>
    <s v="Bikinis"/>
    <n v="2"/>
    <n v="23.2"/>
    <n v="46.4"/>
    <d v="2025-01-21T00:00:00"/>
    <d v="2025-01-22T00:00:00"/>
    <s v="M"/>
    <x v="2"/>
    <n v="4"/>
    <s v="California"/>
    <s v="San Diego County"/>
    <n v="1"/>
    <n v="4"/>
    <x v="1"/>
  </r>
  <r>
    <s v="TX500461"/>
    <s v="Sneakers"/>
    <n v="1"/>
    <n v="162.1"/>
    <n v="162.1"/>
    <d v="2025-01-21T00:00:00"/>
    <d v="2025-01-24T00:00:00"/>
    <s v="F"/>
    <x v="0"/>
    <n v="5"/>
    <s v="California"/>
    <s v="San Mateo County"/>
    <n v="3"/>
    <n v="4"/>
    <x v="2"/>
  </r>
  <r>
    <s v="TX500462"/>
    <s v="Jeans"/>
    <n v="4"/>
    <n v="49.2"/>
    <n v="196.8"/>
    <d v="2025-01-21T00:00:00"/>
    <d v="2025-01-25T00:00:00"/>
    <s v="M"/>
    <x v="1"/>
    <n v="4"/>
    <s v="California"/>
    <s v="San Mateo County"/>
    <n v="4"/>
    <n v="4"/>
    <x v="1"/>
  </r>
  <r>
    <s v="TX500463"/>
    <s v="Tank Tops"/>
    <n v="2"/>
    <n v="61"/>
    <n v="122"/>
    <d v="2025-01-21T00:00:00"/>
    <d v="2025-01-22T00:00:00"/>
    <s v="M"/>
    <x v="3"/>
    <n v="4"/>
    <s v="California"/>
    <s v="Santa Barbara County"/>
    <n v="1"/>
    <n v="4"/>
    <x v="1"/>
  </r>
  <r>
    <s v="TX500464"/>
    <s v="Sneakers"/>
    <n v="10"/>
    <n v="53.1"/>
    <n v="531"/>
    <d v="2025-01-21T00:00:00"/>
    <d v="2025-01-23T00:00:00"/>
    <s v="M"/>
    <x v="0"/>
    <n v="4"/>
    <s v="California"/>
    <s v="Santa Clara County"/>
    <n v="2"/>
    <n v="4"/>
    <x v="1"/>
  </r>
  <r>
    <s v="TX500465"/>
    <s v="Graphic Tees"/>
    <n v="2"/>
    <n v="22.4"/>
    <n v="44.8"/>
    <d v="2025-01-21T00:00:00"/>
    <d v="2025-01-23T00:00:00"/>
    <s v=""/>
    <x v="1"/>
    <n v="5"/>
    <s v="California"/>
    <s v="Ventura County"/>
    <n v="2"/>
    <n v="4"/>
    <x v="0"/>
  </r>
  <r>
    <s v="TX500466"/>
    <s v="Tank Tops"/>
    <n v="5"/>
    <n v="75.3"/>
    <n v="376.5"/>
    <d v="2025-01-21T00:00:00"/>
    <d v="2025-01-22T00:00:00"/>
    <s v="M"/>
    <x v="0"/>
    <n v="4"/>
    <s v="California"/>
    <s v="Alameda County"/>
    <n v="1"/>
    <n v="4"/>
    <x v="1"/>
  </r>
  <r>
    <s v="TX500467"/>
    <s v="Jeans"/>
    <n v="1"/>
    <n v="48.5"/>
    <n v="48.5"/>
    <d v="2025-01-21T00:00:00"/>
    <d v="2025-01-22T00:00:00"/>
    <s v="F"/>
    <x v="0"/>
    <n v="3"/>
    <s v="California"/>
    <s v="Alameda County"/>
    <n v="1"/>
    <n v="4"/>
    <x v="2"/>
  </r>
  <r>
    <s v="TX500468"/>
    <s v="Jeans"/>
    <n v="1"/>
    <n v="42.6"/>
    <n v="42.6"/>
    <d v="2025-01-21T00:00:00"/>
    <d v="2025-01-25T00:00:00"/>
    <s v="F"/>
    <x v="3"/>
    <n v="4"/>
    <s v="California"/>
    <s v="Contra Costa County"/>
    <n v="4"/>
    <n v="4"/>
    <x v="2"/>
  </r>
  <r>
    <s v="TX500469"/>
    <s v="Sandals"/>
    <n v="5"/>
    <n v="49"/>
    <n v="245"/>
    <d v="2025-01-21T00:00:00"/>
    <d v="2025-01-22T00:00:00"/>
    <s v="M"/>
    <x v="0"/>
    <n v="4"/>
    <s v="California"/>
    <s v="Kern County"/>
    <n v="1"/>
    <n v="4"/>
    <x v="1"/>
  </r>
  <r>
    <s v="TX500470"/>
    <s v="T-Shirts"/>
    <n v="3"/>
    <n v="31.3"/>
    <n v="93.9"/>
    <d v="2025-01-21T00:00:00"/>
    <d v="2025-01-22T00:00:00"/>
    <s v="M"/>
    <x v="2"/>
    <n v="3"/>
    <s v="California"/>
    <s v="Los Angeles County"/>
    <n v="1"/>
    <n v="4"/>
    <x v="1"/>
  </r>
  <r>
    <s v="TX500471"/>
    <s v="Sneakers"/>
    <n v="2"/>
    <n v="85.4"/>
    <n v="170.8"/>
    <d v="2025-01-21T00:00:00"/>
    <d v="2025-01-22T00:00:00"/>
    <s v="F"/>
    <x v="2"/>
    <n v="4"/>
    <s v="California"/>
    <s v="Los Angeles County"/>
    <n v="1"/>
    <n v="4"/>
    <x v="2"/>
  </r>
  <r>
    <s v="TX500472"/>
    <s v="T-Shirts"/>
    <n v="4"/>
    <n v="40"/>
    <n v="160"/>
    <d v="2025-01-21T00:00:00"/>
    <d v="2025-01-22T00:00:00"/>
    <s v="O"/>
    <x v="0"/>
    <n v="5"/>
    <s v="California"/>
    <s v="Los Angeles County"/>
    <n v="1"/>
    <n v="4"/>
    <x v="3"/>
  </r>
  <r>
    <s v="TX500473"/>
    <s v="Sandals"/>
    <n v="2"/>
    <n v="38.5"/>
    <n v="77"/>
    <d v="2025-01-21T00:00:00"/>
    <d v="2025-01-24T00:00:00"/>
    <s v="M"/>
    <x v="1"/>
    <n v="5"/>
    <s v="California"/>
    <s v="Los Angeles County"/>
    <n v="3"/>
    <n v="4"/>
    <x v="1"/>
  </r>
  <r>
    <s v="TX500474"/>
    <s v="Sneakers"/>
    <n v="2"/>
    <n v="57.8"/>
    <n v="115.6"/>
    <d v="2025-01-21T00:00:00"/>
    <d v="2025-01-22T00:00:00"/>
    <s v=""/>
    <x v="0"/>
    <n v="4"/>
    <s v="California"/>
    <s v="Los Angeles County"/>
    <n v="1"/>
    <n v="4"/>
    <x v="0"/>
  </r>
  <r>
    <s v="TX500475"/>
    <s v="T-Shirts"/>
    <n v="1"/>
    <n v="19.2"/>
    <n v="19.2"/>
    <d v="2025-01-21T00:00:00"/>
    <d v="2025-01-22T00:00:00"/>
    <s v="F"/>
    <x v="0"/>
    <n v="2"/>
    <s v="California"/>
    <s v="Los Angeles County"/>
    <n v="1"/>
    <n v="4"/>
    <x v="2"/>
  </r>
  <r>
    <s v="TX500476"/>
    <s v="Jeans"/>
    <n v="6"/>
    <n v="114.8"/>
    <n v="688.8"/>
    <d v="2025-01-21T00:00:00"/>
    <d v="2025-01-24T00:00:00"/>
    <s v="M"/>
    <x v="1"/>
    <n v="3"/>
    <s v="California"/>
    <s v="Los Angeles County"/>
    <n v="3"/>
    <n v="4"/>
    <x v="1"/>
  </r>
  <r>
    <s v="TX500477"/>
    <s v="Bikinis"/>
    <n v="7"/>
    <n v="48.4"/>
    <n v="338.8"/>
    <d v="2025-01-21T00:00:00"/>
    <d v="2025-01-24T00:00:00"/>
    <s v="F"/>
    <x v="3"/>
    <n v="3"/>
    <s v="California"/>
    <s v="Los Angeles County"/>
    <n v="3"/>
    <n v="4"/>
    <x v="2"/>
  </r>
  <r>
    <s v="TX500478"/>
    <s v="Sundresses"/>
    <n v="5"/>
    <n v="73.2"/>
    <n v="366"/>
    <d v="2025-01-21T00:00:00"/>
    <d v="2025-01-22T00:00:00"/>
    <s v="F"/>
    <x v="1"/>
    <n v="2"/>
    <s v="California"/>
    <s v="Los Angeles County"/>
    <n v="1"/>
    <n v="4"/>
    <x v="2"/>
  </r>
  <r>
    <s v="TX500479"/>
    <s v="Crop Tops"/>
    <n v="2"/>
    <n v="48.6"/>
    <n v="97.2"/>
    <d v="2025-01-21T00:00:00"/>
    <d v="2025-01-25T00:00:00"/>
    <s v="F"/>
    <x v="3"/>
    <n v="4"/>
    <s v="California"/>
    <s v="Los Angeles County"/>
    <n v="4"/>
    <n v="4"/>
    <x v="2"/>
  </r>
  <r>
    <s v="TX500480"/>
    <s v="Shorts"/>
    <n v="6"/>
    <n v="48.7"/>
    <n v="292.20000000000005"/>
    <d v="2025-01-21T00:00:00"/>
    <d v="2025-01-22T00:00:00"/>
    <s v="M"/>
    <x v="0"/>
    <n v="4"/>
    <s v="California"/>
    <s v="Los Angeles County"/>
    <n v="1"/>
    <n v="4"/>
    <x v="1"/>
  </r>
  <r>
    <s v="TX500481"/>
    <s v="Graphic Tees"/>
    <n v="2"/>
    <n v="32.200000000000003"/>
    <n v="64.400000000000006"/>
    <d v="2025-01-21T00:00:00"/>
    <d v="2025-01-24T00:00:00"/>
    <s v="M"/>
    <x v="2"/>
    <n v="5"/>
    <s v="California"/>
    <s v="Los Angeles County"/>
    <n v="3"/>
    <n v="4"/>
    <x v="1"/>
  </r>
  <r>
    <s v="TX500482"/>
    <s v="Crop Tops"/>
    <n v="8"/>
    <n v="25.8"/>
    <n v="206.4"/>
    <d v="2025-01-21T00:00:00"/>
    <d v="2025-01-22T00:00:00"/>
    <s v="M"/>
    <x v="0"/>
    <n v="4"/>
    <s v="California"/>
    <s v="Madera County"/>
    <n v="1"/>
    <n v="4"/>
    <x v="1"/>
  </r>
  <r>
    <s v="TX500483"/>
    <s v="Jeans"/>
    <n v="2"/>
    <n v="94.8"/>
    <n v="189.6"/>
    <d v="2025-01-22T00:00:00"/>
    <d v="2025-01-25T00:00:00"/>
    <s v="F"/>
    <x v="1"/>
    <n v="3"/>
    <s v="California"/>
    <s v="Orange County"/>
    <n v="3"/>
    <n v="4"/>
    <x v="2"/>
  </r>
  <r>
    <s v="TX500484"/>
    <s v="Crop Tops"/>
    <n v="25"/>
    <n v="56.8"/>
    <n v="1420"/>
    <d v="2025-01-22T00:00:00"/>
    <d v="2025-01-25T00:00:00"/>
    <s v="M"/>
    <x v="0"/>
    <n v="4"/>
    <s v="California"/>
    <s v="Orange County"/>
    <n v="3"/>
    <n v="4"/>
    <x v="1"/>
  </r>
  <r>
    <s v="TX500485"/>
    <s v="T-Shirts"/>
    <n v="16"/>
    <n v="18.3"/>
    <n v="292.8"/>
    <d v="2025-01-22T00:00:00"/>
    <d v="2025-01-29T00:00:00"/>
    <s v="F"/>
    <x v="2"/>
    <n v="5"/>
    <s v="California"/>
    <s v="Riverside County"/>
    <n v="7"/>
    <n v="4"/>
    <x v="2"/>
  </r>
  <r>
    <s v="TX500486"/>
    <s v="Shorts"/>
    <n v="3"/>
    <n v="16.8"/>
    <n v="50.400000000000006"/>
    <d v="2025-01-22T00:00:00"/>
    <d v="2025-01-27T00:00:00"/>
    <s v="F"/>
    <x v="2"/>
    <n v="5"/>
    <s v="California"/>
    <s v="San Diego County"/>
    <n v="5"/>
    <n v="4"/>
    <x v="2"/>
  </r>
  <r>
    <s v="TX500487"/>
    <s v="Sandals"/>
    <n v="11"/>
    <n v="35.799999999999997"/>
    <n v="393.79999999999995"/>
    <d v="2025-01-22T00:00:00"/>
    <d v="2025-01-23T00:00:00"/>
    <s v="M"/>
    <x v="1"/>
    <n v="4"/>
    <s v="California"/>
    <s v="San Francisco"/>
    <n v="1"/>
    <n v="4"/>
    <x v="1"/>
  </r>
  <r>
    <s v="TX500488"/>
    <s v="Leggings"/>
    <n v="1"/>
    <n v="64.900000000000006"/>
    <n v="64.900000000000006"/>
    <d v="2025-01-22T00:00:00"/>
    <d v="2025-01-23T00:00:00"/>
    <s v="M"/>
    <x v="0"/>
    <n v="3"/>
    <s v="California"/>
    <s v="San Francisco"/>
    <n v="1"/>
    <n v="4"/>
    <x v="1"/>
  </r>
  <r>
    <s v="TX500489"/>
    <s v="Leggings"/>
    <n v="1"/>
    <n v="28.5"/>
    <n v="28.5"/>
    <d v="2025-01-22T00:00:00"/>
    <d v="2025-01-24T00:00:00"/>
    <s v=""/>
    <x v="1"/>
    <n v="4"/>
    <s v="California"/>
    <s v="San Mateo County"/>
    <n v="2"/>
    <n v="4"/>
    <x v="0"/>
  </r>
  <r>
    <s v="TX500490"/>
    <s v="Leggings"/>
    <n v="2"/>
    <n v="103.5"/>
    <n v="207"/>
    <d v="2025-01-22T00:00:00"/>
    <d v="2025-01-24T00:00:00"/>
    <s v="F"/>
    <x v="1"/>
    <n v="4"/>
    <s v="California"/>
    <s v="Santa Barbara County"/>
    <n v="2"/>
    <n v="4"/>
    <x v="2"/>
  </r>
  <r>
    <s v="TX500491"/>
    <s v="Graphic Tees"/>
    <n v="2"/>
    <n v="41.2"/>
    <n v="82.4"/>
    <d v="2025-01-22T00:00:00"/>
    <d v="2025-01-23T00:00:00"/>
    <s v="F"/>
    <x v="1"/>
    <n v="4"/>
    <s v="California"/>
    <s v="Santa Barbara County"/>
    <n v="1"/>
    <n v="4"/>
    <x v="2"/>
  </r>
  <r>
    <s v="TX500492"/>
    <s v="Sundresses"/>
    <n v="1"/>
    <n v="37.799999999999997"/>
    <n v="37.799999999999997"/>
    <d v="2025-01-22T00:00:00"/>
    <d v="2025-01-24T00:00:00"/>
    <s v="F"/>
    <x v="3"/>
    <n v="1"/>
    <s v="California"/>
    <s v="Santa Clara County"/>
    <n v="2"/>
    <n v="4"/>
    <x v="2"/>
  </r>
  <r>
    <s v="TX500493"/>
    <s v="T-Shirts"/>
    <n v="2"/>
    <n v="42.6"/>
    <n v="85.2"/>
    <d v="2025-01-22T00:00:00"/>
    <d v="2025-01-24T00:00:00"/>
    <s v="F"/>
    <x v="4"/>
    <n v="4"/>
    <s v="California"/>
    <s v="Santa Clara County"/>
    <n v="2"/>
    <n v="4"/>
    <x v="2"/>
  </r>
  <r>
    <s v="TX500494"/>
    <s v="T-Shirts"/>
    <n v="10"/>
    <n v="15.2"/>
    <n v="152"/>
    <d v="2025-01-22T00:00:00"/>
    <d v="2025-01-24T00:00:00"/>
    <s v="F"/>
    <x v="2"/>
    <n v="4"/>
    <s v="California"/>
    <s v="Santa Clara County"/>
    <n v="2"/>
    <n v="4"/>
    <x v="2"/>
  </r>
  <r>
    <s v="TX500495"/>
    <s v="Hoodies &amp; Sweatshirts"/>
    <n v="4"/>
    <n v="83.4"/>
    <n v="333.6"/>
    <d v="2025-01-22T00:00:00"/>
    <d v="2025-01-23T00:00:00"/>
    <s v="F"/>
    <x v="2"/>
    <n v="3"/>
    <s v="California"/>
    <s v="Sonoma County"/>
    <n v="1"/>
    <n v="4"/>
    <x v="2"/>
  </r>
  <r>
    <s v="TX500496"/>
    <s v="Jewelry"/>
    <n v="2"/>
    <n v="27.7"/>
    <n v="55.4"/>
    <d v="2025-01-22T00:00:00"/>
    <d v="2025-01-23T00:00:00"/>
    <s v="F"/>
    <x v="0"/>
    <n v="3"/>
    <s v="California"/>
    <s v="Ventura County"/>
    <n v="1"/>
    <n v="4"/>
    <x v="2"/>
  </r>
  <r>
    <s v="TX500497"/>
    <s v="Bikinis"/>
    <n v="12"/>
    <n v="20.8"/>
    <n v="249.60000000000002"/>
    <d v="2025-01-22T00:00:00"/>
    <d v="2025-01-23T00:00:00"/>
    <s v="M"/>
    <x v="3"/>
    <n v="4"/>
    <s v="California"/>
    <s v="Ventura County"/>
    <n v="1"/>
    <n v="4"/>
    <x v="1"/>
  </r>
  <r>
    <s v="TX500498"/>
    <s v="Maxi Dresses"/>
    <n v="2"/>
    <n v="72.7"/>
    <n v="145.4"/>
    <d v="2025-01-22T00:00:00"/>
    <d v="2025-01-26T00:00:00"/>
    <s v="F"/>
    <x v="4"/>
    <n v="5"/>
    <s v="California"/>
    <s v="Humboldt County"/>
    <n v="4"/>
    <n v="4"/>
    <x v="2"/>
  </r>
  <r>
    <s v="TX500499"/>
    <s v="Bikinis"/>
    <n v="4"/>
    <n v="38.6"/>
    <n v="154.4"/>
    <d v="2025-01-22T00:00:00"/>
    <d v="2025-01-23T00:00:00"/>
    <s v="M"/>
    <x v="0"/>
    <n v="5"/>
    <s v="California"/>
    <s v="Kern County"/>
    <n v="1"/>
    <n v="4"/>
    <x v="1"/>
  </r>
  <r>
    <s v="TX500500"/>
    <s v="T-Shirts"/>
    <n v="7"/>
    <n v="33.1"/>
    <n v="231.70000000000002"/>
    <d v="2025-01-22T00:00:00"/>
    <d v="2025-01-23T00:00:00"/>
    <s v="O"/>
    <x v="4"/>
    <n v="1"/>
    <s v="California"/>
    <s v="Los Angeles County"/>
    <n v="1"/>
    <n v="4"/>
    <x v="3"/>
  </r>
  <r>
    <s v="TX500501"/>
    <s v="Bikinis"/>
    <n v="2"/>
    <n v="30.5"/>
    <n v="61"/>
    <d v="2025-01-22T00:00:00"/>
    <d v="2025-01-22T00:00:00"/>
    <s v=""/>
    <x v="1"/>
    <n v="3"/>
    <s v="California"/>
    <s v="Los Angeles County"/>
    <n v="0"/>
    <n v="4"/>
    <x v="0"/>
  </r>
  <r>
    <s v="TX500502"/>
    <s v="Sundresses"/>
    <n v="2"/>
    <n v="69.599999999999994"/>
    <n v="139.19999999999999"/>
    <d v="2025-01-22T00:00:00"/>
    <d v="2025-01-23T00:00:00"/>
    <s v="M"/>
    <x v="0"/>
    <n v="3"/>
    <s v="California"/>
    <s v="Los Angeles County"/>
    <n v="1"/>
    <n v="4"/>
    <x v="1"/>
  </r>
  <r>
    <s v="TX500503"/>
    <s v="Maxi Dresses"/>
    <n v="1"/>
    <n v="42.4"/>
    <n v="42.4"/>
    <d v="2025-01-22T00:00:00"/>
    <d v="2025-01-26T00:00:00"/>
    <s v="F"/>
    <x v="1"/>
    <n v="4"/>
    <s v="California"/>
    <s v="Los Angeles County"/>
    <n v="4"/>
    <n v="4"/>
    <x v="2"/>
  </r>
  <r>
    <s v="TX500504"/>
    <s v="Pajama Sets"/>
    <n v="1"/>
    <n v="32.200000000000003"/>
    <n v="32.200000000000003"/>
    <d v="2025-01-22T00:00:00"/>
    <d v="2025-01-25T00:00:00"/>
    <s v="F"/>
    <x v="2"/>
    <n v="3"/>
    <s v="California"/>
    <s v="Los Angeles County"/>
    <n v="3"/>
    <n v="4"/>
    <x v="2"/>
  </r>
  <r>
    <s v="TX500505"/>
    <s v="Jeans"/>
    <n v="2"/>
    <n v="41.5"/>
    <n v="83"/>
    <d v="2025-01-22T00:00:00"/>
    <d v="2025-01-25T00:00:00"/>
    <s v="F"/>
    <x v="0"/>
    <n v="5"/>
    <s v="California"/>
    <s v="Los Angeles County"/>
    <n v="3"/>
    <n v="4"/>
    <x v="2"/>
  </r>
  <r>
    <s v="TX500506"/>
    <s v="Sunglasses"/>
    <n v="9"/>
    <n v="58.9"/>
    <n v="530.1"/>
    <d v="2025-01-22T00:00:00"/>
    <d v="2025-01-26T00:00:00"/>
    <s v="F"/>
    <x v="3"/>
    <n v="4"/>
    <s v="California"/>
    <s v="Los Angeles County"/>
    <n v="4"/>
    <n v="4"/>
    <x v="2"/>
  </r>
  <r>
    <s v="TX500507"/>
    <s v="Sneakers"/>
    <n v="1"/>
    <n v="57.1"/>
    <n v="57.1"/>
    <d v="2025-01-22T00:00:00"/>
    <d v="2025-01-25T00:00:00"/>
    <s v="F"/>
    <x v="1"/>
    <n v="4"/>
    <s v="California"/>
    <s v="Los Angeles County"/>
    <n v="3"/>
    <n v="4"/>
    <x v="2"/>
  </r>
  <r>
    <s v="TX500508"/>
    <s v="Jeans"/>
    <n v="1"/>
    <n v="57.2"/>
    <n v="57.2"/>
    <d v="2025-01-22T00:00:00"/>
    <d v="2025-01-24T00:00:00"/>
    <s v="M"/>
    <x v="1"/>
    <n v="4"/>
    <s v="California"/>
    <s v="Los Angeles County"/>
    <n v="2"/>
    <n v="4"/>
    <x v="1"/>
  </r>
  <r>
    <s v="TX500509"/>
    <s v="T-Shirts"/>
    <n v="2"/>
    <n v="35.1"/>
    <n v="70.2"/>
    <d v="2025-01-22T00:00:00"/>
    <d v="2025-01-23T00:00:00"/>
    <s v="M"/>
    <x v="1"/>
    <n v="4"/>
    <s v="California"/>
    <s v="Sacramento County"/>
    <n v="1"/>
    <n v="4"/>
    <x v="1"/>
  </r>
  <r>
    <s v="TX500510"/>
    <s v="Tank Tops"/>
    <n v="1"/>
    <n v="52.1"/>
    <n v="52.1"/>
    <d v="2025-01-22T00:00:00"/>
    <d v="2025-01-24T00:00:00"/>
    <s v="F"/>
    <x v="4"/>
    <n v="3"/>
    <s v="California"/>
    <s v="San Diego County"/>
    <n v="2"/>
    <n v="4"/>
    <x v="2"/>
  </r>
  <r>
    <s v="TX500511"/>
    <s v="Tote Bags"/>
    <n v="3"/>
    <n v="59.8"/>
    <n v="179.39999999999998"/>
    <d v="2025-01-22T00:00:00"/>
    <d v="2025-01-24T00:00:00"/>
    <s v="F"/>
    <x v="4"/>
    <n v="3"/>
    <s v="California"/>
    <s v="San Diego County"/>
    <n v="2"/>
    <n v="4"/>
    <x v="2"/>
  </r>
  <r>
    <s v="TX500512"/>
    <s v="Workout Tops"/>
    <n v="4"/>
    <n v="83.3"/>
    <n v="333.2"/>
    <d v="2025-01-22T00:00:00"/>
    <d v="2025-01-22T00:00:00"/>
    <s v=""/>
    <x v="2"/>
    <n v="4"/>
    <s v="California"/>
    <s v="San Diego County"/>
    <n v="0"/>
    <n v="4"/>
    <x v="0"/>
  </r>
  <r>
    <s v="TX500513"/>
    <s v="Crop Tops"/>
    <n v="12"/>
    <n v="41.3"/>
    <n v="495.59999999999997"/>
    <d v="2025-01-22T00:00:00"/>
    <d v="2025-01-23T00:00:00"/>
    <s v="F"/>
    <x v="1"/>
    <n v="4"/>
    <s v="California"/>
    <s v="San Diego County"/>
    <n v="1"/>
    <n v="4"/>
    <x v="2"/>
  </r>
  <r>
    <s v="TX500514"/>
    <s v="T-Shirts"/>
    <n v="5"/>
    <n v="16"/>
    <n v="80"/>
    <d v="2025-01-22T00:00:00"/>
    <d v="2025-01-24T00:00:00"/>
    <s v="M"/>
    <x v="4"/>
    <n v="3"/>
    <s v="California"/>
    <s v="San Mateo County"/>
    <n v="2"/>
    <n v="4"/>
    <x v="1"/>
  </r>
  <r>
    <s v="TX500515"/>
    <s v="Bikinis"/>
    <n v="2"/>
    <n v="20.8"/>
    <n v="41.6"/>
    <d v="2025-01-23T00:00:00"/>
    <d v="2025-01-25T00:00:00"/>
    <s v="M"/>
    <x v="0"/>
    <n v="5"/>
    <s v="California"/>
    <s v="Santa Clara County"/>
    <n v="2"/>
    <n v="4"/>
    <x v="1"/>
  </r>
  <r>
    <s v="TX500516"/>
    <s v="T-Shirts"/>
    <n v="28"/>
    <n v="27.1"/>
    <n v="758.80000000000007"/>
    <d v="2025-01-23T00:00:00"/>
    <d v="2025-01-24T00:00:00"/>
    <s v=""/>
    <x v="3"/>
    <n v="5"/>
    <s v="California"/>
    <s v="Santa Clara County"/>
    <n v="1"/>
    <n v="4"/>
    <x v="0"/>
  </r>
  <r>
    <s v="TX500517"/>
    <s v="Bikinis"/>
    <n v="2"/>
    <n v="38.9"/>
    <n v="77.8"/>
    <d v="2025-01-23T00:00:00"/>
    <d v="2025-01-25T00:00:00"/>
    <s v="F"/>
    <x v="0"/>
    <n v="4"/>
    <s v="California"/>
    <s v="Sonoma County"/>
    <n v="2"/>
    <n v="4"/>
    <x v="2"/>
  </r>
  <r>
    <s v="TX500518"/>
    <s v="Shorts"/>
    <n v="2"/>
    <n v="10.8"/>
    <n v="21.6"/>
    <d v="2025-01-23T00:00:00"/>
    <d v="2025-01-26T00:00:00"/>
    <s v="F"/>
    <x v="1"/>
    <n v="5"/>
    <s v="California"/>
    <s v="Trinity County"/>
    <n v="3"/>
    <n v="4"/>
    <x v="2"/>
  </r>
  <r>
    <s v="TX500519"/>
    <s v="Graphic Tees"/>
    <n v="13"/>
    <n v="48.4"/>
    <n v="629.19999999999993"/>
    <d v="2025-01-23T00:00:00"/>
    <d v="2025-01-27T00:00:00"/>
    <s v="F"/>
    <x v="0"/>
    <n v="4"/>
    <s v="California"/>
    <s v="Alameda County"/>
    <n v="4"/>
    <n v="4"/>
    <x v="2"/>
  </r>
  <r>
    <s v="TX500520"/>
    <s v="Graphic Tees"/>
    <n v="3"/>
    <n v="29.2"/>
    <n v="87.6"/>
    <d v="2025-01-23T00:00:00"/>
    <d v="2025-01-26T00:00:00"/>
    <s v="F"/>
    <x v="1"/>
    <n v="3"/>
    <s v="California"/>
    <s v="Fresno County"/>
    <n v="3"/>
    <n v="4"/>
    <x v="2"/>
  </r>
  <r>
    <s v="TX500521"/>
    <s v="Graphic Tees"/>
    <n v="2"/>
    <n v="25.1"/>
    <n v="50.2"/>
    <d v="2025-01-23T00:00:00"/>
    <d v="2025-01-24T00:00:00"/>
    <s v="M"/>
    <x v="0"/>
    <n v="3"/>
    <s v="California"/>
    <s v="Fresno County"/>
    <n v="1"/>
    <n v="4"/>
    <x v="1"/>
  </r>
  <r>
    <s v="TX500522"/>
    <s v="Hoodies &amp; Sweatshirts"/>
    <n v="3"/>
    <n v="65.599999999999994"/>
    <n v="196.79999999999998"/>
    <d v="2025-01-23T00:00:00"/>
    <d v="2025-01-23T00:00:00"/>
    <s v="F"/>
    <x v="2"/>
    <n v="3"/>
    <s v="California"/>
    <s v="Los Angeles County"/>
    <n v="0"/>
    <n v="4"/>
    <x v="2"/>
  </r>
  <r>
    <s v="TX500523"/>
    <s v="Sneakers"/>
    <n v="2"/>
    <n v="57.3"/>
    <n v="114.6"/>
    <d v="2025-01-23T00:00:00"/>
    <d v="2025-01-23T00:00:00"/>
    <s v=""/>
    <x v="0"/>
    <n v="4"/>
    <s v="California"/>
    <s v="Los Angeles County"/>
    <n v="0"/>
    <n v="4"/>
    <x v="0"/>
  </r>
  <r>
    <s v="TX500524"/>
    <s v="Sundresses"/>
    <n v="4"/>
    <n v="22.4"/>
    <n v="89.6"/>
    <d v="2025-01-23T00:00:00"/>
    <d v="2025-01-24T00:00:00"/>
    <s v="F"/>
    <x v="2"/>
    <n v="5"/>
    <s v="California"/>
    <s v="Los Angeles County"/>
    <n v="1"/>
    <n v="4"/>
    <x v="2"/>
  </r>
  <r>
    <s v="TX500525"/>
    <s v="Casual Dresses"/>
    <n v="9"/>
    <n v="45.7"/>
    <n v="411.3"/>
    <d v="2025-01-23T00:00:00"/>
    <d v="2025-01-24T00:00:00"/>
    <s v="F"/>
    <x v="0"/>
    <n v="4"/>
    <s v="California"/>
    <s v="Los Angeles County"/>
    <n v="1"/>
    <n v="4"/>
    <x v="2"/>
  </r>
  <r>
    <s v="TX500526"/>
    <s v="T-Shirts"/>
    <n v="2"/>
    <n v="29.3"/>
    <n v="58.6"/>
    <d v="2025-01-23T00:00:00"/>
    <d v="2025-01-24T00:00:00"/>
    <s v="M"/>
    <x v="1"/>
    <n v="4"/>
    <s v="California"/>
    <s v="Los Angeles County"/>
    <n v="1"/>
    <n v="4"/>
    <x v="1"/>
  </r>
  <r>
    <s v="TX500527"/>
    <s v="Leggings"/>
    <n v="22"/>
    <n v="74"/>
    <n v="1628"/>
    <d v="2025-01-23T00:00:00"/>
    <d v="2025-01-24T00:00:00"/>
    <s v="M"/>
    <x v="0"/>
    <n v="5"/>
    <s v="California"/>
    <s v="Los Angeles County"/>
    <n v="1"/>
    <n v="4"/>
    <x v="1"/>
  </r>
  <r>
    <s v="TX500528"/>
    <s v="Baseball Caps"/>
    <n v="2"/>
    <n v="39.200000000000003"/>
    <n v="78.400000000000006"/>
    <d v="2025-01-23T00:00:00"/>
    <d v="2025-01-25T00:00:00"/>
    <s v="F"/>
    <x v="1"/>
    <n v="4"/>
    <s v="California"/>
    <s v="Los Angeles County"/>
    <n v="2"/>
    <n v="4"/>
    <x v="2"/>
  </r>
  <r>
    <s v="TX500529"/>
    <s v="Graphic Tees"/>
    <n v="17"/>
    <n v="62.7"/>
    <n v="1065.9000000000001"/>
    <d v="2025-01-23T00:00:00"/>
    <d v="2025-01-24T00:00:00"/>
    <s v="F"/>
    <x v="2"/>
    <n v="3"/>
    <s v="California"/>
    <s v="Los Angeles County"/>
    <n v="1"/>
    <n v="4"/>
    <x v="2"/>
  </r>
  <r>
    <s v="TX500530"/>
    <s v="Bikinis"/>
    <n v="2"/>
    <n v="60.1"/>
    <n v="120.2"/>
    <d v="2025-01-23T00:00:00"/>
    <d v="2025-01-24T00:00:00"/>
    <s v="F"/>
    <x v="3"/>
    <n v="4"/>
    <s v="California"/>
    <s v="Los Angeles County"/>
    <n v="1"/>
    <n v="4"/>
    <x v="2"/>
  </r>
  <r>
    <s v="TX500531"/>
    <s v="Shorts"/>
    <n v="4"/>
    <n v="11.2"/>
    <n v="44.8"/>
    <d v="2025-01-23T00:00:00"/>
    <d v="2025-01-24T00:00:00"/>
    <s v="F"/>
    <x v="3"/>
    <n v="3"/>
    <s v="California"/>
    <s v="Los Angeles County"/>
    <n v="1"/>
    <n v="4"/>
    <x v="2"/>
  </r>
  <r>
    <s v="TX500532"/>
    <s v="T-Shirts"/>
    <n v="2"/>
    <n v="22.9"/>
    <n v="45.8"/>
    <d v="2025-01-23T00:00:00"/>
    <d v="2025-01-24T00:00:00"/>
    <s v="F"/>
    <x v="0"/>
    <n v="4"/>
    <s v="California"/>
    <s v="Sacramento County"/>
    <n v="1"/>
    <n v="4"/>
    <x v="2"/>
  </r>
  <r>
    <s v="TX500533"/>
    <s v="Tank Tops"/>
    <n v="2"/>
    <n v="37.6"/>
    <n v="75.2"/>
    <d v="2025-01-23T00:00:00"/>
    <d v="2025-01-26T00:00:00"/>
    <s v="F"/>
    <x v="0"/>
    <n v="4"/>
    <s v="California"/>
    <s v="Sacramento County"/>
    <n v="3"/>
    <n v="4"/>
    <x v="2"/>
  </r>
  <r>
    <s v="TX500534"/>
    <s v="Jeans"/>
    <n v="1"/>
    <n v="42.4"/>
    <n v="42.4"/>
    <d v="2025-01-23T00:00:00"/>
    <d v="2025-01-24T00:00:00"/>
    <s v="F"/>
    <x v="3"/>
    <n v="5"/>
    <s v="California"/>
    <s v="Sacramento County"/>
    <n v="1"/>
    <n v="4"/>
    <x v="2"/>
  </r>
  <r>
    <s v="TX500535"/>
    <s v="T-Shirts"/>
    <n v="2"/>
    <n v="19.600000000000001"/>
    <n v="39.200000000000003"/>
    <d v="2025-01-23T00:00:00"/>
    <d v="2025-01-27T00:00:00"/>
    <s v="F"/>
    <x v="2"/>
    <n v="4"/>
    <s v="California"/>
    <s v="San Bernardino County"/>
    <n v="4"/>
    <n v="4"/>
    <x v="2"/>
  </r>
  <r>
    <s v="TX500536"/>
    <s v="Sundresses"/>
    <n v="1"/>
    <n v="90.5"/>
    <n v="90.5"/>
    <d v="2025-01-23T00:00:00"/>
    <d v="2025-01-26T00:00:00"/>
    <s v="F"/>
    <x v="2"/>
    <n v="4"/>
    <s v="California"/>
    <s v="San Bernardino County"/>
    <n v="3"/>
    <n v="4"/>
    <x v="2"/>
  </r>
  <r>
    <s v="TX500537"/>
    <s v="Sunglasses"/>
    <n v="11"/>
    <n v="33.9"/>
    <n v="372.9"/>
    <d v="2025-01-23T00:00:00"/>
    <d v="2025-01-24T00:00:00"/>
    <s v="M"/>
    <x v="2"/>
    <n v="3"/>
    <s v="California"/>
    <s v="San Bernardino County"/>
    <n v="1"/>
    <n v="4"/>
    <x v="1"/>
  </r>
  <r>
    <s v="TX500538"/>
    <s v="Shorts"/>
    <n v="2"/>
    <n v="32.799999999999997"/>
    <n v="65.599999999999994"/>
    <d v="2025-01-23T00:00:00"/>
    <d v="2025-01-25T00:00:00"/>
    <s v="F"/>
    <x v="4"/>
    <n v="2"/>
    <s v="California"/>
    <s v="San Diego County"/>
    <n v="2"/>
    <n v="4"/>
    <x v="2"/>
  </r>
  <r>
    <s v="TX500539"/>
    <s v="Crop Tops"/>
    <n v="1"/>
    <n v="49.9"/>
    <n v="49.9"/>
    <d v="2025-01-23T00:00:00"/>
    <d v="2025-01-24T00:00:00"/>
    <s v="M"/>
    <x v="3"/>
    <n v="3"/>
    <s v="California"/>
    <s v="San Diego County"/>
    <n v="1"/>
    <n v="4"/>
    <x v="1"/>
  </r>
  <r>
    <s v="TX500540"/>
    <s v="Hoodies &amp; Sweatshirts"/>
    <n v="5"/>
    <n v="79.2"/>
    <n v="396"/>
    <d v="2025-01-23T00:00:00"/>
    <d v="2025-01-24T00:00:00"/>
    <s v="F"/>
    <x v="4"/>
    <n v="4"/>
    <s v="California"/>
    <s v="San Diego County"/>
    <n v="1"/>
    <n v="4"/>
    <x v="2"/>
  </r>
  <r>
    <s v="TX500541"/>
    <s v="T-Shirts"/>
    <n v="16"/>
    <n v="19.5"/>
    <n v="312"/>
    <d v="2025-01-23T00:00:00"/>
    <d v="2025-01-25T00:00:00"/>
    <s v="M"/>
    <x v="3"/>
    <n v="5"/>
    <s v="California"/>
    <s v="San Diego County"/>
    <n v="2"/>
    <n v="4"/>
    <x v="1"/>
  </r>
  <r>
    <s v="TX500542"/>
    <s v="T-Shirts"/>
    <n v="4"/>
    <n v="18"/>
    <n v="72"/>
    <d v="2025-01-23T00:00:00"/>
    <d v="2025-01-24T00:00:00"/>
    <s v="M"/>
    <x v="1"/>
    <n v="4"/>
    <s v="California"/>
    <s v="Santa Barbara County"/>
    <n v="1"/>
    <n v="4"/>
    <x v="1"/>
  </r>
  <r>
    <s v="TX500543"/>
    <s v="Sundresses"/>
    <n v="3"/>
    <n v="45.9"/>
    <n v="137.69999999999999"/>
    <d v="2025-01-23T00:00:00"/>
    <d v="2025-01-25T00:00:00"/>
    <s v="F"/>
    <x v="1"/>
    <n v="3"/>
    <s v="California"/>
    <s v="Santa Barbara County"/>
    <n v="2"/>
    <n v="4"/>
    <x v="2"/>
  </r>
  <r>
    <s v="TX500544"/>
    <s v="Maxi Dresses"/>
    <n v="1"/>
    <n v="41.2"/>
    <n v="41.2"/>
    <d v="2025-01-23T00:00:00"/>
    <d v="2025-01-25T00:00:00"/>
    <s v="F"/>
    <x v="1"/>
    <n v="5"/>
    <s v="California"/>
    <s v="Santa Clara County"/>
    <n v="2"/>
    <n v="4"/>
    <x v="2"/>
  </r>
  <r>
    <s v="TX500545"/>
    <s v="Sneakers"/>
    <n v="10"/>
    <n v="167.2"/>
    <n v="1672"/>
    <d v="2025-01-23T00:00:00"/>
    <d v="2025-01-25T00:00:00"/>
    <s v="F"/>
    <x v="2"/>
    <n v="5"/>
    <s v="California"/>
    <s v="Santa Cruz County"/>
    <n v="2"/>
    <n v="4"/>
    <x v="2"/>
  </r>
  <r>
    <s v="TX500546"/>
    <s v="Jeans"/>
    <n v="30"/>
    <n v="74.5"/>
    <n v="2235"/>
    <d v="2025-01-24T00:00:00"/>
    <d v="2025-01-27T00:00:00"/>
    <s v="F"/>
    <x v="1"/>
    <n v="5"/>
    <s v="California"/>
    <s v="Solano County"/>
    <n v="3"/>
    <n v="4"/>
    <x v="2"/>
  </r>
  <r>
    <s v="TX500547"/>
    <s v="Hoodies &amp; Sweatshirts"/>
    <n v="4"/>
    <n v="39.299999999999997"/>
    <n v="157.19999999999999"/>
    <d v="2025-01-24T00:00:00"/>
    <d v="2025-01-25T00:00:00"/>
    <s v=""/>
    <x v="2"/>
    <n v="4"/>
    <s v="California"/>
    <s v="Stanislaus County"/>
    <n v="1"/>
    <n v="4"/>
    <x v="0"/>
  </r>
  <r>
    <s v="TX500548"/>
    <s v="Sundresses"/>
    <n v="1"/>
    <n v="68.5"/>
    <n v="68.5"/>
    <d v="2025-01-24T00:00:00"/>
    <d v="2025-01-27T00:00:00"/>
    <s v="M"/>
    <x v="1"/>
    <n v="5"/>
    <s v="California"/>
    <s v="Tehama County"/>
    <n v="3"/>
    <n v="4"/>
    <x v="1"/>
  </r>
  <r>
    <s v="TX500549"/>
    <s v="Shorts"/>
    <n v="3"/>
    <n v="22.5"/>
    <n v="67.5"/>
    <d v="2025-01-24T00:00:00"/>
    <d v="2025-01-24T00:00:00"/>
    <s v="F"/>
    <x v="4"/>
    <n v="4"/>
    <s v="California"/>
    <s v="Ventura County"/>
    <n v="0"/>
    <n v="4"/>
    <x v="2"/>
  </r>
  <r>
    <s v="TX500550"/>
    <s v="Tank Tops"/>
    <n v="1"/>
    <n v="48"/>
    <n v="48"/>
    <d v="2025-01-24T00:00:00"/>
    <d v="2025-01-25T00:00:00"/>
    <s v="O"/>
    <x v="4"/>
    <n v="3"/>
    <s v="California"/>
    <s v="Amador County"/>
    <n v="1"/>
    <n v="4"/>
    <x v="3"/>
  </r>
  <r>
    <s v="TX500551"/>
    <s v="Jeans"/>
    <n v="1"/>
    <n v="94"/>
    <n v="94"/>
    <d v="2025-01-24T00:00:00"/>
    <d v="2025-01-25T00:00:00"/>
    <s v="M"/>
    <x v="3"/>
    <n v="3"/>
    <s v="California"/>
    <s v="Contra Costa County"/>
    <n v="1"/>
    <n v="4"/>
    <x v="1"/>
  </r>
  <r>
    <s v="TX500552"/>
    <s v="T-Shirts"/>
    <n v="3"/>
    <n v="21.9"/>
    <n v="65.699999999999989"/>
    <d v="2025-01-24T00:00:00"/>
    <d v="2025-01-25T00:00:00"/>
    <s v="F"/>
    <x v="0"/>
    <n v="4"/>
    <s v="California"/>
    <s v="Humboldt County"/>
    <n v="1"/>
    <n v="4"/>
    <x v="2"/>
  </r>
  <r>
    <s v="TX500553"/>
    <s v="Jeans"/>
    <n v="7"/>
    <n v="64.900000000000006"/>
    <n v="454.30000000000007"/>
    <d v="2025-01-24T00:00:00"/>
    <d v="2025-01-25T00:00:00"/>
    <s v="F"/>
    <x v="0"/>
    <n v="4"/>
    <s v="California"/>
    <s v="Los Angeles County"/>
    <n v="1"/>
    <n v="4"/>
    <x v="2"/>
  </r>
  <r>
    <s v="TX500554"/>
    <s v="Casual Dresses"/>
    <n v="1"/>
    <n v="52.9"/>
    <n v="52.9"/>
    <d v="2025-01-24T00:00:00"/>
    <d v="2025-01-24T00:00:00"/>
    <s v="F"/>
    <x v="1"/>
    <n v="3"/>
    <s v="California"/>
    <s v="Los Angeles County"/>
    <n v="0"/>
    <n v="4"/>
    <x v="2"/>
  </r>
  <r>
    <s v="TX500555"/>
    <s v="T-Shirts"/>
    <n v="3"/>
    <n v="25.5"/>
    <n v="76.5"/>
    <d v="2025-01-24T00:00:00"/>
    <d v="2025-01-25T00:00:00"/>
    <s v="F"/>
    <x v="1"/>
    <n v="5"/>
    <s v="California"/>
    <s v="Los Angeles County"/>
    <n v="1"/>
    <n v="4"/>
    <x v="2"/>
  </r>
  <r>
    <s v="TX500556"/>
    <s v="Jeans"/>
    <n v="3"/>
    <n v="51.9"/>
    <n v="155.69999999999999"/>
    <d v="2025-01-24T00:00:00"/>
    <d v="2025-01-25T00:00:00"/>
    <s v="F"/>
    <x v="3"/>
    <n v="4"/>
    <s v="California"/>
    <s v="Los Angeles County"/>
    <n v="1"/>
    <n v="4"/>
    <x v="2"/>
  </r>
  <r>
    <s v="TX500557"/>
    <s v="Sandals"/>
    <n v="1"/>
    <n v="46.3"/>
    <n v="46.3"/>
    <d v="2025-01-24T00:00:00"/>
    <d v="2025-01-27T00:00:00"/>
    <s v="F"/>
    <x v="4"/>
    <n v="4"/>
    <s v="California"/>
    <s v="Los Angeles County"/>
    <n v="3"/>
    <n v="4"/>
    <x v="2"/>
  </r>
  <r>
    <s v="TX500558"/>
    <s v="Jeans"/>
    <n v="2"/>
    <n v="68.2"/>
    <n v="136.4"/>
    <d v="2025-01-24T00:00:00"/>
    <d v="2025-01-26T00:00:00"/>
    <s v="F"/>
    <x v="3"/>
    <n v="4"/>
    <s v="California"/>
    <s v="Los Angeles County"/>
    <n v="2"/>
    <n v="4"/>
    <x v="2"/>
  </r>
  <r>
    <s v="TX500559"/>
    <s v="Tank Tops"/>
    <n v="1"/>
    <n v="40.299999999999997"/>
    <n v="40.299999999999997"/>
    <d v="2025-01-24T00:00:00"/>
    <d v="2025-01-25T00:00:00"/>
    <s v="M"/>
    <x v="0"/>
    <n v="3"/>
    <s v="California"/>
    <s v="Los Angeles County"/>
    <n v="1"/>
    <n v="4"/>
    <x v="1"/>
  </r>
  <r>
    <s v="TX500560"/>
    <s v="Sneakers"/>
    <n v="3"/>
    <n v="91.3"/>
    <n v="273.89999999999998"/>
    <d v="2025-01-24T00:00:00"/>
    <d v="2025-01-29T00:00:00"/>
    <s v="M"/>
    <x v="0"/>
    <n v="5"/>
    <s v="California"/>
    <s v="Sacramento County"/>
    <n v="5"/>
    <n v="4"/>
    <x v="1"/>
  </r>
  <r>
    <s v="TX500561"/>
    <s v="Shorts"/>
    <n v="3"/>
    <n v="11.9"/>
    <n v="35.700000000000003"/>
    <d v="2025-01-24T00:00:00"/>
    <d v="2025-01-25T00:00:00"/>
    <s v="F"/>
    <x v="0"/>
    <n v="3"/>
    <s v="California"/>
    <s v="Sacramento County"/>
    <n v="1"/>
    <n v="4"/>
    <x v="2"/>
  </r>
  <r>
    <s v="TX500562"/>
    <s v="Sneakers"/>
    <n v="2"/>
    <n v="63.5"/>
    <n v="127"/>
    <d v="2025-01-24T00:00:00"/>
    <d v="2025-01-26T00:00:00"/>
    <s v="M"/>
    <x v="1"/>
    <n v="4"/>
    <s v="California"/>
    <s v="Sacramento County"/>
    <n v="2"/>
    <n v="4"/>
    <x v="1"/>
  </r>
  <r>
    <s v="TX500563"/>
    <s v="Graphic Tees"/>
    <n v="2"/>
    <n v="27.1"/>
    <n v="54.2"/>
    <d v="2025-01-24T00:00:00"/>
    <d v="2025-01-27T00:00:00"/>
    <s v="M"/>
    <x v="2"/>
    <n v="5"/>
    <s v="California"/>
    <s v="Sacramento County"/>
    <n v="3"/>
    <n v="4"/>
    <x v="1"/>
  </r>
  <r>
    <s v="TX500564"/>
    <s v="Tank Tops"/>
    <n v="2"/>
    <n v="82.1"/>
    <n v="164.2"/>
    <d v="2025-01-25T00:00:00"/>
    <d v="2025-01-28T00:00:00"/>
    <s v="M"/>
    <x v="1"/>
    <n v="3"/>
    <s v="California"/>
    <s v="San Bernardino County"/>
    <n v="3"/>
    <n v="4"/>
    <x v="1"/>
  </r>
  <r>
    <s v="TX500565"/>
    <s v="Workout Tops"/>
    <n v="5"/>
    <n v="42.9"/>
    <n v="214.5"/>
    <d v="2025-01-25T00:00:00"/>
    <d v="2025-01-27T00:00:00"/>
    <s v="F"/>
    <x v="1"/>
    <n v="4"/>
    <s v="California"/>
    <s v="San Diego County"/>
    <n v="2"/>
    <n v="4"/>
    <x v="2"/>
  </r>
  <r>
    <s v="TX500566"/>
    <s v="T-Shirts"/>
    <n v="11"/>
    <n v="37.9"/>
    <n v="416.9"/>
    <d v="2025-01-25T00:00:00"/>
    <d v="2025-02-01T00:00:00"/>
    <s v="M"/>
    <x v="0"/>
    <n v="4"/>
    <s v="California"/>
    <s v="San Diego County"/>
    <n v="7"/>
    <n v="4"/>
    <x v="1"/>
  </r>
  <r>
    <s v="TX500567"/>
    <s v="Shorts"/>
    <n v="1"/>
    <n v="22.4"/>
    <n v="22.4"/>
    <d v="2025-01-25T00:00:00"/>
    <d v="2025-01-26T00:00:00"/>
    <s v="F"/>
    <x v="0"/>
    <n v="3"/>
    <s v="California"/>
    <s v="San Francisco"/>
    <n v="1"/>
    <n v="4"/>
    <x v="2"/>
  </r>
  <r>
    <s v="TX500568"/>
    <s v="Sneakers"/>
    <n v="13"/>
    <n v="79.900000000000006"/>
    <n v="1038.7"/>
    <d v="2025-01-25T00:00:00"/>
    <d v="2025-02-07T00:00:00"/>
    <s v="F"/>
    <x v="3"/>
    <n v="3"/>
    <s v="California"/>
    <s v="Santa Clara County"/>
    <n v="13"/>
    <n v="4"/>
    <x v="2"/>
  </r>
  <r>
    <s v="TX500569"/>
    <s v="Tank Tops"/>
    <n v="1"/>
    <n v="70.599999999999994"/>
    <n v="70.599999999999994"/>
    <d v="2025-01-25T00:00:00"/>
    <d v="2025-01-28T00:00:00"/>
    <s v="F"/>
    <x v="0"/>
    <n v="3"/>
    <s v="California"/>
    <s v="Santa Clara County"/>
    <n v="3"/>
    <n v="4"/>
    <x v="2"/>
  </r>
  <r>
    <s v="TX500570"/>
    <s v="Jeans"/>
    <n v="1"/>
    <n v="49.5"/>
    <n v="49.5"/>
    <d v="2025-01-25T00:00:00"/>
    <d v="2025-01-27T00:00:00"/>
    <s v="M"/>
    <x v="0"/>
    <n v="4"/>
    <s v="California"/>
    <s v="Ventura County"/>
    <n v="2"/>
    <n v="4"/>
    <x v="1"/>
  </r>
  <r>
    <s v="TX500571"/>
    <s v="Sneakers"/>
    <n v="2"/>
    <n v="96.6"/>
    <n v="193.2"/>
    <d v="2025-01-25T00:00:00"/>
    <d v="2025-01-27T00:00:00"/>
    <s v="M"/>
    <x v="0"/>
    <n v="4"/>
    <s v="California"/>
    <s v="Alameda County"/>
    <n v="2"/>
    <n v="4"/>
    <x v="1"/>
  </r>
  <r>
    <s v="TX500572"/>
    <s v="Jeans"/>
    <n v="2"/>
    <n v="52.8"/>
    <n v="105.6"/>
    <d v="2025-01-25T00:00:00"/>
    <d v="2025-01-26T00:00:00"/>
    <s v="F"/>
    <x v="1"/>
    <n v="3"/>
    <s v="California"/>
    <s v="Alameda County"/>
    <n v="1"/>
    <n v="4"/>
    <x v="2"/>
  </r>
  <r>
    <s v="TX500573"/>
    <s v="Sneakers"/>
    <n v="1"/>
    <n v="101.7"/>
    <n v="101.7"/>
    <d v="2025-01-25T00:00:00"/>
    <d v="2025-01-26T00:00:00"/>
    <s v="M"/>
    <x v="0"/>
    <n v="4"/>
    <s v="California"/>
    <s v="Contra Costa County"/>
    <n v="1"/>
    <n v="4"/>
    <x v="1"/>
  </r>
  <r>
    <s v="TX500574"/>
    <s v="Graphic Tees"/>
    <n v="5"/>
    <n v="26.9"/>
    <n v="134.5"/>
    <d v="2025-01-25T00:00:00"/>
    <d v="2025-01-30T00:00:00"/>
    <s v="F"/>
    <x v="1"/>
    <n v="3"/>
    <s v="California"/>
    <s v="Kern County"/>
    <n v="5"/>
    <n v="4"/>
    <x v="2"/>
  </r>
  <r>
    <s v="TX500575"/>
    <s v="Sneakers"/>
    <n v="4"/>
    <n v="211"/>
    <n v="844"/>
    <d v="2025-01-25T00:00:00"/>
    <d v="2025-01-25T00:00:00"/>
    <s v="F"/>
    <x v="1"/>
    <n v="3"/>
    <s v="California"/>
    <s v="Los Angeles County"/>
    <n v="0"/>
    <n v="4"/>
    <x v="2"/>
  </r>
  <r>
    <s v="TX500576"/>
    <s v="Shorts"/>
    <n v="4"/>
    <n v="21.1"/>
    <n v="84.4"/>
    <d v="2025-01-25T00:00:00"/>
    <d v="2025-01-28T00:00:00"/>
    <s v="M"/>
    <x v="4"/>
    <n v="4"/>
    <s v="California"/>
    <s v="Los Angeles County"/>
    <n v="3"/>
    <n v="4"/>
    <x v="1"/>
  </r>
  <r>
    <s v="TX500577"/>
    <s v="Bikinis"/>
    <n v="1"/>
    <n v="26.6"/>
    <n v="26.6"/>
    <d v="2025-01-25T00:00:00"/>
    <d v="2025-01-27T00:00:00"/>
    <s v="M"/>
    <x v="0"/>
    <n v="2"/>
    <s v="California"/>
    <s v="Los Angeles County"/>
    <n v="2"/>
    <n v="4"/>
    <x v="1"/>
  </r>
  <r>
    <s v="TX500578"/>
    <s v="Casual Dresses"/>
    <n v="4"/>
    <n v="51.2"/>
    <n v="204.8"/>
    <d v="2025-01-25T00:00:00"/>
    <d v="2025-01-26T00:00:00"/>
    <s v="F"/>
    <x v="3"/>
    <n v="4"/>
    <s v="California"/>
    <s v="Mono County"/>
    <n v="1"/>
    <n v="4"/>
    <x v="2"/>
  </r>
  <r>
    <s v="TX500579"/>
    <s v="Shorts"/>
    <n v="5"/>
    <n v="10.6"/>
    <n v="53"/>
    <d v="2025-01-25T00:00:00"/>
    <d v="2025-01-29T00:00:00"/>
    <s v="F"/>
    <x v="0"/>
    <n v="4"/>
    <s v="California"/>
    <s v="San Diego County"/>
    <n v="4"/>
    <n v="4"/>
    <x v="2"/>
  </r>
  <r>
    <s v="TX500580"/>
    <s v="Jeans"/>
    <n v="3"/>
    <n v="43.4"/>
    <n v="130.19999999999999"/>
    <d v="2025-01-25T00:00:00"/>
    <d v="2025-01-28T00:00:00"/>
    <s v="F"/>
    <x v="4"/>
    <n v="4"/>
    <s v="California"/>
    <s v="San Diego County"/>
    <n v="3"/>
    <n v="4"/>
    <x v="2"/>
  </r>
  <r>
    <s v="TX500581"/>
    <s v="Casual Dresses"/>
    <n v="1"/>
    <n v="80"/>
    <n v="80"/>
    <d v="2025-01-25T00:00:00"/>
    <d v="2025-01-25T00:00:00"/>
    <s v="F"/>
    <x v="0"/>
    <n v="5"/>
    <s v="California"/>
    <s v="San Diego County"/>
    <n v="0"/>
    <n v="4"/>
    <x v="2"/>
  </r>
  <r>
    <s v="TX500582"/>
    <s v="Bikinis"/>
    <n v="4"/>
    <n v="64.7"/>
    <n v="258.8"/>
    <d v="2025-01-25T00:00:00"/>
    <d v="2025-01-27T00:00:00"/>
    <s v="F"/>
    <x v="1"/>
    <n v="2"/>
    <s v="California"/>
    <s v="San Diego County"/>
    <n v="2"/>
    <n v="4"/>
    <x v="2"/>
  </r>
  <r>
    <s v="TX500583"/>
    <s v="T-Shirts"/>
    <n v="11"/>
    <n v="26.3"/>
    <n v="289.3"/>
    <d v="2025-01-26T00:00:00"/>
    <d v="2025-01-26T00:00:00"/>
    <s v="F"/>
    <x v="4"/>
    <n v="3"/>
    <s v="California"/>
    <s v="San Joaquin County"/>
    <n v="0"/>
    <n v="5"/>
    <x v="2"/>
  </r>
  <r>
    <s v="TX500584"/>
    <s v="Bikinis"/>
    <n v="1"/>
    <n v="28.5"/>
    <n v="28.5"/>
    <d v="2025-01-26T00:00:00"/>
    <d v="2025-01-26T00:00:00"/>
    <s v="M"/>
    <x v="0"/>
    <n v="3"/>
    <s v="California"/>
    <s v="San Mateo County"/>
    <n v="0"/>
    <n v="5"/>
    <x v="1"/>
  </r>
  <r>
    <s v="TX500585"/>
    <s v="Pajama Sets"/>
    <n v="1"/>
    <n v="47.8"/>
    <n v="47.8"/>
    <d v="2025-01-26T00:00:00"/>
    <d v="2025-01-28T00:00:00"/>
    <s v="F"/>
    <x v="0"/>
    <n v="3"/>
    <s v="California"/>
    <s v="San Mateo County"/>
    <n v="2"/>
    <n v="5"/>
    <x v="2"/>
  </r>
  <r>
    <s v="TX500586"/>
    <s v="Bikinis"/>
    <n v="3"/>
    <n v="42.8"/>
    <n v="128.39999999999998"/>
    <d v="2025-01-26T00:00:00"/>
    <d v="2025-01-29T00:00:00"/>
    <s v="F"/>
    <x v="4"/>
    <n v="3"/>
    <s v="California"/>
    <s v="Santa Clara County"/>
    <n v="3"/>
    <n v="5"/>
    <x v="2"/>
  </r>
  <r>
    <s v="TX500587"/>
    <s v="Jeans"/>
    <n v="5"/>
    <n v="46.8"/>
    <n v="234"/>
    <d v="2025-01-26T00:00:00"/>
    <d v="2025-01-31T00:00:00"/>
    <s v="F"/>
    <x v="1"/>
    <n v="5"/>
    <s v="California"/>
    <s v="Santa Clara County"/>
    <n v="5"/>
    <n v="5"/>
    <x v="2"/>
  </r>
  <r>
    <s v="TX500588"/>
    <s v="Tank Tops"/>
    <n v="10"/>
    <n v="64.099999999999994"/>
    <n v="641"/>
    <d v="2025-01-26T00:00:00"/>
    <d v="2025-01-27T00:00:00"/>
    <s v="M"/>
    <x v="1"/>
    <n v="4"/>
    <s v="California"/>
    <s v="Santa Clara County"/>
    <n v="1"/>
    <n v="5"/>
    <x v="1"/>
  </r>
  <r>
    <s v="TX500589"/>
    <s v="Sneakers"/>
    <n v="1"/>
    <n v="89.1"/>
    <n v="89.1"/>
    <d v="2025-01-26T00:00:00"/>
    <d v="2025-01-27T00:00:00"/>
    <s v="F"/>
    <x v="0"/>
    <n v="3"/>
    <s v="California"/>
    <s v="Tulare County"/>
    <n v="1"/>
    <n v="5"/>
    <x v="2"/>
  </r>
  <r>
    <s v="TX500590"/>
    <s v="Sneakers"/>
    <n v="3"/>
    <n v="83.1"/>
    <n v="249.29999999999998"/>
    <d v="2025-01-26T00:00:00"/>
    <d v="2025-01-27T00:00:00"/>
    <s v="F"/>
    <x v="2"/>
    <n v="3"/>
    <s v="California"/>
    <s v="Ventura County"/>
    <n v="1"/>
    <n v="5"/>
    <x v="2"/>
  </r>
  <r>
    <s v="TX500591"/>
    <s v="T-Shirts"/>
    <n v="3"/>
    <n v="40.9"/>
    <n v="122.69999999999999"/>
    <d v="2025-01-26T00:00:00"/>
    <d v="2025-01-27T00:00:00"/>
    <s v="M"/>
    <x v="0"/>
    <n v="4"/>
    <s v="California"/>
    <s v="Contra Costa County"/>
    <n v="1"/>
    <n v="5"/>
    <x v="1"/>
  </r>
  <r>
    <s v="TX500592"/>
    <s v="Sneakers"/>
    <n v="2"/>
    <n v="125.7"/>
    <n v="251.4"/>
    <d v="2025-01-26T00:00:00"/>
    <d v="2025-01-27T00:00:00"/>
    <s v="F"/>
    <x v="3"/>
    <n v="4"/>
    <s v="California"/>
    <s v="Fresno County"/>
    <n v="1"/>
    <n v="5"/>
    <x v="2"/>
  </r>
  <r>
    <s v="TX500593"/>
    <s v="Workout Tops"/>
    <n v="2"/>
    <n v="30.9"/>
    <n v="61.8"/>
    <d v="2025-01-26T00:00:00"/>
    <d v="2025-01-26T00:00:00"/>
    <s v="F"/>
    <x v="2"/>
    <n v="5"/>
    <s v="California"/>
    <s v="Kern County"/>
    <n v="0"/>
    <n v="5"/>
    <x v="2"/>
  </r>
  <r>
    <s v="TX500594"/>
    <s v="T-Shirts"/>
    <n v="2"/>
    <n v="18.3"/>
    <n v="36.6"/>
    <d v="2025-01-26T00:00:00"/>
    <d v="2025-01-27T00:00:00"/>
    <s v="F"/>
    <x v="1"/>
    <n v="4"/>
    <s v="California"/>
    <s v="Los Angeles County"/>
    <n v="1"/>
    <n v="5"/>
    <x v="2"/>
  </r>
  <r>
    <s v="TX500595"/>
    <s v="Graphic Tees"/>
    <n v="2"/>
    <n v="56.5"/>
    <n v="113"/>
    <d v="2025-01-26T00:00:00"/>
    <d v="2025-01-30T00:00:00"/>
    <s v="M"/>
    <x v="2"/>
    <n v="5"/>
    <s v="California"/>
    <s v="Los Angeles County"/>
    <n v="4"/>
    <n v="5"/>
    <x v="1"/>
  </r>
  <r>
    <s v="TX500596"/>
    <s v="Bikinis"/>
    <n v="7"/>
    <n v="29.9"/>
    <n v="209.29999999999998"/>
    <d v="2025-01-26T00:00:00"/>
    <d v="2025-01-28T00:00:00"/>
    <s v="M"/>
    <x v="4"/>
    <n v="5"/>
    <s v="California"/>
    <s v="Los Angeles County"/>
    <n v="2"/>
    <n v="5"/>
    <x v="1"/>
  </r>
  <r>
    <s v="TX500597"/>
    <s v="Sandals"/>
    <n v="2"/>
    <n v="50.4"/>
    <n v="100.8"/>
    <d v="2025-01-26T00:00:00"/>
    <d v="2025-01-27T00:00:00"/>
    <s v="F"/>
    <x v="2"/>
    <n v="4"/>
    <s v="California"/>
    <s v="Los Angeles County"/>
    <n v="1"/>
    <n v="5"/>
    <x v="2"/>
  </r>
  <r>
    <s v="TX500598"/>
    <s v="Sneakers"/>
    <n v="1"/>
    <n v="85.8"/>
    <n v="85.8"/>
    <d v="2025-01-26T00:00:00"/>
    <d v="2025-01-26T00:00:00"/>
    <s v="F"/>
    <x v="2"/>
    <n v="5"/>
    <s v="California"/>
    <s v="Los Angeles County"/>
    <n v="0"/>
    <n v="5"/>
    <x v="2"/>
  </r>
  <r>
    <s v="TX500599"/>
    <s v="Graphic Tees"/>
    <n v="16"/>
    <n v="66.599999999999994"/>
    <n v="1065.5999999999999"/>
    <d v="2025-01-26T00:00:00"/>
    <d v="2025-01-28T00:00:00"/>
    <s v="M"/>
    <x v="1"/>
    <n v="4"/>
    <s v="California"/>
    <s v="Los Angeles County"/>
    <n v="2"/>
    <n v="5"/>
    <x v="1"/>
  </r>
  <r>
    <s v="TX500600"/>
    <s v="Jeans"/>
    <n v="4"/>
    <n v="70.3"/>
    <n v="281.2"/>
    <d v="2025-01-26T00:00:00"/>
    <d v="2025-01-27T00:00:00"/>
    <s v="F"/>
    <x v="0"/>
    <n v="3"/>
    <s v="California"/>
    <s v="Los Angeles County"/>
    <n v="1"/>
    <n v="5"/>
    <x v="2"/>
  </r>
  <r>
    <s v="TX500601"/>
    <s v="T-Shirts"/>
    <n v="4"/>
    <n v="31"/>
    <n v="124"/>
    <d v="2025-01-26T00:00:00"/>
    <d v="2025-01-29T00:00:00"/>
    <s v="M"/>
    <x v="0"/>
    <n v="5"/>
    <s v="California"/>
    <s v="Los Angeles County"/>
    <n v="3"/>
    <n v="5"/>
    <x v="1"/>
  </r>
  <r>
    <s v="TX500602"/>
    <s v="Hoodies &amp; Sweatshirts"/>
    <n v="6"/>
    <n v="81.599999999999994"/>
    <n v="489.59999999999997"/>
    <d v="2025-01-26T00:00:00"/>
    <d v="2025-01-27T00:00:00"/>
    <s v="F"/>
    <x v="1"/>
    <n v="3"/>
    <s v="California"/>
    <s v="Madera County"/>
    <n v="1"/>
    <n v="5"/>
    <x v="2"/>
  </r>
  <r>
    <s v="TX500603"/>
    <s v="Tank Tops"/>
    <n v="25"/>
    <n v="58.3"/>
    <n v="1457.5"/>
    <d v="2025-01-26T00:00:00"/>
    <d v="2025-01-27T00:00:00"/>
    <s v="F"/>
    <x v="0"/>
    <n v="4"/>
    <s v="California"/>
    <s v="Napa County"/>
    <n v="1"/>
    <n v="5"/>
    <x v="2"/>
  </r>
  <r>
    <s v="TX500604"/>
    <s v="Tank Tops"/>
    <n v="4"/>
    <n v="35.1"/>
    <n v="140.4"/>
    <d v="2025-01-26T00:00:00"/>
    <d v="2025-01-28T00:00:00"/>
    <s v="M"/>
    <x v="0"/>
    <n v="5"/>
    <s v="California"/>
    <s v="San Diego County"/>
    <n v="2"/>
    <n v="5"/>
    <x v="1"/>
  </r>
  <r>
    <s v="TX500605"/>
    <s v="Sneakers"/>
    <n v="1"/>
    <n v="80.2"/>
    <n v="80.2"/>
    <d v="2025-01-26T00:00:00"/>
    <d v="2025-01-27T00:00:00"/>
    <s v="M"/>
    <x v="3"/>
    <n v="5"/>
    <s v="California"/>
    <s v="San Diego County"/>
    <n v="1"/>
    <n v="5"/>
    <x v="1"/>
  </r>
  <r>
    <s v="TX500606"/>
    <s v="Baseball Caps"/>
    <n v="3"/>
    <n v="39.200000000000003"/>
    <n v="117.60000000000001"/>
    <d v="2025-01-26T00:00:00"/>
    <d v="2025-01-28T00:00:00"/>
    <s v="F"/>
    <x v="1"/>
    <n v="4"/>
    <s v="California"/>
    <s v="San Mateo County"/>
    <n v="2"/>
    <n v="5"/>
    <x v="2"/>
  </r>
  <r>
    <s v="TX500607"/>
    <s v="Shorts"/>
    <n v="2"/>
    <n v="15.4"/>
    <n v="30.8"/>
    <d v="2025-01-26T00:00:00"/>
    <d v="2025-01-26T00:00:00"/>
    <s v="F"/>
    <x v="3"/>
    <n v="4"/>
    <s v="California"/>
    <s v="Sierra County"/>
    <n v="0"/>
    <n v="5"/>
    <x v="2"/>
  </r>
  <r>
    <s v="TX500608"/>
    <s v="Workout Tops"/>
    <n v="3"/>
    <n v="65.400000000000006"/>
    <n v="196.20000000000002"/>
    <d v="2025-01-26T00:00:00"/>
    <d v="2025-01-29T00:00:00"/>
    <s v="M"/>
    <x v="3"/>
    <n v="4"/>
    <s v="California"/>
    <s v="Sonoma County"/>
    <n v="3"/>
    <n v="5"/>
    <x v="1"/>
  </r>
  <r>
    <s v="TX500609"/>
    <s v="Tank Tops"/>
    <n v="8"/>
    <n v="63.2"/>
    <n v="505.6"/>
    <d v="2025-01-26T00:00:00"/>
    <d v="2025-01-28T00:00:00"/>
    <s v="F"/>
    <x v="1"/>
    <n v="4"/>
    <s v="California"/>
    <s v="Stanislaus County"/>
    <n v="2"/>
    <n v="5"/>
    <x v="2"/>
  </r>
  <r>
    <s v="TX500610"/>
    <s v="Tank Tops"/>
    <n v="6"/>
    <n v="35.700000000000003"/>
    <n v="214.20000000000002"/>
    <d v="2025-01-26T00:00:00"/>
    <d v="2025-01-30T00:00:00"/>
    <s v="F"/>
    <x v="4"/>
    <n v="3"/>
    <s v="California"/>
    <s v="Stanislaus County"/>
    <n v="4"/>
    <n v="5"/>
    <x v="2"/>
  </r>
  <r>
    <s v="TX500611"/>
    <s v="Shorts"/>
    <n v="20"/>
    <n v="26.2"/>
    <n v="524"/>
    <d v="2025-01-26T00:00:00"/>
    <d v="2025-01-27T00:00:00"/>
    <s v="F"/>
    <x v="3"/>
    <n v="4"/>
    <s v="California"/>
    <s v="Alameda County"/>
    <n v="1"/>
    <n v="5"/>
    <x v="2"/>
  </r>
  <r>
    <s v="TX500612"/>
    <s v="Hoodies &amp; Sweatshirts"/>
    <n v="2"/>
    <n v="31"/>
    <n v="62"/>
    <d v="2025-01-26T00:00:00"/>
    <d v="2025-01-27T00:00:00"/>
    <s v="F"/>
    <x v="0"/>
    <n v="5"/>
    <s v="California"/>
    <s v="Contra Costa County"/>
    <n v="1"/>
    <n v="5"/>
    <x v="2"/>
  </r>
  <r>
    <s v="TX500613"/>
    <s v="T-Shirts"/>
    <n v="4"/>
    <n v="37.700000000000003"/>
    <n v="150.80000000000001"/>
    <d v="2025-01-26T00:00:00"/>
    <d v="2025-01-27T00:00:00"/>
    <s v="F"/>
    <x v="1"/>
    <n v="4"/>
    <s v="California"/>
    <s v="Kern County"/>
    <n v="1"/>
    <n v="5"/>
    <x v="2"/>
  </r>
  <r>
    <s v="TX500614"/>
    <s v="Bikinis"/>
    <n v="34"/>
    <n v="43.6"/>
    <n v="1482.4"/>
    <d v="2025-01-26T00:00:00"/>
    <d v="2025-01-28T00:00:00"/>
    <s v="F"/>
    <x v="4"/>
    <n v="3"/>
    <s v="California"/>
    <s v="Los Angeles County"/>
    <n v="2"/>
    <n v="5"/>
    <x v="2"/>
  </r>
  <r>
    <s v="TX500615"/>
    <s v="Sundresses"/>
    <n v="4"/>
    <n v="26.5"/>
    <n v="106"/>
    <d v="2025-01-26T00:00:00"/>
    <d v="2025-01-28T00:00:00"/>
    <s v="M"/>
    <x v="0"/>
    <n v="2"/>
    <s v="California"/>
    <s v="Los Angeles County"/>
    <n v="2"/>
    <n v="5"/>
    <x v="1"/>
  </r>
  <r>
    <s v="TX500616"/>
    <s v="Shorts"/>
    <n v="2"/>
    <n v="34.6"/>
    <n v="69.2"/>
    <d v="2025-01-26T00:00:00"/>
    <d v="2025-01-27T00:00:00"/>
    <s v="M"/>
    <x v="4"/>
    <n v="3"/>
    <s v="California"/>
    <s v="Los Angeles County"/>
    <n v="1"/>
    <n v="5"/>
    <x v="1"/>
  </r>
  <r>
    <s v="TX500617"/>
    <s v="T-Shirts"/>
    <n v="2"/>
    <n v="58.2"/>
    <n v="116.4"/>
    <d v="2025-01-26T00:00:00"/>
    <d v="2025-01-27T00:00:00"/>
    <s v="M"/>
    <x v="2"/>
    <n v="5"/>
    <s v="California"/>
    <s v="Los Angeles County"/>
    <n v="1"/>
    <n v="5"/>
    <x v="1"/>
  </r>
  <r>
    <s v="TX500618"/>
    <s v="Hoodies &amp; Sweatshirts"/>
    <n v="1"/>
    <n v="30.2"/>
    <n v="30.2"/>
    <d v="2025-01-27T00:00:00"/>
    <d v="2025-01-28T00:00:00"/>
    <s v="F"/>
    <x v="2"/>
    <n v="3"/>
    <s v="California"/>
    <s v="Los Angeles County"/>
    <n v="1"/>
    <n v="5"/>
    <x v="2"/>
  </r>
  <r>
    <s v="TX500619"/>
    <s v="Tank Tops"/>
    <n v="10"/>
    <n v="53.2"/>
    <n v="532"/>
    <d v="2025-01-27T00:00:00"/>
    <d v="2025-01-28T00:00:00"/>
    <s v="M"/>
    <x v="0"/>
    <n v="5"/>
    <s v="California"/>
    <s v="Placer County"/>
    <n v="1"/>
    <n v="5"/>
    <x v="1"/>
  </r>
  <r>
    <s v="TX500620"/>
    <s v="Casual Dresses"/>
    <n v="6"/>
    <n v="51.1"/>
    <n v="306.60000000000002"/>
    <d v="2025-01-27T00:00:00"/>
    <d v="2025-01-27T00:00:00"/>
    <s v="M"/>
    <x v="1"/>
    <n v="5"/>
    <s v="California"/>
    <s v="Placer County"/>
    <n v="0"/>
    <n v="5"/>
    <x v="1"/>
  </r>
  <r>
    <s v="TX500621"/>
    <s v="Tank Tops"/>
    <n v="1"/>
    <n v="105.4"/>
    <n v="105.4"/>
    <d v="2025-01-27T00:00:00"/>
    <d v="2025-01-31T00:00:00"/>
    <s v="F"/>
    <x v="1"/>
    <n v="5"/>
    <s v="California"/>
    <s v="Riverside County"/>
    <n v="4"/>
    <n v="5"/>
    <x v="2"/>
  </r>
  <r>
    <s v="TX500622"/>
    <s v="Hoodies &amp; Sweatshirts"/>
    <n v="1"/>
    <n v="57.7"/>
    <n v="57.7"/>
    <d v="2025-01-27T00:00:00"/>
    <d v="2025-01-27T00:00:00"/>
    <s v="M"/>
    <x v="0"/>
    <n v="2"/>
    <s v="California"/>
    <s v="San Diego County"/>
    <n v="0"/>
    <n v="5"/>
    <x v="1"/>
  </r>
  <r>
    <s v="TX500623"/>
    <s v="Crop Tops"/>
    <n v="2"/>
    <n v="72.400000000000006"/>
    <n v="144.80000000000001"/>
    <d v="2025-01-27T00:00:00"/>
    <d v="2025-02-01T00:00:00"/>
    <s v="F"/>
    <x v="0"/>
    <n v="4"/>
    <s v="California"/>
    <s v="San Francisco"/>
    <n v="5"/>
    <n v="5"/>
    <x v="2"/>
  </r>
  <r>
    <s v="TX500624"/>
    <s v="Jeans"/>
    <n v="2"/>
    <n v="62.5"/>
    <n v="125"/>
    <d v="2025-01-27T00:00:00"/>
    <d v="2025-01-28T00:00:00"/>
    <s v=""/>
    <x v="0"/>
    <n v="5"/>
    <s v="California"/>
    <s v="Santa Clara County"/>
    <n v="1"/>
    <n v="5"/>
    <x v="0"/>
  </r>
  <r>
    <s v="TX500625"/>
    <s v="Shorts"/>
    <n v="22"/>
    <n v="11.6"/>
    <n v="255.2"/>
    <d v="2025-01-27T00:00:00"/>
    <d v="2025-01-29T00:00:00"/>
    <s v="F"/>
    <x v="3"/>
    <n v="5"/>
    <s v="California"/>
    <s v="Sonoma County"/>
    <n v="2"/>
    <n v="5"/>
    <x v="2"/>
  </r>
  <r>
    <s v="TX500626"/>
    <s v="Bikinis"/>
    <n v="10"/>
    <n v="39.6"/>
    <n v="396"/>
    <d v="2025-01-27T00:00:00"/>
    <d v="2025-01-29T00:00:00"/>
    <s v="F"/>
    <x v="2"/>
    <n v="5"/>
    <s v="California"/>
    <s v="Sonoma County"/>
    <n v="2"/>
    <n v="5"/>
    <x v="2"/>
  </r>
  <r>
    <s v="TX500627"/>
    <s v="T-Shirts"/>
    <n v="2"/>
    <n v="40.1"/>
    <n v="80.2"/>
    <d v="2025-01-27T00:00:00"/>
    <d v="2025-01-28T00:00:00"/>
    <s v="F"/>
    <x v="2"/>
    <n v="4"/>
    <s v="California"/>
    <s v="Sonoma County"/>
    <n v="1"/>
    <n v="5"/>
    <x v="2"/>
  </r>
  <r>
    <s v="TX500628"/>
    <s v="T-Shirts"/>
    <n v="3"/>
    <n v="18.600000000000001"/>
    <n v="55.800000000000004"/>
    <d v="2025-01-27T00:00:00"/>
    <d v="2025-01-28T00:00:00"/>
    <s v="F"/>
    <x v="2"/>
    <n v="4"/>
    <s v="California"/>
    <s v="Alameda County"/>
    <n v="1"/>
    <n v="5"/>
    <x v="2"/>
  </r>
  <r>
    <s v="TX500629"/>
    <s v="Graphic Tees"/>
    <n v="1"/>
    <n v="58.8"/>
    <n v="58.8"/>
    <d v="2025-01-27T00:00:00"/>
    <d v="2025-01-29T00:00:00"/>
    <s v="F"/>
    <x v="0"/>
    <n v="3"/>
    <s v="California"/>
    <s v="Alameda County"/>
    <n v="2"/>
    <n v="5"/>
    <x v="2"/>
  </r>
  <r>
    <s v="TX500630"/>
    <s v="T-Shirts"/>
    <n v="2"/>
    <n v="22.1"/>
    <n v="44.2"/>
    <d v="2025-01-27T00:00:00"/>
    <d v="2025-01-30T00:00:00"/>
    <s v="M"/>
    <x v="1"/>
    <n v="5"/>
    <s v="California"/>
    <s v="Alameda County"/>
    <n v="3"/>
    <n v="5"/>
    <x v="1"/>
  </r>
  <r>
    <s v="TX500631"/>
    <s v="Sneakers"/>
    <n v="1"/>
    <n v="114.9"/>
    <n v="114.9"/>
    <d v="2025-01-28T00:00:00"/>
    <d v="2025-01-29T00:00:00"/>
    <s v="F"/>
    <x v="1"/>
    <n v="3"/>
    <s v="California"/>
    <s v="Kern County"/>
    <n v="1"/>
    <n v="5"/>
    <x v="2"/>
  </r>
  <r>
    <s v="TX500632"/>
    <s v="Sundresses"/>
    <n v="5"/>
    <n v="75.8"/>
    <n v="379"/>
    <d v="2025-01-28T00:00:00"/>
    <d v="2025-01-29T00:00:00"/>
    <s v="M"/>
    <x v="0"/>
    <n v="5"/>
    <s v="California"/>
    <s v="Los Angeles County"/>
    <n v="1"/>
    <n v="5"/>
    <x v="1"/>
  </r>
  <r>
    <s v="TX500633"/>
    <s v="Baseball Caps"/>
    <n v="5"/>
    <n v="20.6"/>
    <n v="103"/>
    <d v="2025-01-28T00:00:00"/>
    <d v="2025-01-29T00:00:00"/>
    <s v="M"/>
    <x v="2"/>
    <n v="5"/>
    <s v="California"/>
    <s v="Los Angeles County"/>
    <n v="1"/>
    <n v="5"/>
    <x v="1"/>
  </r>
  <r>
    <s v="TX500634"/>
    <s v="Pajama Sets"/>
    <n v="3"/>
    <n v="67.900000000000006"/>
    <n v="203.70000000000002"/>
    <d v="2025-01-28T00:00:00"/>
    <d v="2025-01-29T00:00:00"/>
    <s v="F"/>
    <x v="1"/>
    <n v="3"/>
    <s v="California"/>
    <s v="Los Angeles County"/>
    <n v="1"/>
    <n v="5"/>
    <x v="2"/>
  </r>
  <r>
    <s v="TX500635"/>
    <s v="Shorts"/>
    <n v="5"/>
    <n v="27"/>
    <n v="135"/>
    <d v="2025-01-28T00:00:00"/>
    <d v="2025-02-04T00:00:00"/>
    <s v="F"/>
    <x v="0"/>
    <n v="5"/>
    <s v="California"/>
    <s v="Los Angeles County"/>
    <n v="7"/>
    <n v="5"/>
    <x v="2"/>
  </r>
  <r>
    <s v="TX500636"/>
    <s v="Tote Bags"/>
    <n v="1"/>
    <n v="50.6"/>
    <n v="50.6"/>
    <d v="2025-01-28T00:00:00"/>
    <d v="2025-01-28T00:00:00"/>
    <s v="M"/>
    <x v="0"/>
    <n v="3"/>
    <s v="California"/>
    <s v="Los Angeles County"/>
    <n v="0"/>
    <n v="5"/>
    <x v="1"/>
  </r>
  <r>
    <s v="TX500637"/>
    <s v="Graphic Tees"/>
    <n v="5"/>
    <n v="22.1"/>
    <n v="110.5"/>
    <d v="2025-01-28T00:00:00"/>
    <d v="2025-02-02T00:00:00"/>
    <s v="M"/>
    <x v="0"/>
    <n v="4"/>
    <s v="California"/>
    <s v="Los Angeles County"/>
    <n v="5"/>
    <n v="5"/>
    <x v="1"/>
  </r>
  <r>
    <s v="TX500638"/>
    <s v="T-Shirts"/>
    <n v="3"/>
    <n v="42.9"/>
    <n v="128.69999999999999"/>
    <d v="2025-01-28T00:00:00"/>
    <d v="2025-01-30T00:00:00"/>
    <s v="F"/>
    <x v="0"/>
    <n v="4"/>
    <s v="California"/>
    <s v="Los Angeles County"/>
    <n v="2"/>
    <n v="5"/>
    <x v="2"/>
  </r>
  <r>
    <s v="TX500639"/>
    <s v="Tank Tops"/>
    <n v="11"/>
    <n v="62.4"/>
    <n v="686.4"/>
    <d v="2025-01-28T00:00:00"/>
    <d v="2025-01-30T00:00:00"/>
    <s v="F"/>
    <x v="2"/>
    <n v="4"/>
    <s v="California"/>
    <s v="Los Angeles County"/>
    <n v="2"/>
    <n v="5"/>
    <x v="2"/>
  </r>
  <r>
    <s v="TX500640"/>
    <s v="Tote Bags"/>
    <n v="9"/>
    <n v="36.4"/>
    <n v="327.59999999999997"/>
    <d v="2025-01-28T00:00:00"/>
    <d v="2025-01-30T00:00:00"/>
    <s v="F"/>
    <x v="0"/>
    <n v="5"/>
    <s v="California"/>
    <s v="Los Angeles County"/>
    <n v="2"/>
    <n v="5"/>
    <x v="2"/>
  </r>
  <r>
    <s v="TX500641"/>
    <s v="Shorts"/>
    <n v="2"/>
    <n v="22.5"/>
    <n v="45"/>
    <d v="2025-01-28T00:00:00"/>
    <d v="2025-01-31T00:00:00"/>
    <s v="M"/>
    <x v="0"/>
    <n v="4"/>
    <s v="California"/>
    <s v="Los Angeles County"/>
    <n v="3"/>
    <n v="5"/>
    <x v="1"/>
  </r>
  <r>
    <s v="TX500642"/>
    <s v="Jeans"/>
    <n v="4"/>
    <n v="70.8"/>
    <n v="283.2"/>
    <d v="2025-01-28T00:00:00"/>
    <d v="2025-01-30T00:00:00"/>
    <s v="F"/>
    <x v="4"/>
    <n v="4"/>
    <s v="California"/>
    <s v="Los Angeles County"/>
    <n v="2"/>
    <n v="5"/>
    <x v="2"/>
  </r>
  <r>
    <s v="TX500643"/>
    <s v="Jeans"/>
    <n v="5"/>
    <n v="56.6"/>
    <n v="283"/>
    <d v="2025-01-28T00:00:00"/>
    <d v="2025-01-30T00:00:00"/>
    <s v="M"/>
    <x v="0"/>
    <n v="3"/>
    <s v="California"/>
    <s v="Nevada County"/>
    <n v="2"/>
    <n v="5"/>
    <x v="1"/>
  </r>
  <r>
    <s v="TX500644"/>
    <s v="Jeans"/>
    <n v="2"/>
    <n v="47.9"/>
    <n v="95.8"/>
    <d v="2025-01-28T00:00:00"/>
    <d v="2025-01-29T00:00:00"/>
    <s v="F"/>
    <x v="0"/>
    <n v="4"/>
    <s v="California"/>
    <s v="Sacramento County"/>
    <n v="1"/>
    <n v="5"/>
    <x v="2"/>
  </r>
  <r>
    <s v="TX500645"/>
    <s v="Jeans"/>
    <n v="8"/>
    <n v="78.400000000000006"/>
    <n v="627.20000000000005"/>
    <d v="2025-01-28T00:00:00"/>
    <d v="2025-01-30T00:00:00"/>
    <s v="F"/>
    <x v="1"/>
    <n v="4"/>
    <s v="California"/>
    <s v="Sacramento County"/>
    <n v="2"/>
    <n v="5"/>
    <x v="2"/>
  </r>
  <r>
    <s v="TX500646"/>
    <s v="Sneakers"/>
    <n v="14"/>
    <n v="122.1"/>
    <n v="1709.3999999999999"/>
    <d v="2025-01-28T00:00:00"/>
    <d v="2025-02-02T00:00:00"/>
    <s v="F"/>
    <x v="0"/>
    <n v="5"/>
    <s v="California"/>
    <s v="Sacramento County"/>
    <n v="5"/>
    <n v="5"/>
    <x v="2"/>
  </r>
  <r>
    <s v="TX500647"/>
    <s v="Sneakers"/>
    <n v="2"/>
    <n v="83.7"/>
    <n v="167.4"/>
    <d v="2025-01-29T00:00:00"/>
    <d v="2025-01-29T00:00:00"/>
    <s v=""/>
    <x v="1"/>
    <n v="5"/>
    <s v="California"/>
    <s v="San Bernardino County"/>
    <n v="0"/>
    <n v="5"/>
    <x v="0"/>
  </r>
  <r>
    <s v="TX500648"/>
    <s v="Workout Tops"/>
    <n v="4"/>
    <n v="97.9"/>
    <n v="391.6"/>
    <d v="2025-01-29T00:00:00"/>
    <d v="2025-02-02T00:00:00"/>
    <s v="F"/>
    <x v="3"/>
    <n v="5"/>
    <s v="California"/>
    <s v="San Bernardino County"/>
    <n v="4"/>
    <n v="5"/>
    <x v="2"/>
  </r>
  <r>
    <s v="TX500649"/>
    <s v="Baseball Caps"/>
    <n v="1"/>
    <n v="15"/>
    <n v="15"/>
    <d v="2025-01-29T00:00:00"/>
    <d v="2025-02-03T00:00:00"/>
    <s v="F"/>
    <x v="3"/>
    <n v="4"/>
    <s v="California"/>
    <s v="San Diego County"/>
    <n v="5"/>
    <n v="5"/>
    <x v="2"/>
  </r>
  <r>
    <s v="TX500650"/>
    <s v="Casual Dresses"/>
    <n v="3"/>
    <n v="94.6"/>
    <n v="283.79999999999995"/>
    <d v="2025-01-29T00:00:00"/>
    <d v="2025-01-30T00:00:00"/>
    <s v="M"/>
    <x v="2"/>
    <n v="3"/>
    <s v="California"/>
    <s v="San Diego County"/>
    <n v="1"/>
    <n v="5"/>
    <x v="1"/>
  </r>
  <r>
    <s v="TX500651"/>
    <s v="Shorts"/>
    <n v="6"/>
    <n v="19.7"/>
    <n v="118.19999999999999"/>
    <d v="2025-01-29T00:00:00"/>
    <d v="2025-02-09T00:00:00"/>
    <s v="F"/>
    <x v="0"/>
    <n v="5"/>
    <s v="California"/>
    <s v="San Diego County"/>
    <n v="11"/>
    <n v="5"/>
    <x v="2"/>
  </r>
  <r>
    <s v="TX500652"/>
    <s v="Hoodies &amp; Sweatshirts"/>
    <n v="1"/>
    <n v="46.7"/>
    <n v="46.7"/>
    <d v="2025-01-29T00:00:00"/>
    <d v="2025-02-01T00:00:00"/>
    <s v="F"/>
    <x v="2"/>
    <n v="4"/>
    <s v="California"/>
    <s v="San Francisco"/>
    <n v="3"/>
    <n v="5"/>
    <x v="2"/>
  </r>
  <r>
    <s v="TX500653"/>
    <s v="Tank Tops"/>
    <n v="4"/>
    <n v="43"/>
    <n v="172"/>
    <d v="2025-01-29T00:00:00"/>
    <d v="2025-01-30T00:00:00"/>
    <s v="M"/>
    <x v="2"/>
    <n v="5"/>
    <s v="California"/>
    <s v="San Francisco"/>
    <n v="1"/>
    <n v="5"/>
    <x v="1"/>
  </r>
  <r>
    <s v="TX500654"/>
    <s v="Jeans"/>
    <n v="3"/>
    <n v="68.2"/>
    <n v="204.60000000000002"/>
    <d v="2025-01-29T00:00:00"/>
    <d v="2025-02-04T00:00:00"/>
    <s v="F"/>
    <x v="0"/>
    <n v="4"/>
    <s v="California"/>
    <s v="San Mateo County"/>
    <n v="6"/>
    <n v="5"/>
    <x v="2"/>
  </r>
  <r>
    <s v="TX500655"/>
    <s v="Bikinis"/>
    <n v="10"/>
    <n v="24.3"/>
    <n v="243"/>
    <d v="2025-01-29T00:00:00"/>
    <d v="2025-01-30T00:00:00"/>
    <s v="M"/>
    <x v="0"/>
    <n v="5"/>
    <s v="California"/>
    <s v="Santa Barbara County"/>
    <n v="1"/>
    <n v="5"/>
    <x v="1"/>
  </r>
  <r>
    <s v="TX500656"/>
    <s v="Hoodies &amp; Sweatshirts"/>
    <n v="2"/>
    <n v="86.8"/>
    <n v="173.6"/>
    <d v="2025-01-29T00:00:00"/>
    <d v="2025-02-02T00:00:00"/>
    <s v="F"/>
    <x v="4"/>
    <n v="5"/>
    <s v="California"/>
    <s v="Santa Clara County"/>
    <n v="4"/>
    <n v="5"/>
    <x v="2"/>
  </r>
  <r>
    <s v="TX500657"/>
    <s v="Shorts"/>
    <n v="2"/>
    <n v="15.8"/>
    <n v="31.6"/>
    <d v="2025-01-29T00:00:00"/>
    <d v="2025-01-31T00:00:00"/>
    <s v="M"/>
    <x v="1"/>
    <n v="4"/>
    <s v="California"/>
    <s v="Santa Clara County"/>
    <n v="2"/>
    <n v="5"/>
    <x v="1"/>
  </r>
  <r>
    <s v="TX500658"/>
    <s v="Sneakers"/>
    <n v="4"/>
    <n v="61.6"/>
    <n v="246.4"/>
    <d v="2025-01-29T00:00:00"/>
    <d v="2025-01-30T00:00:00"/>
    <s v="M"/>
    <x v="2"/>
    <n v="4"/>
    <s v="California"/>
    <s v="Santa Clara County"/>
    <n v="1"/>
    <n v="5"/>
    <x v="1"/>
  </r>
  <r>
    <s v="TX500659"/>
    <s v="Jeans"/>
    <n v="3"/>
    <n v="48.7"/>
    <n v="146.10000000000002"/>
    <d v="2025-01-29T00:00:00"/>
    <d v="2025-02-04T00:00:00"/>
    <s v="F"/>
    <x v="1"/>
    <n v="5"/>
    <s v="California"/>
    <s v="Trinity County"/>
    <n v="6"/>
    <n v="5"/>
    <x v="2"/>
  </r>
  <r>
    <s v="TX500660"/>
    <s v="T-Shirts"/>
    <n v="4"/>
    <n v="24.3"/>
    <n v="97.2"/>
    <d v="2025-01-29T00:00:00"/>
    <d v="2025-01-31T00:00:00"/>
    <s v="F"/>
    <x v="1"/>
    <n v="5"/>
    <s v="California"/>
    <s v="Alameda County"/>
    <n v="2"/>
    <n v="5"/>
    <x v="2"/>
  </r>
  <r>
    <s v="TX500661"/>
    <s v="Sneakers"/>
    <n v="2"/>
    <n v="130.69999999999999"/>
    <n v="261.39999999999998"/>
    <d v="2025-01-29T00:00:00"/>
    <d v="2025-01-30T00:00:00"/>
    <s v="F"/>
    <x v="2"/>
    <n v="4"/>
    <s v="California"/>
    <s v="Humboldt County"/>
    <n v="1"/>
    <n v="5"/>
    <x v="2"/>
  </r>
  <r>
    <s v="TX500662"/>
    <s v="Bikinis"/>
    <n v="1"/>
    <n v="26"/>
    <n v="26"/>
    <d v="2025-01-29T00:00:00"/>
    <d v="2025-01-31T00:00:00"/>
    <s v="M"/>
    <x v="0"/>
    <n v="4"/>
    <s v="California"/>
    <s v="Los Angeles County"/>
    <n v="2"/>
    <n v="5"/>
    <x v="1"/>
  </r>
  <r>
    <s v="TX500663"/>
    <s v="Sneakers"/>
    <n v="5"/>
    <n v="94.4"/>
    <n v="472"/>
    <d v="2025-01-29T00:00:00"/>
    <d v="2025-01-30T00:00:00"/>
    <s v="F"/>
    <x v="0"/>
    <n v="4"/>
    <s v="California"/>
    <s v="Los Angeles County"/>
    <n v="1"/>
    <n v="5"/>
    <x v="2"/>
  </r>
  <r>
    <s v="TX500664"/>
    <s v="Shorts"/>
    <n v="6"/>
    <n v="23.7"/>
    <n v="142.19999999999999"/>
    <d v="2025-01-29T00:00:00"/>
    <d v="2025-01-31T00:00:00"/>
    <s v="M"/>
    <x v="2"/>
    <n v="5"/>
    <s v="California"/>
    <s v="Los Angeles County"/>
    <n v="2"/>
    <n v="5"/>
    <x v="1"/>
  </r>
  <r>
    <s v="TX500665"/>
    <s v="Sundresses"/>
    <n v="12"/>
    <n v="37.4"/>
    <n v="448.79999999999995"/>
    <d v="2025-01-29T00:00:00"/>
    <d v="2025-01-31T00:00:00"/>
    <s v="M"/>
    <x v="2"/>
    <n v="4"/>
    <s v="California"/>
    <s v="Los Angeles County"/>
    <n v="2"/>
    <n v="5"/>
    <x v="1"/>
  </r>
  <r>
    <s v="TX500666"/>
    <s v="Tank Tops"/>
    <n v="36"/>
    <n v="55.2"/>
    <n v="1987.2"/>
    <d v="2025-01-29T00:00:00"/>
    <d v="2025-01-29T00:00:00"/>
    <s v="F"/>
    <x v="3"/>
    <n v="3"/>
    <s v="California"/>
    <s v="Los Angeles County"/>
    <n v="0"/>
    <n v="5"/>
    <x v="2"/>
  </r>
  <r>
    <s v="TX500667"/>
    <s v="Sneakers"/>
    <n v="9"/>
    <n v="57.1"/>
    <n v="513.9"/>
    <d v="2025-01-29T00:00:00"/>
    <d v="2025-01-31T00:00:00"/>
    <s v="M"/>
    <x v="0"/>
    <n v="5"/>
    <s v="California"/>
    <s v="Los Angeles County"/>
    <n v="2"/>
    <n v="5"/>
    <x v="1"/>
  </r>
  <r>
    <s v="TX500668"/>
    <s v="Casual Dresses"/>
    <n v="1"/>
    <n v="55.3"/>
    <n v="55.3"/>
    <d v="2025-01-29T00:00:00"/>
    <d v="2025-01-30T00:00:00"/>
    <s v="F"/>
    <x v="2"/>
    <n v="5"/>
    <s v="California"/>
    <s v="Los Angeles County"/>
    <n v="1"/>
    <n v="5"/>
    <x v="2"/>
  </r>
  <r>
    <s v="TX500669"/>
    <s v="Crop Tops"/>
    <n v="7"/>
    <n v="23.9"/>
    <n v="167.29999999999998"/>
    <d v="2025-01-29T00:00:00"/>
    <d v="2025-01-30T00:00:00"/>
    <s v="F"/>
    <x v="4"/>
    <n v="3"/>
    <s v="California"/>
    <s v="Los Angeles County"/>
    <n v="1"/>
    <n v="5"/>
    <x v="2"/>
  </r>
  <r>
    <s v="TX500670"/>
    <s v="Shorts"/>
    <n v="1"/>
    <n v="34.1"/>
    <n v="34.1"/>
    <d v="2025-01-29T00:00:00"/>
    <d v="2025-02-05T00:00:00"/>
    <s v="F"/>
    <x v="2"/>
    <n v="4"/>
    <s v="California"/>
    <s v="Los Angeles County"/>
    <n v="7"/>
    <n v="5"/>
    <x v="2"/>
  </r>
  <r>
    <s v="TX500671"/>
    <s v="Casual Dresses"/>
    <n v="4"/>
    <n v="38.5"/>
    <n v="154"/>
    <d v="2025-01-29T00:00:00"/>
    <d v="2025-02-09T00:00:00"/>
    <s v="F"/>
    <x v="0"/>
    <n v="4"/>
    <s v="California"/>
    <s v="Los Angeles County"/>
    <n v="11"/>
    <n v="5"/>
    <x v="2"/>
  </r>
  <r>
    <s v="TX500672"/>
    <s v="Hoodies &amp; Sweatshirts"/>
    <n v="2"/>
    <n v="105"/>
    <n v="210"/>
    <d v="2025-01-29T00:00:00"/>
    <d v="2025-02-04T00:00:00"/>
    <s v="F"/>
    <x v="0"/>
    <n v="5"/>
    <s v="California"/>
    <s v="Los Angeles County"/>
    <n v="6"/>
    <n v="5"/>
    <x v="2"/>
  </r>
  <r>
    <s v="TX500673"/>
    <s v="T-Shirts"/>
    <n v="5"/>
    <n v="45.2"/>
    <n v="226"/>
    <d v="2025-01-29T00:00:00"/>
    <d v="2025-01-31T00:00:00"/>
    <s v="F"/>
    <x v="0"/>
    <n v="5"/>
    <s v="California"/>
    <s v="Los Angeles County"/>
    <n v="2"/>
    <n v="5"/>
    <x v="2"/>
  </r>
  <r>
    <s v="TX500674"/>
    <s v="Pajama Sets"/>
    <n v="3"/>
    <n v="24.8"/>
    <n v="74.400000000000006"/>
    <d v="2025-01-29T00:00:00"/>
    <d v="2025-01-29T00:00:00"/>
    <s v=""/>
    <x v="0"/>
    <n v="3"/>
    <s v="California"/>
    <s v="Los Angeles County"/>
    <n v="0"/>
    <n v="5"/>
    <x v="0"/>
  </r>
  <r>
    <s v="TX500675"/>
    <s v="Maxi Dresses"/>
    <n v="4"/>
    <n v="43.8"/>
    <n v="175.2"/>
    <d v="2025-01-29T00:00:00"/>
    <d v="2025-02-05T00:00:00"/>
    <s v="F"/>
    <x v="1"/>
    <n v="5"/>
    <s v="California"/>
    <s v="Sacramento County"/>
    <n v="7"/>
    <n v="5"/>
    <x v="2"/>
  </r>
  <r>
    <s v="TX500676"/>
    <s v="Tank Tops"/>
    <n v="1"/>
    <n v="75"/>
    <n v="75"/>
    <d v="2025-01-29T00:00:00"/>
    <d v="2025-01-31T00:00:00"/>
    <s v="F"/>
    <x v="4"/>
    <n v="3"/>
    <s v="California"/>
    <s v="Sacramento County"/>
    <n v="2"/>
    <n v="5"/>
    <x v="2"/>
  </r>
  <r>
    <s v="TX500677"/>
    <s v="Sneakers"/>
    <n v="1"/>
    <n v="169.9"/>
    <n v="169.9"/>
    <d v="2025-01-29T00:00:00"/>
    <d v="2025-01-30T00:00:00"/>
    <s v="M"/>
    <x v="2"/>
    <n v="4"/>
    <s v="California"/>
    <s v="Sacramento County"/>
    <n v="1"/>
    <n v="5"/>
    <x v="1"/>
  </r>
  <r>
    <s v="TX500678"/>
    <s v="Sundresses"/>
    <n v="2"/>
    <n v="72.2"/>
    <n v="144.4"/>
    <d v="2025-01-29T00:00:00"/>
    <d v="2025-01-31T00:00:00"/>
    <s v="F"/>
    <x v="4"/>
    <n v="3"/>
    <s v="California"/>
    <s v="Sacramento County"/>
    <n v="2"/>
    <n v="5"/>
    <x v="2"/>
  </r>
  <r>
    <s v="TX500679"/>
    <s v="Shorts"/>
    <n v="1"/>
    <n v="20"/>
    <n v="20"/>
    <d v="2025-01-30T00:00:00"/>
    <d v="2025-02-02T00:00:00"/>
    <s v="F"/>
    <x v="2"/>
    <n v="3"/>
    <s v="California"/>
    <s v="San Bernardino County"/>
    <n v="3"/>
    <n v="5"/>
    <x v="2"/>
  </r>
  <r>
    <s v="TX500680"/>
    <s v="Sundresses"/>
    <n v="2"/>
    <n v="40.799999999999997"/>
    <n v="81.599999999999994"/>
    <d v="2025-01-30T00:00:00"/>
    <d v="2025-02-01T00:00:00"/>
    <s v="F"/>
    <x v="3"/>
    <n v="5"/>
    <s v="California"/>
    <s v="San Diego County"/>
    <n v="2"/>
    <n v="5"/>
    <x v="2"/>
  </r>
  <r>
    <s v="TX500681"/>
    <s v="Bikinis"/>
    <n v="4"/>
    <n v="58"/>
    <n v="232"/>
    <d v="2025-01-30T00:00:00"/>
    <d v="2025-02-03T00:00:00"/>
    <s v="F"/>
    <x v="0"/>
    <n v="4"/>
    <s v="California"/>
    <s v="San Diego County"/>
    <n v="4"/>
    <n v="5"/>
    <x v="2"/>
  </r>
  <r>
    <s v="TX500682"/>
    <s v="Casual Dresses"/>
    <n v="2"/>
    <n v="43.1"/>
    <n v="86.2"/>
    <d v="2025-01-30T00:00:00"/>
    <d v="2025-01-31T00:00:00"/>
    <s v="F"/>
    <x v="1"/>
    <n v="5"/>
    <s v="California"/>
    <s v="San Diego County"/>
    <n v="1"/>
    <n v="5"/>
    <x v="2"/>
  </r>
  <r>
    <s v="TX500683"/>
    <s v="Jeans"/>
    <n v="9"/>
    <n v="74.7"/>
    <n v="672.30000000000007"/>
    <d v="2025-01-30T00:00:00"/>
    <d v="2025-02-01T00:00:00"/>
    <s v="M"/>
    <x v="0"/>
    <n v="5"/>
    <s v="California"/>
    <s v="San Diego County"/>
    <n v="2"/>
    <n v="5"/>
    <x v="1"/>
  </r>
  <r>
    <s v="TX500684"/>
    <s v="Jeans"/>
    <n v="1"/>
    <n v="128.19999999999999"/>
    <n v="128.19999999999999"/>
    <d v="2025-01-30T00:00:00"/>
    <d v="2025-01-30T00:00:00"/>
    <s v="M"/>
    <x v="1"/>
    <n v="4"/>
    <s v="California"/>
    <s v="San Diego County"/>
    <n v="0"/>
    <n v="5"/>
    <x v="1"/>
  </r>
  <r>
    <s v="TX500685"/>
    <s v="Baseball Caps"/>
    <n v="4"/>
    <n v="26.7"/>
    <n v="106.8"/>
    <d v="2025-01-30T00:00:00"/>
    <d v="2025-01-31T00:00:00"/>
    <s v="M"/>
    <x v="1"/>
    <n v="4"/>
    <s v="California"/>
    <s v="San Diego County"/>
    <n v="1"/>
    <n v="5"/>
    <x v="1"/>
  </r>
  <r>
    <s v="TX500686"/>
    <s v="Pajama Sets"/>
    <n v="6"/>
    <n v="31.5"/>
    <n v="189"/>
    <d v="2025-01-30T00:00:00"/>
    <d v="2025-01-31T00:00:00"/>
    <s v="F"/>
    <x v="2"/>
    <n v="4"/>
    <s v="California"/>
    <s v="San Francisco"/>
    <n v="1"/>
    <n v="5"/>
    <x v="2"/>
  </r>
  <r>
    <s v="TX500687"/>
    <s v="Workout Tops"/>
    <n v="7"/>
    <n v="64.7"/>
    <n v="452.90000000000003"/>
    <d v="2025-01-30T00:00:00"/>
    <d v="2025-01-31T00:00:00"/>
    <s v="F"/>
    <x v="0"/>
    <n v="5"/>
    <s v="California"/>
    <s v="San Mateo County"/>
    <n v="1"/>
    <n v="5"/>
    <x v="2"/>
  </r>
  <r>
    <s v="TX500688"/>
    <s v="Sandals"/>
    <n v="2"/>
    <n v="55.6"/>
    <n v="111.2"/>
    <d v="2025-01-30T00:00:00"/>
    <d v="2025-02-02T00:00:00"/>
    <s v="F"/>
    <x v="3"/>
    <n v="4"/>
    <s v="California"/>
    <s v="Santa Clara County"/>
    <n v="3"/>
    <n v="5"/>
    <x v="2"/>
  </r>
  <r>
    <s v="TX500689"/>
    <s v="Workout Tops"/>
    <n v="2"/>
    <n v="36.200000000000003"/>
    <n v="72.400000000000006"/>
    <d v="2025-01-30T00:00:00"/>
    <d v="2025-01-31T00:00:00"/>
    <s v="F"/>
    <x v="3"/>
    <n v="4"/>
    <s v="California"/>
    <s v="Santa Clara County"/>
    <n v="1"/>
    <n v="5"/>
    <x v="2"/>
  </r>
  <r>
    <s v="TX500690"/>
    <s v="Shorts"/>
    <n v="1"/>
    <n v="26.6"/>
    <n v="26.6"/>
    <d v="2025-01-30T00:00:00"/>
    <d v="2025-01-31T00:00:00"/>
    <s v=""/>
    <x v="1"/>
    <n v="3"/>
    <s v="California"/>
    <s v="Stanislaus County"/>
    <n v="1"/>
    <n v="5"/>
    <x v="0"/>
  </r>
  <r>
    <s v="TX500691"/>
    <s v="Bikinis"/>
    <n v="4"/>
    <n v="31.5"/>
    <n v="126"/>
    <d v="2025-01-30T00:00:00"/>
    <d v="2025-02-01T00:00:00"/>
    <s v="M"/>
    <x v="0"/>
    <n v="4"/>
    <s v="California"/>
    <s v="Sutter County"/>
    <n v="2"/>
    <n v="5"/>
    <x v="1"/>
  </r>
  <r>
    <s v="TX500692"/>
    <s v="Bikinis"/>
    <n v="1"/>
    <n v="27"/>
    <n v="27"/>
    <d v="2025-01-30T00:00:00"/>
    <d v="2025-02-01T00:00:00"/>
    <s v="F"/>
    <x v="1"/>
    <n v="5"/>
    <s v="California"/>
    <s v="Ventura County"/>
    <n v="2"/>
    <n v="5"/>
    <x v="2"/>
  </r>
  <r>
    <s v="TX500693"/>
    <s v="Graphic Tees"/>
    <n v="1"/>
    <n v="32"/>
    <n v="32"/>
    <d v="2025-01-30T00:00:00"/>
    <d v="2025-02-02T00:00:00"/>
    <s v="M"/>
    <x v="3"/>
    <n v="4"/>
    <s v="California"/>
    <s v="Alameda County"/>
    <n v="3"/>
    <n v="5"/>
    <x v="1"/>
  </r>
  <r>
    <s v="TX500694"/>
    <s v="Tank Tops"/>
    <n v="3"/>
    <n v="48.1"/>
    <n v="144.30000000000001"/>
    <d v="2025-01-30T00:00:00"/>
    <d v="2025-02-01T00:00:00"/>
    <s v="M"/>
    <x v="2"/>
    <n v="3"/>
    <s v="California"/>
    <s v="Contra Costa County"/>
    <n v="2"/>
    <n v="5"/>
    <x v="1"/>
  </r>
  <r>
    <s v="TX500695"/>
    <s v="Sundresses"/>
    <n v="2"/>
    <n v="43.4"/>
    <n v="86.8"/>
    <d v="2025-01-30T00:00:00"/>
    <d v="2025-01-31T00:00:00"/>
    <s v="M"/>
    <x v="1"/>
    <n v="3"/>
    <s v="California"/>
    <s v="Kern County"/>
    <n v="1"/>
    <n v="5"/>
    <x v="1"/>
  </r>
  <r>
    <s v="TX500696"/>
    <s v="Jeans"/>
    <n v="2"/>
    <n v="42.6"/>
    <n v="85.2"/>
    <d v="2025-01-30T00:00:00"/>
    <d v="2025-02-02T00:00:00"/>
    <s v="F"/>
    <x v="3"/>
    <n v="4"/>
    <s v="California"/>
    <s v="Kern County"/>
    <n v="3"/>
    <n v="5"/>
    <x v="2"/>
  </r>
  <r>
    <s v="TX500697"/>
    <s v="T-Shirts"/>
    <n v="2"/>
    <n v="15.9"/>
    <n v="31.8"/>
    <d v="2025-01-30T00:00:00"/>
    <d v="2025-01-31T00:00:00"/>
    <s v="F"/>
    <x v="0"/>
    <n v="4"/>
    <s v="California"/>
    <s v="Kings County"/>
    <n v="1"/>
    <n v="5"/>
    <x v="2"/>
  </r>
  <r>
    <s v="TX500698"/>
    <s v="Sundresses"/>
    <n v="2"/>
    <n v="63.2"/>
    <n v="126.4"/>
    <d v="2025-01-30T00:00:00"/>
    <d v="2025-01-31T00:00:00"/>
    <s v="M"/>
    <x v="1"/>
    <n v="4"/>
    <s v="California"/>
    <s v="Los Angeles County"/>
    <n v="1"/>
    <n v="5"/>
    <x v="1"/>
  </r>
  <r>
    <s v="TX500699"/>
    <s v="Hoodies &amp; Sweatshirts"/>
    <n v="4"/>
    <n v="64.8"/>
    <n v="259.2"/>
    <d v="2025-01-30T00:00:00"/>
    <d v="2025-02-01T00:00:00"/>
    <s v=""/>
    <x v="4"/>
    <n v="3"/>
    <s v="California"/>
    <s v="Los Angeles County"/>
    <n v="2"/>
    <n v="5"/>
    <x v="0"/>
  </r>
  <r>
    <s v="TX500700"/>
    <s v="Hoodies &amp; Sweatshirts"/>
    <n v="3"/>
    <n v="79.8"/>
    <n v="239.39999999999998"/>
    <d v="2025-01-30T00:00:00"/>
    <d v="2025-01-31T00:00:00"/>
    <s v="M"/>
    <x v="0"/>
    <n v="4"/>
    <s v="California"/>
    <s v="Los Angeles County"/>
    <n v="1"/>
    <n v="5"/>
    <x v="1"/>
  </r>
  <r>
    <s v="TX500701"/>
    <s v="Sundresses"/>
    <n v="1"/>
    <n v="54.4"/>
    <n v="54.4"/>
    <d v="2025-01-30T00:00:00"/>
    <d v="2025-02-01T00:00:00"/>
    <s v="F"/>
    <x v="4"/>
    <n v="5"/>
    <s v="California"/>
    <s v="Los Angeles County"/>
    <n v="2"/>
    <n v="5"/>
    <x v="2"/>
  </r>
  <r>
    <s v="TX500702"/>
    <s v="Jeans"/>
    <n v="1"/>
    <n v="87.3"/>
    <n v="87.3"/>
    <d v="2025-01-30T00:00:00"/>
    <d v="2025-01-31T00:00:00"/>
    <s v="M"/>
    <x v="1"/>
    <n v="4"/>
    <s v="California"/>
    <s v="Los Angeles County"/>
    <n v="1"/>
    <n v="5"/>
    <x v="1"/>
  </r>
  <r>
    <s v="TX500703"/>
    <s v="T-Shirts"/>
    <n v="4"/>
    <n v="32.4"/>
    <n v="129.6"/>
    <d v="2025-01-30T00:00:00"/>
    <d v="2025-01-30T00:00:00"/>
    <s v="M"/>
    <x v="1"/>
    <n v="4"/>
    <s v="California"/>
    <s v="Los Angeles County"/>
    <n v="0"/>
    <n v="5"/>
    <x v="1"/>
  </r>
  <r>
    <s v="TX500704"/>
    <s v="Sneakers"/>
    <n v="1"/>
    <n v="177.4"/>
    <n v="177.4"/>
    <d v="2025-01-30T00:00:00"/>
    <d v="2025-02-03T00:00:00"/>
    <s v="M"/>
    <x v="0"/>
    <n v="5"/>
    <s v="California"/>
    <s v="Los Angeles County"/>
    <n v="4"/>
    <n v="5"/>
    <x v="1"/>
  </r>
  <r>
    <s v="TX500705"/>
    <s v="Hoodies &amp; Sweatshirts"/>
    <n v="2"/>
    <n v="70.099999999999994"/>
    <n v="140.19999999999999"/>
    <d v="2025-01-30T00:00:00"/>
    <d v="2025-01-31T00:00:00"/>
    <s v="M"/>
    <x v="3"/>
    <n v="3"/>
    <s v="California"/>
    <s v="Los Angeles County"/>
    <n v="1"/>
    <n v="5"/>
    <x v="1"/>
  </r>
  <r>
    <s v="TX500706"/>
    <s v="Sundresses"/>
    <n v="6"/>
    <n v="51.1"/>
    <n v="306.60000000000002"/>
    <d v="2025-01-30T00:00:00"/>
    <d v="2025-01-31T00:00:00"/>
    <s v="F"/>
    <x v="0"/>
    <n v="4"/>
    <s v="California"/>
    <s v="Los Angeles County"/>
    <n v="1"/>
    <n v="5"/>
    <x v="2"/>
  </r>
  <r>
    <s v="TX500707"/>
    <s v="Sneakers"/>
    <n v="5"/>
    <n v="79.900000000000006"/>
    <n v="399.5"/>
    <d v="2025-01-30T00:00:00"/>
    <d v="2025-02-01T00:00:00"/>
    <s v="M"/>
    <x v="3"/>
    <n v="5"/>
    <s v="California"/>
    <s v="Merced County"/>
    <n v="2"/>
    <n v="5"/>
    <x v="1"/>
  </r>
  <r>
    <s v="TX500708"/>
    <s v="Jeans"/>
    <n v="1"/>
    <n v="57.6"/>
    <n v="57.6"/>
    <d v="2025-01-31T00:00:00"/>
    <d v="2025-02-05T00:00:00"/>
    <s v="M"/>
    <x v="0"/>
    <n v="5"/>
    <s v="California"/>
    <s v="Monterey County"/>
    <n v="5"/>
    <n v="5"/>
    <x v="1"/>
  </r>
  <r>
    <s v="TX500709"/>
    <s v="T-Shirts"/>
    <n v="10"/>
    <n v="59.7"/>
    <n v="597"/>
    <d v="2025-01-31T00:00:00"/>
    <d v="2025-02-04T00:00:00"/>
    <s v="M"/>
    <x v="2"/>
    <n v="4"/>
    <s v="California"/>
    <s v="Orange County"/>
    <n v="4"/>
    <n v="5"/>
    <x v="1"/>
  </r>
  <r>
    <s v="TX500710"/>
    <s v="T-Shirts"/>
    <n v="5"/>
    <n v="30"/>
    <n v="150"/>
    <d v="2025-01-31T00:00:00"/>
    <d v="2025-02-02T00:00:00"/>
    <s v="M"/>
    <x v="1"/>
    <n v="4"/>
    <s v="California"/>
    <s v="Sacramento County"/>
    <n v="2"/>
    <n v="5"/>
    <x v="1"/>
  </r>
  <r>
    <s v="TX500711"/>
    <s v="Bikinis"/>
    <n v="2"/>
    <n v="69.2"/>
    <n v="138.4"/>
    <d v="2025-01-31T00:00:00"/>
    <d v="2025-02-02T00:00:00"/>
    <s v=""/>
    <x v="2"/>
    <n v="3"/>
    <s v="California"/>
    <s v="Sacramento County"/>
    <n v="2"/>
    <n v="5"/>
    <x v="0"/>
  </r>
  <r>
    <s v="TX500712"/>
    <s v="Shorts"/>
    <n v="8"/>
    <n v="10.9"/>
    <n v="87.2"/>
    <d v="2025-01-31T00:00:00"/>
    <d v="2025-02-01T00:00:00"/>
    <s v="F"/>
    <x v="0"/>
    <n v="5"/>
    <s v="California"/>
    <s v="Sacramento County"/>
    <n v="1"/>
    <n v="5"/>
    <x v="2"/>
  </r>
  <r>
    <s v="TX500713"/>
    <s v="Sunglasses"/>
    <n v="2"/>
    <n v="48.6"/>
    <n v="97.2"/>
    <d v="2025-01-31T00:00:00"/>
    <d v="2025-02-04T00:00:00"/>
    <s v="M"/>
    <x v="1"/>
    <n v="5"/>
    <s v="California"/>
    <s v="Sacramento County"/>
    <n v="4"/>
    <n v="5"/>
    <x v="1"/>
  </r>
  <r>
    <s v="TX500714"/>
    <s v="Sneakers"/>
    <n v="2"/>
    <n v="61.1"/>
    <n v="122.2"/>
    <d v="2025-01-31T00:00:00"/>
    <d v="2025-02-03T00:00:00"/>
    <s v="F"/>
    <x v="1"/>
    <n v="5"/>
    <s v="California"/>
    <s v="San Bernardino County"/>
    <n v="3"/>
    <n v="5"/>
    <x v="2"/>
  </r>
  <r>
    <s v="TX500715"/>
    <s v="T-Shirts"/>
    <n v="2"/>
    <n v="23.2"/>
    <n v="46.4"/>
    <d v="2025-01-31T00:00:00"/>
    <d v="2025-02-01T00:00:00"/>
    <s v="M"/>
    <x v="3"/>
    <n v="5"/>
    <s v="California"/>
    <s v="San Diego County"/>
    <n v="1"/>
    <n v="5"/>
    <x v="1"/>
  </r>
  <r>
    <s v="TX500716"/>
    <s v="Casual Dresses"/>
    <n v="4"/>
    <n v="55.8"/>
    <n v="223.2"/>
    <d v="2025-01-31T00:00:00"/>
    <d v="2025-02-01T00:00:00"/>
    <s v="M"/>
    <x v="0"/>
    <n v="4"/>
    <s v="California"/>
    <s v="San Diego County"/>
    <n v="1"/>
    <n v="5"/>
    <x v="1"/>
  </r>
  <r>
    <s v="TX500717"/>
    <s v="Sundresses"/>
    <n v="4"/>
    <n v="24.8"/>
    <n v="99.2"/>
    <d v="2025-01-31T00:00:00"/>
    <d v="2025-02-01T00:00:00"/>
    <s v="F"/>
    <x v="0"/>
    <n v="5"/>
    <s v="California"/>
    <s v="San Diego County"/>
    <n v="1"/>
    <n v="5"/>
    <x v="2"/>
  </r>
  <r>
    <s v="TX500718"/>
    <s v="Bikinis"/>
    <n v="2"/>
    <n v="27.9"/>
    <n v="55.8"/>
    <d v="2025-01-31T00:00:00"/>
    <d v="2025-01-31T00:00:00"/>
    <s v="M"/>
    <x v="2"/>
    <n v="5"/>
    <s v="California"/>
    <s v="San Diego County"/>
    <n v="0"/>
    <n v="5"/>
    <x v="1"/>
  </r>
  <r>
    <s v="TX500719"/>
    <s v="Bikinis"/>
    <n v="6"/>
    <n v="51.1"/>
    <n v="306.60000000000002"/>
    <d v="2025-01-31T00:00:00"/>
    <d v="2025-01-31T00:00:00"/>
    <s v="F"/>
    <x v="3"/>
    <n v="4"/>
    <s v="California"/>
    <s v="San Diego County"/>
    <n v="0"/>
    <n v="5"/>
    <x v="2"/>
  </r>
  <r>
    <s v="TX500720"/>
    <s v="Pajama Sets"/>
    <n v="11"/>
    <n v="32.700000000000003"/>
    <n v="359.70000000000005"/>
    <d v="2025-01-31T00:00:00"/>
    <d v="2025-02-01T00:00:00"/>
    <s v="M"/>
    <x v="4"/>
    <n v="5"/>
    <s v="California"/>
    <s v="San Francisco"/>
    <n v="1"/>
    <n v="5"/>
    <x v="1"/>
  </r>
  <r>
    <s v="TX500721"/>
    <s v="T-Shirts"/>
    <n v="4"/>
    <n v="22.5"/>
    <n v="90"/>
    <d v="2025-01-31T00:00:00"/>
    <d v="2025-01-31T00:00:00"/>
    <s v="M"/>
    <x v="0"/>
    <n v="5"/>
    <s v="California"/>
    <s v="San Joaquin County"/>
    <n v="0"/>
    <n v="5"/>
    <x v="1"/>
  </r>
  <r>
    <s v="TX500722"/>
    <s v="Shorts"/>
    <n v="7"/>
    <n v="14.6"/>
    <n v="102.2"/>
    <d v="2025-01-31T00:00:00"/>
    <d v="2025-02-01T00:00:00"/>
    <s v="F"/>
    <x v="2"/>
    <n v="4"/>
    <s v="California"/>
    <s v="San Luis Obispo County"/>
    <n v="1"/>
    <n v="5"/>
    <x v="2"/>
  </r>
  <r>
    <s v="TX500723"/>
    <s v="Sandals"/>
    <n v="3"/>
    <n v="32.5"/>
    <n v="97.5"/>
    <d v="2025-01-31T00:00:00"/>
    <d v="2025-02-03T00:00:00"/>
    <s v="M"/>
    <x v="0"/>
    <n v="4"/>
    <s v="California"/>
    <s v="Santa Barbara County"/>
    <n v="3"/>
    <n v="5"/>
    <x v="1"/>
  </r>
  <r>
    <s v="TX500724"/>
    <s v="Leggings"/>
    <n v="1"/>
    <n v="78.099999999999994"/>
    <n v="78.099999999999994"/>
    <d v="2025-01-31T00:00:00"/>
    <d v="2025-02-03T00:00:00"/>
    <s v="M"/>
    <x v="0"/>
    <n v="5"/>
    <s v="California"/>
    <s v="Santa Clara County"/>
    <n v="3"/>
    <n v="5"/>
    <x v="1"/>
  </r>
  <r>
    <s v="TX500725"/>
    <s v="Casual Dresses"/>
    <n v="6"/>
    <n v="110.2"/>
    <n v="661.2"/>
    <d v="2025-01-31T00:00:00"/>
    <d v="2025-01-31T00:00:00"/>
    <s v="M"/>
    <x v="1"/>
    <n v="2"/>
    <s v="California"/>
    <s v="Ventura County"/>
    <n v="0"/>
    <n v="5"/>
    <x v="1"/>
  </r>
  <r>
    <s v="TX500726"/>
    <s v="Jeans"/>
    <n v="3"/>
    <n v="86.3"/>
    <n v="258.89999999999998"/>
    <d v="2025-01-31T00:00:00"/>
    <d v="2025-02-02T00:00:00"/>
    <s v="F"/>
    <x v="3"/>
    <n v="4"/>
    <s v="California"/>
    <s v="Alameda County"/>
    <n v="2"/>
    <n v="5"/>
    <x v="2"/>
  </r>
  <r>
    <s v="TX500727"/>
    <s v="Tank Tops"/>
    <n v="6"/>
    <n v="73.599999999999994"/>
    <n v="441.59999999999997"/>
    <d v="2025-01-31T00:00:00"/>
    <d v="2025-02-02T00:00:00"/>
    <s v="O"/>
    <x v="3"/>
    <n v="2"/>
    <s v="California"/>
    <s v="Humboldt County"/>
    <n v="2"/>
    <n v="5"/>
    <x v="3"/>
  </r>
  <r>
    <s v="TX500728"/>
    <s v="Jeans"/>
    <n v="13"/>
    <n v="67.7"/>
    <n v="880.1"/>
    <d v="2025-01-31T00:00:00"/>
    <d v="2025-02-02T00:00:00"/>
    <s v="F"/>
    <x v="0"/>
    <n v="5"/>
    <s v="California"/>
    <s v="Los Angeles County"/>
    <n v="2"/>
    <n v="5"/>
    <x v="2"/>
  </r>
  <r>
    <s v="TX500729"/>
    <s v="Hoodies &amp; Sweatshirts"/>
    <n v="6"/>
    <n v="142.19999999999999"/>
    <n v="853.19999999999993"/>
    <d v="2025-01-31T00:00:00"/>
    <d v="2025-02-01T00:00:00"/>
    <s v="F"/>
    <x v="2"/>
    <n v="2"/>
    <s v="California"/>
    <s v="Los Angeles County"/>
    <n v="1"/>
    <n v="5"/>
    <x v="2"/>
  </r>
  <r>
    <s v="TX500730"/>
    <s v="Tank Tops"/>
    <n v="9"/>
    <n v="45.8"/>
    <n v="412.2"/>
    <d v="2025-01-31T00:00:00"/>
    <d v="2025-02-02T00:00:00"/>
    <s v="F"/>
    <x v="1"/>
    <n v="5"/>
    <s v="California"/>
    <s v="Los Angeles County"/>
    <n v="2"/>
    <n v="5"/>
    <x v="2"/>
  </r>
  <r>
    <s v="TX500731"/>
    <s v="Bikinis"/>
    <n v="2"/>
    <n v="24.2"/>
    <n v="48.4"/>
    <d v="2025-02-01T00:00:00"/>
    <d v="2025-02-04T00:00:00"/>
    <s v="F"/>
    <x v="3"/>
    <n v="5"/>
    <s v="California"/>
    <s v="Los Angeles County"/>
    <n v="3"/>
    <n v="5"/>
    <x v="2"/>
  </r>
  <r>
    <s v="TX500732"/>
    <s v="Sneakers"/>
    <n v="3"/>
    <n v="144.9"/>
    <n v="434.70000000000005"/>
    <d v="2025-02-01T00:00:00"/>
    <d v="2025-02-02T00:00:00"/>
    <s v="O"/>
    <x v="2"/>
    <n v="5"/>
    <s v="California"/>
    <s v="Los Angeles County"/>
    <n v="1"/>
    <n v="5"/>
    <x v="3"/>
  </r>
  <r>
    <s v="TX500733"/>
    <s v="Maxi Dresses"/>
    <n v="5"/>
    <n v="32.799999999999997"/>
    <n v="164"/>
    <d v="2025-02-01T00:00:00"/>
    <d v="2025-02-04T00:00:00"/>
    <s v="F"/>
    <x v="2"/>
    <n v="4"/>
    <s v="California"/>
    <s v="Riverside County"/>
    <n v="3"/>
    <n v="5"/>
    <x v="2"/>
  </r>
  <r>
    <s v="TX500734"/>
    <s v="Hoodies &amp; Sweatshirts"/>
    <n v="10"/>
    <n v="35.700000000000003"/>
    <n v="357"/>
    <d v="2025-02-01T00:00:00"/>
    <d v="2025-02-01T00:00:00"/>
    <s v="F"/>
    <x v="0"/>
    <n v="3"/>
    <s v="California"/>
    <s v="Sacramento County"/>
    <n v="0"/>
    <n v="5"/>
    <x v="2"/>
  </r>
  <r>
    <s v="TX500735"/>
    <s v="Sundresses"/>
    <n v="2"/>
    <n v="54.6"/>
    <n v="109.2"/>
    <d v="2025-02-01T00:00:00"/>
    <d v="2025-02-02T00:00:00"/>
    <s v="F"/>
    <x v="2"/>
    <n v="4"/>
    <s v="California"/>
    <s v="Sacramento County"/>
    <n v="1"/>
    <n v="5"/>
    <x v="2"/>
  </r>
  <r>
    <s v="TX500736"/>
    <s v="T-Shirts"/>
    <n v="2"/>
    <n v="35.700000000000003"/>
    <n v="71.400000000000006"/>
    <d v="2025-02-01T00:00:00"/>
    <d v="2025-02-04T00:00:00"/>
    <s v=""/>
    <x v="0"/>
    <n v="3"/>
    <s v="California"/>
    <s v="Sacramento County"/>
    <n v="3"/>
    <n v="5"/>
    <x v="0"/>
  </r>
  <r>
    <s v="TX500737"/>
    <s v="Bikinis"/>
    <n v="2"/>
    <n v="52.4"/>
    <n v="104.8"/>
    <d v="2025-02-01T00:00:00"/>
    <d v="2025-02-01T00:00:00"/>
    <s v="F"/>
    <x v="0"/>
    <n v="1"/>
    <s v="California"/>
    <s v="Sacramento County"/>
    <n v="0"/>
    <n v="5"/>
    <x v="2"/>
  </r>
  <r>
    <s v="TX500738"/>
    <s v="T-Shirts"/>
    <n v="14"/>
    <n v="16.2"/>
    <n v="226.79999999999998"/>
    <d v="2025-02-01T00:00:00"/>
    <d v="2025-02-02T00:00:00"/>
    <s v=""/>
    <x v="0"/>
    <n v="3"/>
    <s v="California"/>
    <s v="San Diego County"/>
    <n v="1"/>
    <n v="5"/>
    <x v="0"/>
  </r>
  <r>
    <s v="TX500739"/>
    <s v="Jeans"/>
    <n v="47"/>
    <n v="42.8"/>
    <n v="2011.6"/>
    <d v="2025-02-01T00:00:00"/>
    <d v="2025-02-02T00:00:00"/>
    <s v="F"/>
    <x v="0"/>
    <n v="4"/>
    <s v="California"/>
    <s v="San Diego County"/>
    <n v="1"/>
    <n v="5"/>
    <x v="2"/>
  </r>
  <r>
    <s v="TX500740"/>
    <s v="Jeans"/>
    <n v="9"/>
    <n v="144.4"/>
    <n v="1299.6000000000001"/>
    <d v="2025-02-01T00:00:00"/>
    <d v="2025-02-04T00:00:00"/>
    <s v="F"/>
    <x v="4"/>
    <n v="4"/>
    <s v="California"/>
    <s v="San Diego County"/>
    <n v="3"/>
    <n v="5"/>
    <x v="2"/>
  </r>
  <r>
    <s v="TX500741"/>
    <s v="Workout Tops"/>
    <n v="36"/>
    <n v="30.6"/>
    <n v="1101.6000000000001"/>
    <d v="2025-02-01T00:00:00"/>
    <d v="2025-02-05T00:00:00"/>
    <s v="F"/>
    <x v="2"/>
    <n v="5"/>
    <s v="California"/>
    <s v="Santa Clara County"/>
    <n v="4"/>
    <n v="5"/>
    <x v="2"/>
  </r>
  <r>
    <s v="TX500742"/>
    <s v="Sneakers"/>
    <n v="2"/>
    <n v="117.5"/>
    <n v="235"/>
    <d v="2025-02-01T00:00:00"/>
    <d v="2025-02-02T00:00:00"/>
    <s v="M"/>
    <x v="0"/>
    <n v="4"/>
    <s v="California"/>
    <s v="Stanislaus County"/>
    <n v="1"/>
    <n v="5"/>
    <x v="1"/>
  </r>
  <r>
    <s v="TX500743"/>
    <s v="Jeans"/>
    <n v="2"/>
    <n v="105.7"/>
    <n v="211.4"/>
    <d v="2025-02-01T00:00:00"/>
    <d v="2025-02-02T00:00:00"/>
    <s v="F"/>
    <x v="2"/>
    <n v="5"/>
    <s v="California"/>
    <s v="Alameda County"/>
    <n v="1"/>
    <n v="5"/>
    <x v="2"/>
  </r>
  <r>
    <s v="TX500744"/>
    <s v="Workout Tops"/>
    <n v="3"/>
    <n v="133.69999999999999"/>
    <n v="401.09999999999997"/>
    <d v="2025-02-01T00:00:00"/>
    <d v="2025-02-02T00:00:00"/>
    <s v=""/>
    <x v="4"/>
    <n v="5"/>
    <s v="California"/>
    <s v="Alameda County"/>
    <n v="1"/>
    <n v="5"/>
    <x v="0"/>
  </r>
  <r>
    <s v="TX500745"/>
    <s v="Graphic Tees"/>
    <n v="5"/>
    <n v="46.8"/>
    <n v="234"/>
    <d v="2025-02-02T00:00:00"/>
    <d v="2025-02-10T00:00:00"/>
    <s v="F"/>
    <x v="0"/>
    <n v="3"/>
    <s v="California"/>
    <s v="Alameda County"/>
    <n v="8"/>
    <n v="6"/>
    <x v="2"/>
  </r>
  <r>
    <s v="TX500746"/>
    <s v="Bikinis"/>
    <n v="3"/>
    <n v="58.4"/>
    <n v="175.2"/>
    <d v="2025-02-02T00:00:00"/>
    <d v="2025-02-04T00:00:00"/>
    <s v="F"/>
    <x v="0"/>
    <n v="4"/>
    <s v="California"/>
    <s v="Contra Costa County"/>
    <n v="2"/>
    <n v="6"/>
    <x v="2"/>
  </r>
  <r>
    <s v="TX500747"/>
    <s v="Jeans"/>
    <n v="9"/>
    <n v="65.099999999999994"/>
    <n v="585.9"/>
    <d v="2025-02-02T00:00:00"/>
    <d v="2025-02-06T00:00:00"/>
    <s v="M"/>
    <x v="1"/>
    <n v="5"/>
    <s v="California"/>
    <s v="Kern County"/>
    <n v="4"/>
    <n v="6"/>
    <x v="1"/>
  </r>
  <r>
    <s v="TX500748"/>
    <s v="T-Shirts"/>
    <n v="1"/>
    <n v="18.600000000000001"/>
    <n v="18.600000000000001"/>
    <d v="2025-02-02T00:00:00"/>
    <d v="2025-02-05T00:00:00"/>
    <s v="F"/>
    <x v="0"/>
    <n v="2"/>
    <s v="California"/>
    <s v="Kern County"/>
    <n v="3"/>
    <n v="6"/>
    <x v="2"/>
  </r>
  <r>
    <s v="TX500749"/>
    <s v="Tank Tops"/>
    <n v="11"/>
    <n v="92.3"/>
    <n v="1015.3"/>
    <d v="2025-02-02T00:00:00"/>
    <d v="2025-02-04T00:00:00"/>
    <s v="M"/>
    <x v="1"/>
    <n v="4"/>
    <s v="California"/>
    <s v="Los Angeles County"/>
    <n v="2"/>
    <n v="6"/>
    <x v="1"/>
  </r>
  <r>
    <s v="TX500750"/>
    <s v="Jeans"/>
    <n v="3"/>
    <n v="81.7"/>
    <n v="245.10000000000002"/>
    <d v="2025-02-02T00:00:00"/>
    <d v="2025-02-03T00:00:00"/>
    <s v=""/>
    <x v="4"/>
    <n v="2"/>
    <s v="California"/>
    <s v="Los Angeles County"/>
    <n v="1"/>
    <n v="6"/>
    <x v="0"/>
  </r>
  <r>
    <s v="TX500751"/>
    <s v="T-Shirts"/>
    <n v="2"/>
    <n v="40.9"/>
    <n v="81.8"/>
    <d v="2025-02-02T00:00:00"/>
    <d v="2025-02-04T00:00:00"/>
    <s v="M"/>
    <x v="0"/>
    <n v="3"/>
    <s v="California"/>
    <s v="Los Angeles County"/>
    <n v="2"/>
    <n v="6"/>
    <x v="1"/>
  </r>
  <r>
    <s v="TX500752"/>
    <s v="Jeans"/>
    <n v="4"/>
    <n v="43.2"/>
    <n v="172.8"/>
    <d v="2025-02-02T00:00:00"/>
    <d v="2025-02-08T00:00:00"/>
    <s v="F"/>
    <x v="0"/>
    <n v="3"/>
    <s v="California"/>
    <s v="Los Angeles County"/>
    <n v="6"/>
    <n v="6"/>
    <x v="2"/>
  </r>
  <r>
    <s v="TX500753"/>
    <s v="T-Shirts"/>
    <n v="11"/>
    <n v="25.8"/>
    <n v="283.8"/>
    <d v="2025-02-02T00:00:00"/>
    <d v="2025-02-05T00:00:00"/>
    <s v="M"/>
    <x v="2"/>
    <n v="3"/>
    <s v="California"/>
    <s v="Los Angeles County"/>
    <n v="3"/>
    <n v="6"/>
    <x v="1"/>
  </r>
  <r>
    <s v="TX500754"/>
    <s v="Crop Tops"/>
    <n v="4"/>
    <n v="36.4"/>
    <n v="145.6"/>
    <d v="2025-02-02T00:00:00"/>
    <d v="2025-02-03T00:00:00"/>
    <s v="M"/>
    <x v="0"/>
    <n v="4"/>
    <s v="California"/>
    <s v="Los Angeles County"/>
    <n v="1"/>
    <n v="6"/>
    <x v="1"/>
  </r>
  <r>
    <s v="TX500755"/>
    <s v="Bikinis"/>
    <n v="1"/>
    <n v="59.1"/>
    <n v="59.1"/>
    <d v="2025-02-02T00:00:00"/>
    <d v="2025-02-03T00:00:00"/>
    <s v="F"/>
    <x v="2"/>
    <n v="4"/>
    <s v="California"/>
    <s v="San Bernardino County"/>
    <n v="1"/>
    <n v="6"/>
    <x v="2"/>
  </r>
  <r>
    <s v="TX500756"/>
    <s v="Sneakers"/>
    <n v="17"/>
    <n v="74.5"/>
    <n v="1266.5"/>
    <d v="2025-02-02T00:00:00"/>
    <d v="2025-02-04T00:00:00"/>
    <s v="M"/>
    <x v="4"/>
    <n v="4"/>
    <s v="California"/>
    <s v="Sonoma County"/>
    <n v="2"/>
    <n v="6"/>
    <x v="1"/>
  </r>
  <r>
    <s v="TX500757"/>
    <s v="Sandals"/>
    <n v="1"/>
    <n v="72.8"/>
    <n v="72.8"/>
    <d v="2025-02-02T00:00:00"/>
    <d v="2025-02-03T00:00:00"/>
    <s v="F"/>
    <x v="0"/>
    <n v="3"/>
    <s v="California"/>
    <s v="Stanislaus County"/>
    <n v="1"/>
    <n v="6"/>
    <x v="2"/>
  </r>
  <r>
    <s v="TX500758"/>
    <s v="Jeans"/>
    <n v="4"/>
    <n v="137.30000000000001"/>
    <n v="549.20000000000005"/>
    <d v="2025-02-02T00:00:00"/>
    <d v="2025-02-05T00:00:00"/>
    <s v="F"/>
    <x v="0"/>
    <n v="4"/>
    <s v="California"/>
    <s v="Ventura County"/>
    <n v="3"/>
    <n v="6"/>
    <x v="2"/>
  </r>
  <r>
    <s v="TX500759"/>
    <s v="Tank Tops"/>
    <n v="3"/>
    <n v="48.7"/>
    <n v="146.10000000000002"/>
    <d v="2025-02-02T00:00:00"/>
    <d v="2025-02-07T00:00:00"/>
    <s v="F"/>
    <x v="0"/>
    <n v="3"/>
    <s v="California"/>
    <s v="Alameda County"/>
    <n v="5"/>
    <n v="6"/>
    <x v="2"/>
  </r>
  <r>
    <s v="TX500760"/>
    <s v="Jeans"/>
    <n v="4"/>
    <n v="53.7"/>
    <n v="214.8"/>
    <d v="2025-02-02T00:00:00"/>
    <d v="2025-02-06T00:00:00"/>
    <s v="M"/>
    <x v="1"/>
    <n v="2"/>
    <s v="California"/>
    <s v="Fresno County"/>
    <n v="4"/>
    <n v="6"/>
    <x v="1"/>
  </r>
  <r>
    <s v="TX500761"/>
    <s v="Sneakers"/>
    <n v="7"/>
    <n v="100.9"/>
    <n v="706.30000000000007"/>
    <d v="2025-02-02T00:00:00"/>
    <d v="2025-02-04T00:00:00"/>
    <s v="F"/>
    <x v="0"/>
    <n v="3"/>
    <s v="California"/>
    <s v="Fresno County"/>
    <n v="2"/>
    <n v="6"/>
    <x v="2"/>
  </r>
  <r>
    <s v="TX500762"/>
    <s v="Bikinis"/>
    <n v="2"/>
    <n v="41.8"/>
    <n v="83.6"/>
    <d v="2025-02-02T00:00:00"/>
    <d v="2025-02-06T00:00:00"/>
    <s v="M"/>
    <x v="3"/>
    <n v="5"/>
    <s v="California"/>
    <s v="Kern County"/>
    <n v="4"/>
    <n v="6"/>
    <x v="1"/>
  </r>
  <r>
    <s v="TX500763"/>
    <s v="Graphic Tees"/>
    <n v="8"/>
    <n v="28.5"/>
    <n v="228"/>
    <d v="2025-02-02T00:00:00"/>
    <d v="2025-02-04T00:00:00"/>
    <s v="M"/>
    <x v="2"/>
    <n v="3"/>
    <s v="California"/>
    <s v="Los Angeles County"/>
    <n v="2"/>
    <n v="6"/>
    <x v="1"/>
  </r>
  <r>
    <s v="TX500764"/>
    <s v="Hoodies &amp; Sweatshirts"/>
    <n v="4"/>
    <n v="88.9"/>
    <n v="355.6"/>
    <d v="2025-02-02T00:00:00"/>
    <d v="2025-02-05T00:00:00"/>
    <s v="F"/>
    <x v="0"/>
    <n v="5"/>
    <s v="California"/>
    <s v="Los Angeles County"/>
    <n v="3"/>
    <n v="6"/>
    <x v="2"/>
  </r>
  <r>
    <s v="TX500765"/>
    <s v="Jeans"/>
    <n v="1"/>
    <n v="62.5"/>
    <n v="62.5"/>
    <d v="2025-02-02T00:00:00"/>
    <d v="2025-02-11T00:00:00"/>
    <s v="F"/>
    <x v="0"/>
    <n v="5"/>
    <s v="California"/>
    <s v="Los Angeles County"/>
    <n v="9"/>
    <n v="6"/>
    <x v="2"/>
  </r>
  <r>
    <s v="TX500766"/>
    <s v="Tank Tops"/>
    <n v="3"/>
    <n v="46.9"/>
    <n v="140.69999999999999"/>
    <d v="2025-02-02T00:00:00"/>
    <d v="2025-02-03T00:00:00"/>
    <s v="M"/>
    <x v="0"/>
    <n v="5"/>
    <s v="California"/>
    <s v="Los Angeles County"/>
    <n v="1"/>
    <n v="6"/>
    <x v="1"/>
  </r>
  <r>
    <s v="TX500767"/>
    <s v="T-Shirts"/>
    <n v="3"/>
    <n v="45"/>
    <n v="135"/>
    <d v="2025-02-02T00:00:00"/>
    <d v="2025-02-16T00:00:00"/>
    <s v="M"/>
    <x v="1"/>
    <n v="4"/>
    <s v="California"/>
    <s v="Los Angeles County"/>
    <n v="14"/>
    <n v="6"/>
    <x v="1"/>
  </r>
  <r>
    <s v="TX500768"/>
    <s v="Jeans"/>
    <n v="3"/>
    <n v="45.2"/>
    <n v="135.60000000000002"/>
    <d v="2025-02-02T00:00:00"/>
    <d v="2025-02-04T00:00:00"/>
    <s v="M"/>
    <x v="4"/>
    <n v="5"/>
    <s v="California"/>
    <s v="Los Angeles County"/>
    <n v="2"/>
    <n v="6"/>
    <x v="1"/>
  </r>
  <r>
    <s v="TX500769"/>
    <s v="Graphic Tees"/>
    <n v="2"/>
    <n v="60.1"/>
    <n v="120.2"/>
    <d v="2025-02-02T00:00:00"/>
    <d v="2025-02-03T00:00:00"/>
    <s v="F"/>
    <x v="0"/>
    <n v="5"/>
    <s v="California"/>
    <s v="Los Angeles County"/>
    <n v="1"/>
    <n v="6"/>
    <x v="2"/>
  </r>
  <r>
    <s v="TX500770"/>
    <s v="Casual Dresses"/>
    <n v="4"/>
    <n v="118.7"/>
    <n v="474.8"/>
    <d v="2025-02-02T00:00:00"/>
    <d v="2025-02-04T00:00:00"/>
    <s v="F"/>
    <x v="0"/>
    <n v="4"/>
    <s v="California"/>
    <s v="Los Angeles County"/>
    <n v="2"/>
    <n v="6"/>
    <x v="2"/>
  </r>
  <r>
    <s v="TX500771"/>
    <s v="Sundresses"/>
    <n v="1"/>
    <n v="57.8"/>
    <n v="57.8"/>
    <d v="2025-02-02T00:00:00"/>
    <d v="2025-02-11T00:00:00"/>
    <s v="F"/>
    <x v="1"/>
    <n v="4"/>
    <s v="California"/>
    <s v="Los Angeles County"/>
    <n v="9"/>
    <n v="6"/>
    <x v="2"/>
  </r>
  <r>
    <s v="TX500772"/>
    <s v="Graphic Tees"/>
    <n v="1"/>
    <n v="19.5"/>
    <n v="19.5"/>
    <d v="2025-02-02T00:00:00"/>
    <d v="2025-02-03T00:00:00"/>
    <s v="M"/>
    <x v="1"/>
    <n v="3"/>
    <s v="California"/>
    <s v="Los Angeles County"/>
    <n v="1"/>
    <n v="6"/>
    <x v="1"/>
  </r>
  <r>
    <s v="TX500773"/>
    <s v="Casual Dresses"/>
    <n v="1"/>
    <n v="42.6"/>
    <n v="42.6"/>
    <d v="2025-02-02T00:00:00"/>
    <d v="2025-02-03T00:00:00"/>
    <s v="M"/>
    <x v="0"/>
    <n v="3"/>
    <s v="California"/>
    <s v="Los Angeles County"/>
    <n v="1"/>
    <n v="6"/>
    <x v="1"/>
  </r>
  <r>
    <s v="TX500774"/>
    <s v="Jeans"/>
    <n v="2"/>
    <n v="74.8"/>
    <n v="149.6"/>
    <d v="2025-02-02T00:00:00"/>
    <d v="2025-02-03T00:00:00"/>
    <s v="F"/>
    <x v="3"/>
    <n v="5"/>
    <s v="California"/>
    <s v="Madera County"/>
    <n v="1"/>
    <n v="6"/>
    <x v="2"/>
  </r>
  <r>
    <s v="TX500775"/>
    <s v="T-Shirts"/>
    <n v="3"/>
    <n v="32.5"/>
    <n v="97.5"/>
    <d v="2025-02-02T00:00:00"/>
    <d v="2025-02-03T00:00:00"/>
    <s v="M"/>
    <x v="2"/>
    <n v="2"/>
    <s v="California"/>
    <s v="Napa County"/>
    <n v="1"/>
    <n v="6"/>
    <x v="1"/>
  </r>
  <r>
    <s v="TX500776"/>
    <s v="Sneakers"/>
    <n v="3"/>
    <n v="60.5"/>
    <n v="181.5"/>
    <d v="2025-02-02T00:00:00"/>
    <d v="2025-02-02T00:00:00"/>
    <s v="F"/>
    <x v="1"/>
    <n v="5"/>
    <s v="California"/>
    <s v="Orange County"/>
    <n v="0"/>
    <n v="6"/>
    <x v="2"/>
  </r>
  <r>
    <s v="TX500777"/>
    <s v="Tank Tops"/>
    <n v="7"/>
    <n v="57.2"/>
    <n v="400.40000000000003"/>
    <d v="2025-02-02T00:00:00"/>
    <d v="2025-02-04T00:00:00"/>
    <s v=""/>
    <x v="2"/>
    <n v="4"/>
    <s v="California"/>
    <s v="Orange County"/>
    <n v="2"/>
    <n v="6"/>
    <x v="0"/>
  </r>
  <r>
    <s v="TX500778"/>
    <s v="Sunglasses"/>
    <n v="2"/>
    <n v="112"/>
    <n v="224"/>
    <d v="2025-02-02T00:00:00"/>
    <d v="2025-02-03T00:00:00"/>
    <s v="F"/>
    <x v="1"/>
    <n v="3"/>
    <s v="California"/>
    <s v="Placer County"/>
    <n v="1"/>
    <n v="6"/>
    <x v="2"/>
  </r>
  <r>
    <s v="TX500779"/>
    <s v="Hoodies &amp; Sweatshirts"/>
    <n v="10"/>
    <n v="49"/>
    <n v="490"/>
    <d v="2025-02-02T00:00:00"/>
    <d v="2025-02-03T00:00:00"/>
    <s v="O"/>
    <x v="2"/>
    <n v="3"/>
    <s v="California"/>
    <s v="Sacramento County"/>
    <n v="1"/>
    <n v="6"/>
    <x v="3"/>
  </r>
  <r>
    <s v="TX500780"/>
    <s v="Shorts"/>
    <n v="2"/>
    <n v="33.700000000000003"/>
    <n v="67.400000000000006"/>
    <d v="2025-02-02T00:00:00"/>
    <d v="2025-02-06T00:00:00"/>
    <s v="F"/>
    <x v="3"/>
    <n v="4"/>
    <s v="California"/>
    <s v="Sacramento County"/>
    <n v="4"/>
    <n v="6"/>
    <x v="2"/>
  </r>
  <r>
    <s v="TX500781"/>
    <s v="Graphic Tees"/>
    <n v="3"/>
    <n v="35.6"/>
    <n v="106.80000000000001"/>
    <d v="2025-02-02T00:00:00"/>
    <d v="2025-02-05T00:00:00"/>
    <s v="F"/>
    <x v="0"/>
    <n v="5"/>
    <s v="California"/>
    <s v="Sacramento County"/>
    <n v="3"/>
    <n v="6"/>
    <x v="2"/>
  </r>
  <r>
    <s v="TX500782"/>
    <s v="Graphic Tees"/>
    <n v="35"/>
    <n v="30.4"/>
    <n v="1064"/>
    <d v="2025-02-03T00:00:00"/>
    <d v="2025-02-03T00:00:00"/>
    <s v="F"/>
    <x v="0"/>
    <n v="3"/>
    <s v="California"/>
    <s v="San Bernardino County"/>
    <n v="0"/>
    <n v="6"/>
    <x v="2"/>
  </r>
  <r>
    <s v="TX500783"/>
    <s v="Bikinis"/>
    <n v="12"/>
    <n v="50.2"/>
    <n v="602.40000000000009"/>
    <d v="2025-02-03T00:00:00"/>
    <d v="2025-02-04T00:00:00"/>
    <s v="M"/>
    <x v="4"/>
    <n v="4"/>
    <s v="California"/>
    <s v="San Diego County"/>
    <n v="1"/>
    <n v="6"/>
    <x v="1"/>
  </r>
  <r>
    <s v="TX500784"/>
    <s v="Tank Tops"/>
    <n v="2"/>
    <n v="43.7"/>
    <n v="87.4"/>
    <d v="2025-02-03T00:00:00"/>
    <d v="2025-02-05T00:00:00"/>
    <s v="F"/>
    <x v="0"/>
    <n v="4"/>
    <s v="California"/>
    <s v="San Diego County"/>
    <n v="2"/>
    <n v="6"/>
    <x v="2"/>
  </r>
  <r>
    <s v="TX500785"/>
    <s v="Bikinis"/>
    <n v="1"/>
    <n v="33.299999999999997"/>
    <n v="33.299999999999997"/>
    <d v="2025-02-03T00:00:00"/>
    <d v="2025-02-04T00:00:00"/>
    <s v="F"/>
    <x v="2"/>
    <n v="3"/>
    <s v="California"/>
    <s v="San Diego County"/>
    <n v="1"/>
    <n v="6"/>
    <x v="2"/>
  </r>
  <r>
    <s v="TX500786"/>
    <s v="T-Shirts"/>
    <n v="4"/>
    <n v="15.1"/>
    <n v="60.4"/>
    <d v="2025-02-03T00:00:00"/>
    <d v="2025-02-05T00:00:00"/>
    <s v="F"/>
    <x v="4"/>
    <n v="5"/>
    <s v="California"/>
    <s v="San Diego County"/>
    <n v="2"/>
    <n v="6"/>
    <x v="2"/>
  </r>
  <r>
    <s v="TX500787"/>
    <s v="Jeans"/>
    <n v="5"/>
    <n v="118.2"/>
    <n v="591"/>
    <d v="2025-02-03T00:00:00"/>
    <d v="2025-02-04T00:00:00"/>
    <s v="F"/>
    <x v="3"/>
    <n v="2"/>
    <s v="California"/>
    <s v="San Diego County"/>
    <n v="1"/>
    <n v="6"/>
    <x v="2"/>
  </r>
  <r>
    <s v="TX500788"/>
    <s v="Bikinis"/>
    <n v="3"/>
    <n v="28.9"/>
    <n v="86.699999999999989"/>
    <d v="2025-02-03T00:00:00"/>
    <d v="2025-02-05T00:00:00"/>
    <s v="F"/>
    <x v="2"/>
    <n v="3"/>
    <s v="California"/>
    <s v="San Diego County"/>
    <n v="2"/>
    <n v="6"/>
    <x v="2"/>
  </r>
  <r>
    <s v="TX500789"/>
    <s v="Graphic Tees"/>
    <n v="3"/>
    <n v="55.6"/>
    <n v="166.8"/>
    <d v="2025-02-03T00:00:00"/>
    <d v="2025-02-04T00:00:00"/>
    <s v="M"/>
    <x v="0"/>
    <n v="3"/>
    <s v="California"/>
    <s v="San Diego County"/>
    <n v="1"/>
    <n v="6"/>
    <x v="1"/>
  </r>
  <r>
    <s v="TX500790"/>
    <s v="Sundresses"/>
    <n v="4"/>
    <n v="25.6"/>
    <n v="102.4"/>
    <d v="2025-02-03T00:00:00"/>
    <d v="2025-02-05T00:00:00"/>
    <s v="F"/>
    <x v="0"/>
    <n v="3"/>
    <s v="California"/>
    <s v="San Diego County"/>
    <n v="2"/>
    <n v="6"/>
    <x v="2"/>
  </r>
  <r>
    <s v="TX500791"/>
    <s v="Hoodies &amp; Sweatshirts"/>
    <n v="3"/>
    <n v="31.3"/>
    <n v="93.9"/>
    <d v="2025-02-03T00:00:00"/>
    <d v="2025-02-04T00:00:00"/>
    <s v="M"/>
    <x v="0"/>
    <n v="4"/>
    <s v="California"/>
    <s v="San Francisco"/>
    <n v="1"/>
    <n v="6"/>
    <x v="1"/>
  </r>
  <r>
    <s v="TX500792"/>
    <s v="Shorts"/>
    <n v="3"/>
    <n v="22.1"/>
    <n v="66.300000000000011"/>
    <d v="2025-02-03T00:00:00"/>
    <d v="2025-02-07T00:00:00"/>
    <s v="M"/>
    <x v="0"/>
    <n v="4"/>
    <s v="California"/>
    <s v="San Francisco"/>
    <n v="4"/>
    <n v="6"/>
    <x v="1"/>
  </r>
  <r>
    <s v="TX500793"/>
    <s v="Sneakers"/>
    <n v="14"/>
    <n v="99.4"/>
    <n v="1391.6000000000001"/>
    <d v="2025-02-03T00:00:00"/>
    <d v="2025-02-04T00:00:00"/>
    <s v="M"/>
    <x v="1"/>
    <n v="4"/>
    <s v="California"/>
    <s v="Santa Clara County"/>
    <n v="1"/>
    <n v="6"/>
    <x v="1"/>
  </r>
  <r>
    <s v="TX500794"/>
    <s v="Hoodies &amp; Sweatshirts"/>
    <n v="6"/>
    <n v="66.599999999999994"/>
    <n v="399.59999999999997"/>
    <d v="2025-02-03T00:00:00"/>
    <d v="2025-02-04T00:00:00"/>
    <s v="F"/>
    <x v="0"/>
    <n v="4"/>
    <s v="California"/>
    <s v="Santa Clara County"/>
    <n v="1"/>
    <n v="6"/>
    <x v="2"/>
  </r>
  <r>
    <s v="TX500795"/>
    <s v="T-Shirts"/>
    <n v="2"/>
    <n v="22.6"/>
    <n v="45.2"/>
    <d v="2025-02-03T00:00:00"/>
    <d v="2025-02-06T00:00:00"/>
    <s v="M"/>
    <x v="0"/>
    <n v="4"/>
    <s v="California"/>
    <s v="Santa Clara County"/>
    <n v="3"/>
    <n v="6"/>
    <x v="1"/>
  </r>
  <r>
    <s v="TX500796"/>
    <s v="Sneakers"/>
    <n v="18"/>
    <n v="66.8"/>
    <n v="1202.3999999999999"/>
    <d v="2025-02-03T00:00:00"/>
    <d v="2025-02-04T00:00:00"/>
    <s v="F"/>
    <x v="0"/>
    <n v="2"/>
    <s v="California"/>
    <s v="Ventura County"/>
    <n v="1"/>
    <n v="6"/>
    <x v="2"/>
  </r>
  <r>
    <s v="TX500797"/>
    <s v="Shorts"/>
    <n v="4"/>
    <n v="20.8"/>
    <n v="83.2"/>
    <d v="2025-02-03T00:00:00"/>
    <d v="2025-02-10T00:00:00"/>
    <s v="M"/>
    <x v="1"/>
    <n v="2"/>
    <s v="California"/>
    <s v="Contra Costa County"/>
    <n v="7"/>
    <n v="6"/>
    <x v="1"/>
  </r>
  <r>
    <s v="TX500798"/>
    <s v="Sneakers"/>
    <n v="7"/>
    <n v="102.5"/>
    <n v="717.5"/>
    <d v="2025-02-03T00:00:00"/>
    <d v="2025-02-04T00:00:00"/>
    <s v="F"/>
    <x v="4"/>
    <n v="5"/>
    <s v="California"/>
    <s v="Los Angeles County"/>
    <n v="1"/>
    <n v="6"/>
    <x v="2"/>
  </r>
  <r>
    <s v="TX500799"/>
    <s v="Shorts"/>
    <n v="18"/>
    <n v="24.8"/>
    <n v="446.40000000000003"/>
    <d v="2025-02-03T00:00:00"/>
    <d v="2025-02-07T00:00:00"/>
    <s v="F"/>
    <x v="0"/>
    <n v="4"/>
    <s v="California"/>
    <s v="Los Angeles County"/>
    <n v="4"/>
    <n v="6"/>
    <x v="2"/>
  </r>
  <r>
    <s v="TX500800"/>
    <s v="Graphic Tees"/>
    <n v="31"/>
    <n v="31.4"/>
    <n v="973.4"/>
    <d v="2025-02-03T00:00:00"/>
    <d v="2025-02-04T00:00:00"/>
    <s v="F"/>
    <x v="3"/>
    <n v="4"/>
    <s v="California"/>
    <s v="Los Angeles County"/>
    <n v="1"/>
    <n v="6"/>
    <x v="2"/>
  </r>
  <r>
    <s v="TX500801"/>
    <s v="Sundresses"/>
    <n v="5"/>
    <n v="59.3"/>
    <n v="296.5"/>
    <d v="2025-02-03T00:00:00"/>
    <d v="2025-02-06T00:00:00"/>
    <s v="M"/>
    <x v="1"/>
    <n v="5"/>
    <s v="California"/>
    <s v="Marin County"/>
    <n v="3"/>
    <n v="6"/>
    <x v="1"/>
  </r>
  <r>
    <s v="TX500802"/>
    <s v="Maxi Dresses"/>
    <n v="6"/>
    <n v="39"/>
    <n v="234"/>
    <d v="2025-02-03T00:00:00"/>
    <d v="2025-02-06T00:00:00"/>
    <s v="M"/>
    <x v="1"/>
    <n v="4"/>
    <s v="California"/>
    <s v="Sacramento County"/>
    <n v="3"/>
    <n v="6"/>
    <x v="1"/>
  </r>
  <r>
    <s v="TX500803"/>
    <s v="Sandals"/>
    <n v="6"/>
    <n v="98.6"/>
    <n v="591.59999999999991"/>
    <d v="2025-02-03T00:00:00"/>
    <d v="2025-02-05T00:00:00"/>
    <s v="F"/>
    <x v="1"/>
    <n v="4"/>
    <s v="California"/>
    <s v="Sacramento County"/>
    <n v="2"/>
    <n v="6"/>
    <x v="2"/>
  </r>
  <r>
    <s v="TX500804"/>
    <s v="T-Shirts"/>
    <n v="1"/>
    <n v="20"/>
    <n v="20"/>
    <d v="2025-02-04T00:00:00"/>
    <d v="2025-02-05T00:00:00"/>
    <s v="M"/>
    <x v="3"/>
    <n v="5"/>
    <s v="California"/>
    <s v="San Diego County"/>
    <n v="1"/>
    <n v="6"/>
    <x v="1"/>
  </r>
  <r>
    <s v="TX500805"/>
    <s v="Tank Tops"/>
    <n v="2"/>
    <n v="42.9"/>
    <n v="85.8"/>
    <d v="2025-02-04T00:00:00"/>
    <d v="2025-02-06T00:00:00"/>
    <s v="F"/>
    <x v="0"/>
    <n v="5"/>
    <s v="California"/>
    <s v="San Diego County"/>
    <n v="2"/>
    <n v="6"/>
    <x v="2"/>
  </r>
  <r>
    <s v="TX500806"/>
    <s v="Hoodies &amp; Sweatshirts"/>
    <n v="7"/>
    <n v="55.6"/>
    <n v="389.2"/>
    <d v="2025-02-04T00:00:00"/>
    <d v="2025-02-06T00:00:00"/>
    <s v="F"/>
    <x v="2"/>
    <n v="3"/>
    <s v="California"/>
    <s v="San Diego County"/>
    <n v="2"/>
    <n v="6"/>
    <x v="2"/>
  </r>
  <r>
    <s v="TX500807"/>
    <s v="T-Shirts"/>
    <n v="4"/>
    <n v="19.2"/>
    <n v="76.8"/>
    <d v="2025-02-04T00:00:00"/>
    <d v="2025-02-09T00:00:00"/>
    <s v="F"/>
    <x v="0"/>
    <n v="4"/>
    <s v="California"/>
    <s v="San Luis Obispo County"/>
    <n v="5"/>
    <n v="6"/>
    <x v="2"/>
  </r>
  <r>
    <s v="TX500808"/>
    <s v="Sandals"/>
    <n v="2"/>
    <n v="28.8"/>
    <n v="57.6"/>
    <d v="2025-02-04T00:00:00"/>
    <d v="2025-02-06T00:00:00"/>
    <s v="M"/>
    <x v="1"/>
    <n v="4"/>
    <s v="California"/>
    <s v="Sonoma County"/>
    <n v="2"/>
    <n v="6"/>
    <x v="1"/>
  </r>
  <r>
    <s v="TX500809"/>
    <s v="Graphic Tees"/>
    <n v="1"/>
    <n v="29.7"/>
    <n v="29.7"/>
    <d v="2025-02-04T00:00:00"/>
    <d v="2025-02-06T00:00:00"/>
    <s v="F"/>
    <x v="2"/>
    <n v="2"/>
    <s v="California"/>
    <s v="Tulare County"/>
    <n v="2"/>
    <n v="6"/>
    <x v="2"/>
  </r>
  <r>
    <s v="TX500810"/>
    <s v="Jeans"/>
    <n v="6"/>
    <n v="63.3"/>
    <n v="379.79999999999995"/>
    <d v="2025-02-04T00:00:00"/>
    <d v="2025-02-05T00:00:00"/>
    <s v=""/>
    <x v="0"/>
    <n v="5"/>
    <s v="California"/>
    <s v="Alameda County"/>
    <n v="1"/>
    <n v="6"/>
    <x v="0"/>
  </r>
  <r>
    <s v="TX500811"/>
    <s v="Graphic Tees"/>
    <n v="1"/>
    <n v="46"/>
    <n v="46"/>
    <d v="2025-02-04T00:00:00"/>
    <d v="2025-02-05T00:00:00"/>
    <s v="F"/>
    <x v="0"/>
    <n v="5"/>
    <s v="California"/>
    <s v="Alameda County"/>
    <n v="1"/>
    <n v="6"/>
    <x v="2"/>
  </r>
  <r>
    <s v="TX500812"/>
    <s v="Maxi Dresses"/>
    <n v="3"/>
    <n v="38"/>
    <n v="114"/>
    <d v="2025-02-04T00:00:00"/>
    <d v="2025-02-06T00:00:00"/>
    <s v="F"/>
    <x v="1"/>
    <n v="5"/>
    <s v="California"/>
    <s v="Alameda County"/>
    <n v="2"/>
    <n v="6"/>
    <x v="2"/>
  </r>
  <r>
    <s v="TX500813"/>
    <s v="Bikinis"/>
    <n v="13"/>
    <n v="34.6"/>
    <n v="449.8"/>
    <d v="2025-02-04T00:00:00"/>
    <d v="2025-02-06T00:00:00"/>
    <s v="F"/>
    <x v="0"/>
    <n v="3"/>
    <s v="California"/>
    <s v="Alameda County"/>
    <n v="2"/>
    <n v="6"/>
    <x v="2"/>
  </r>
  <r>
    <s v="TX500814"/>
    <s v="Workout Tops"/>
    <n v="10"/>
    <n v="79.7"/>
    <n v="797"/>
    <d v="2025-02-04T00:00:00"/>
    <d v="2025-02-05T00:00:00"/>
    <s v="F"/>
    <x v="4"/>
    <n v="3"/>
    <s v="California"/>
    <s v="Alameda County"/>
    <n v="1"/>
    <n v="6"/>
    <x v="2"/>
  </r>
  <r>
    <s v="TX500815"/>
    <s v="T-Shirts"/>
    <n v="8"/>
    <n v="30.5"/>
    <n v="244"/>
    <d v="2025-02-04T00:00:00"/>
    <d v="2025-02-08T00:00:00"/>
    <s v="M"/>
    <x v="3"/>
    <n v="4"/>
    <s v="California"/>
    <s v="Contra Costa County"/>
    <n v="4"/>
    <n v="6"/>
    <x v="1"/>
  </r>
  <r>
    <s v="TX500816"/>
    <s v="Shorts"/>
    <n v="2"/>
    <n v="20.8"/>
    <n v="41.6"/>
    <d v="2025-02-04T00:00:00"/>
    <d v="2025-02-05T00:00:00"/>
    <s v="F"/>
    <x v="0"/>
    <n v="4"/>
    <s v="California"/>
    <s v="Fresno County"/>
    <n v="1"/>
    <n v="6"/>
    <x v="2"/>
  </r>
  <r>
    <s v="TX500817"/>
    <s v="Maxi Dresses"/>
    <n v="7"/>
    <n v="48.5"/>
    <n v="339.5"/>
    <d v="2025-02-04T00:00:00"/>
    <d v="2025-02-08T00:00:00"/>
    <s v="F"/>
    <x v="2"/>
    <n v="5"/>
    <s v="California"/>
    <s v="Fresno County"/>
    <n v="4"/>
    <n v="6"/>
    <x v="2"/>
  </r>
  <r>
    <s v="TX500818"/>
    <s v="Sneakers"/>
    <n v="4"/>
    <n v="61.8"/>
    <n v="247.2"/>
    <d v="2025-02-04T00:00:00"/>
    <d v="2025-02-08T00:00:00"/>
    <s v="F"/>
    <x v="4"/>
    <n v="4"/>
    <s v="California"/>
    <s v="Kern County"/>
    <n v="4"/>
    <n v="6"/>
    <x v="2"/>
  </r>
  <r>
    <s v="TX500819"/>
    <s v="Bikinis"/>
    <n v="1"/>
    <n v="46.1"/>
    <n v="46.1"/>
    <d v="2025-02-04T00:00:00"/>
    <d v="2025-02-05T00:00:00"/>
    <s v="O"/>
    <x v="2"/>
    <n v="4"/>
    <s v="California"/>
    <s v="Los Angeles County"/>
    <n v="1"/>
    <n v="6"/>
    <x v="3"/>
  </r>
  <r>
    <s v="TX500820"/>
    <s v="Graphic Tees"/>
    <n v="6"/>
    <n v="44"/>
    <n v="264"/>
    <d v="2025-02-04T00:00:00"/>
    <d v="2025-02-05T00:00:00"/>
    <s v="F"/>
    <x v="0"/>
    <n v="4"/>
    <s v="California"/>
    <s v="Los Angeles County"/>
    <n v="1"/>
    <n v="6"/>
    <x v="2"/>
  </r>
  <r>
    <s v="TX500821"/>
    <s v="Leggings"/>
    <n v="2"/>
    <n v="95.7"/>
    <n v="191.4"/>
    <d v="2025-02-04T00:00:00"/>
    <d v="2025-02-10T00:00:00"/>
    <s v="F"/>
    <x v="3"/>
    <n v="5"/>
    <s v="California"/>
    <s v="Los Angeles County"/>
    <n v="6"/>
    <n v="6"/>
    <x v="2"/>
  </r>
  <r>
    <s v="TX500822"/>
    <s v="Hoodies &amp; Sweatshirts"/>
    <n v="5"/>
    <n v="46.4"/>
    <n v="232"/>
    <d v="2025-02-04T00:00:00"/>
    <d v="2025-02-07T00:00:00"/>
    <s v="F"/>
    <x v="0"/>
    <n v="4"/>
    <s v="California"/>
    <s v="Los Angeles County"/>
    <n v="3"/>
    <n v="6"/>
    <x v="2"/>
  </r>
  <r>
    <s v="TX500823"/>
    <s v="Jeans"/>
    <n v="2"/>
    <n v="47.2"/>
    <n v="94.4"/>
    <d v="2025-02-04T00:00:00"/>
    <d v="2025-02-06T00:00:00"/>
    <s v="F"/>
    <x v="0"/>
    <n v="5"/>
    <s v="California"/>
    <s v="Los Angeles County"/>
    <n v="2"/>
    <n v="6"/>
    <x v="2"/>
  </r>
  <r>
    <s v="TX500824"/>
    <s v="Hoodies &amp; Sweatshirts"/>
    <n v="2"/>
    <n v="58.6"/>
    <n v="117.2"/>
    <d v="2025-02-04T00:00:00"/>
    <d v="2025-02-05T00:00:00"/>
    <s v="F"/>
    <x v="2"/>
    <n v="3"/>
    <s v="California"/>
    <s v="Los Angeles County"/>
    <n v="1"/>
    <n v="6"/>
    <x v="2"/>
  </r>
  <r>
    <s v="TX500825"/>
    <s v="Graphic Tees"/>
    <n v="3"/>
    <n v="57"/>
    <n v="171"/>
    <d v="2025-02-04T00:00:00"/>
    <d v="2025-02-05T00:00:00"/>
    <s v="M"/>
    <x v="0"/>
    <n v="5"/>
    <s v="California"/>
    <s v="Los Angeles County"/>
    <n v="1"/>
    <n v="6"/>
    <x v="1"/>
  </r>
  <r>
    <s v="TX500826"/>
    <s v="T-Shirts"/>
    <n v="4"/>
    <n v="28.9"/>
    <n v="115.6"/>
    <d v="2025-02-04T00:00:00"/>
    <d v="2025-02-08T00:00:00"/>
    <s v="M"/>
    <x v="2"/>
    <n v="4"/>
    <s v="California"/>
    <s v="Los Angeles County"/>
    <n v="4"/>
    <n v="6"/>
    <x v="1"/>
  </r>
  <r>
    <s v="TX500827"/>
    <s v="Casual Dresses"/>
    <n v="5"/>
    <n v="60.7"/>
    <n v="303.5"/>
    <d v="2025-02-04T00:00:00"/>
    <d v="2025-02-08T00:00:00"/>
    <s v=""/>
    <x v="1"/>
    <n v="3"/>
    <s v="California"/>
    <s v="Los Angeles County"/>
    <n v="4"/>
    <n v="6"/>
    <x v="0"/>
  </r>
  <r>
    <s v="TX500828"/>
    <s v="Jeans"/>
    <n v="5"/>
    <n v="60.8"/>
    <n v="304"/>
    <d v="2025-02-04T00:00:00"/>
    <d v="2025-02-08T00:00:00"/>
    <s v="M"/>
    <x v="0"/>
    <n v="3"/>
    <s v="California"/>
    <s v="Los Angeles County"/>
    <n v="4"/>
    <n v="6"/>
    <x v="1"/>
  </r>
  <r>
    <s v="TX500829"/>
    <s v="Jeans"/>
    <n v="5"/>
    <n v="64.599999999999994"/>
    <n v="323"/>
    <d v="2025-02-04T00:00:00"/>
    <d v="2025-02-05T00:00:00"/>
    <s v="F"/>
    <x v="3"/>
    <n v="4"/>
    <s v="California"/>
    <s v="Los Angeles County"/>
    <n v="1"/>
    <n v="6"/>
    <x v="2"/>
  </r>
  <r>
    <s v="TX500830"/>
    <s v="T-Shirts"/>
    <n v="1"/>
    <n v="21.9"/>
    <n v="21.9"/>
    <d v="2025-02-04T00:00:00"/>
    <d v="2025-02-07T00:00:00"/>
    <s v="M"/>
    <x v="1"/>
    <n v="5"/>
    <s v="California"/>
    <s v="Nevada County"/>
    <n v="3"/>
    <n v="6"/>
    <x v="1"/>
  </r>
  <r>
    <s v="TX500831"/>
    <s v="Graphic Tees"/>
    <n v="12"/>
    <n v="33.4"/>
    <n v="400.79999999999995"/>
    <d v="2025-02-04T00:00:00"/>
    <d v="2025-02-06T00:00:00"/>
    <s v="F"/>
    <x v="0"/>
    <n v="4"/>
    <s v="California"/>
    <s v="Riverside County"/>
    <n v="2"/>
    <n v="6"/>
    <x v="2"/>
  </r>
  <r>
    <s v="TX500832"/>
    <s v="Sneakers"/>
    <n v="1"/>
    <n v="51.7"/>
    <n v="51.7"/>
    <d v="2025-02-04T00:00:00"/>
    <d v="2025-02-05T00:00:00"/>
    <s v=""/>
    <x v="0"/>
    <n v="4"/>
    <s v="California"/>
    <s v="Sacramento County"/>
    <n v="1"/>
    <n v="6"/>
    <x v="0"/>
  </r>
  <r>
    <s v="TX500833"/>
    <s v="Tank Tops"/>
    <n v="4"/>
    <n v="84.9"/>
    <n v="339.6"/>
    <d v="2025-02-04T00:00:00"/>
    <d v="2025-02-05T00:00:00"/>
    <s v="F"/>
    <x v="1"/>
    <n v="3"/>
    <s v="California"/>
    <s v="Sacramento County"/>
    <n v="1"/>
    <n v="6"/>
    <x v="2"/>
  </r>
  <r>
    <s v="TX500834"/>
    <s v="Tank Tops"/>
    <n v="11"/>
    <n v="62.3"/>
    <n v="685.3"/>
    <d v="2025-02-04T00:00:00"/>
    <d v="2025-02-05T00:00:00"/>
    <s v="F"/>
    <x v="2"/>
    <n v="5"/>
    <s v="California"/>
    <s v="San Bernardino County"/>
    <n v="1"/>
    <n v="6"/>
    <x v="2"/>
  </r>
  <r>
    <s v="TX500835"/>
    <s v="Graphic Tees"/>
    <n v="1"/>
    <n v="50.7"/>
    <n v="50.7"/>
    <d v="2025-02-04T00:00:00"/>
    <d v="2025-02-06T00:00:00"/>
    <s v="M"/>
    <x v="2"/>
    <n v="5"/>
    <s v="California"/>
    <s v="San Diego County"/>
    <n v="2"/>
    <n v="6"/>
    <x v="1"/>
  </r>
  <r>
    <s v="TX500836"/>
    <s v="Leggings"/>
    <n v="1"/>
    <n v="39.5"/>
    <n v="39.5"/>
    <d v="2025-02-04T00:00:00"/>
    <d v="2025-02-05T00:00:00"/>
    <s v="M"/>
    <x v="4"/>
    <n v="3"/>
    <s v="California"/>
    <s v="San Diego County"/>
    <n v="1"/>
    <n v="6"/>
    <x v="1"/>
  </r>
  <r>
    <s v="TX500837"/>
    <s v="Casual Dresses"/>
    <n v="3"/>
    <n v="30.9"/>
    <n v="92.699999999999989"/>
    <d v="2025-02-04T00:00:00"/>
    <d v="2025-02-05T00:00:00"/>
    <s v=""/>
    <x v="4"/>
    <n v="5"/>
    <s v="California"/>
    <s v="San Diego County"/>
    <n v="1"/>
    <n v="6"/>
    <x v="0"/>
  </r>
  <r>
    <s v="TX500838"/>
    <s v="Tank Tops"/>
    <n v="7"/>
    <n v="36.4"/>
    <n v="254.79999999999998"/>
    <d v="2025-02-04T00:00:00"/>
    <d v="2025-02-07T00:00:00"/>
    <s v="F"/>
    <x v="0"/>
    <n v="5"/>
    <s v="California"/>
    <s v="San Diego County"/>
    <n v="3"/>
    <n v="6"/>
    <x v="2"/>
  </r>
  <r>
    <s v="TX500839"/>
    <s v="Jeans"/>
    <n v="8"/>
    <n v="105.6"/>
    <n v="844.8"/>
    <d v="2025-02-04T00:00:00"/>
    <d v="2025-02-14T00:00:00"/>
    <s v="F"/>
    <x v="0"/>
    <n v="4"/>
    <s v="California"/>
    <s v="San Diego County"/>
    <n v="10"/>
    <n v="6"/>
    <x v="2"/>
  </r>
  <r>
    <s v="TX500840"/>
    <s v="T-Shirts"/>
    <n v="2"/>
    <n v="22.1"/>
    <n v="44.2"/>
    <d v="2025-02-04T00:00:00"/>
    <d v="2025-02-05T00:00:00"/>
    <s v="F"/>
    <x v="0"/>
    <n v="5"/>
    <s v="California"/>
    <s v="San Francisco"/>
    <n v="1"/>
    <n v="6"/>
    <x v="2"/>
  </r>
  <r>
    <s v="TX500841"/>
    <s v="Shorts"/>
    <n v="3"/>
    <n v="22.6"/>
    <n v="67.800000000000011"/>
    <d v="2025-02-04T00:00:00"/>
    <d v="2025-02-05T00:00:00"/>
    <s v="F"/>
    <x v="2"/>
    <n v="4"/>
    <s v="California"/>
    <s v="San Francisco"/>
    <n v="1"/>
    <n v="6"/>
    <x v="2"/>
  </r>
  <r>
    <s v="TX500842"/>
    <s v="Bikinis"/>
    <n v="6"/>
    <n v="26.3"/>
    <n v="157.80000000000001"/>
    <d v="2025-02-04T00:00:00"/>
    <d v="2025-02-04T00:00:00"/>
    <s v="F"/>
    <x v="2"/>
    <n v="4"/>
    <s v="California"/>
    <s v="San Mateo County"/>
    <n v="0"/>
    <n v="6"/>
    <x v="2"/>
  </r>
  <r>
    <s v="TX500843"/>
    <s v="Tank Tops"/>
    <n v="4"/>
    <n v="37.799999999999997"/>
    <n v="151.19999999999999"/>
    <d v="2025-02-04T00:00:00"/>
    <d v="2025-02-05T00:00:00"/>
    <s v="F"/>
    <x v="0"/>
    <n v="5"/>
    <s v="California"/>
    <s v="Santa Clara County"/>
    <n v="1"/>
    <n v="6"/>
    <x v="2"/>
  </r>
  <r>
    <s v="TX500844"/>
    <s v="Jeans"/>
    <n v="17"/>
    <n v="96"/>
    <n v="1632"/>
    <d v="2025-02-04T00:00:00"/>
    <d v="2025-02-07T00:00:00"/>
    <s v="F"/>
    <x v="4"/>
    <n v="3"/>
    <s v="California"/>
    <s v="Sonoma County"/>
    <n v="3"/>
    <n v="6"/>
    <x v="2"/>
  </r>
  <r>
    <s v="TX500845"/>
    <s v="Tank Tops"/>
    <n v="1"/>
    <n v="83.6"/>
    <n v="83.6"/>
    <d v="2025-02-04T00:00:00"/>
    <d v="2025-02-07T00:00:00"/>
    <s v="F"/>
    <x v="2"/>
    <n v="3"/>
    <s v="California"/>
    <s v="Stanislaus County"/>
    <n v="3"/>
    <n v="6"/>
    <x v="2"/>
  </r>
  <r>
    <s v="TX500846"/>
    <s v="Sneakers"/>
    <n v="6"/>
    <n v="72.599999999999994"/>
    <n v="435.59999999999997"/>
    <d v="2025-02-04T00:00:00"/>
    <d v="2025-02-05T00:00:00"/>
    <s v="F"/>
    <x v="0"/>
    <n v="4"/>
    <s v="California"/>
    <s v="Alameda County"/>
    <n v="1"/>
    <n v="6"/>
    <x v="2"/>
  </r>
  <r>
    <s v="TX500847"/>
    <s v="Sandals"/>
    <n v="20"/>
    <n v="69.099999999999994"/>
    <n v="1382"/>
    <d v="2025-02-05T00:00:00"/>
    <d v="2025-02-11T00:00:00"/>
    <s v="M"/>
    <x v="0"/>
    <n v="5"/>
    <s v="California"/>
    <s v="Alameda County"/>
    <n v="6"/>
    <n v="6"/>
    <x v="1"/>
  </r>
  <r>
    <s v="TX500848"/>
    <s v="Graphic Tees"/>
    <n v="2"/>
    <n v="22.6"/>
    <n v="45.2"/>
    <d v="2025-02-05T00:00:00"/>
    <d v="2025-02-07T00:00:00"/>
    <s v="F"/>
    <x v="1"/>
    <n v="5"/>
    <s v="California"/>
    <s v="Alameda County"/>
    <n v="2"/>
    <n v="6"/>
    <x v="2"/>
  </r>
  <r>
    <s v="TX500849"/>
    <s v="Jeans"/>
    <n v="2"/>
    <n v="45.3"/>
    <n v="90.6"/>
    <d v="2025-02-05T00:00:00"/>
    <d v="2025-02-09T00:00:00"/>
    <s v="M"/>
    <x v="4"/>
    <n v="5"/>
    <s v="California"/>
    <s v="Alameda County"/>
    <n v="4"/>
    <n v="6"/>
    <x v="1"/>
  </r>
  <r>
    <s v="TX500850"/>
    <s v="Sneakers"/>
    <n v="2"/>
    <n v="115.1"/>
    <n v="230.2"/>
    <d v="2025-02-05T00:00:00"/>
    <d v="2025-02-06T00:00:00"/>
    <s v="F"/>
    <x v="1"/>
    <n v="4"/>
    <s v="California"/>
    <s v="Contra Costa County"/>
    <n v="1"/>
    <n v="6"/>
    <x v="2"/>
  </r>
  <r>
    <s v="TX500851"/>
    <s v="Leggings"/>
    <n v="4"/>
    <n v="79"/>
    <n v="316"/>
    <d v="2025-02-05T00:00:00"/>
    <d v="2025-02-07T00:00:00"/>
    <s v="M"/>
    <x v="2"/>
    <n v="2"/>
    <s v="California"/>
    <s v="Contra Costa County"/>
    <n v="2"/>
    <n v="6"/>
    <x v="1"/>
  </r>
  <r>
    <s v="TX500852"/>
    <s v="Jeans"/>
    <n v="5"/>
    <n v="52.8"/>
    <n v="264"/>
    <d v="2025-02-05T00:00:00"/>
    <d v="2025-02-06T00:00:00"/>
    <s v="F"/>
    <x v="0"/>
    <n v="4"/>
    <s v="California"/>
    <s v="El Dorado County"/>
    <n v="1"/>
    <n v="6"/>
    <x v="2"/>
  </r>
  <r>
    <s v="TX500853"/>
    <s v="T-Shirts"/>
    <n v="2"/>
    <n v="34.1"/>
    <n v="68.2"/>
    <d v="2025-02-05T00:00:00"/>
    <d v="2025-02-06T00:00:00"/>
    <s v="M"/>
    <x v="3"/>
    <n v="5"/>
    <s v="California"/>
    <s v="Humboldt County"/>
    <n v="1"/>
    <n v="6"/>
    <x v="1"/>
  </r>
  <r>
    <s v="TX500854"/>
    <s v="Jeans"/>
    <n v="5"/>
    <n v="107.9"/>
    <n v="539.5"/>
    <d v="2025-02-05T00:00:00"/>
    <d v="2025-02-05T00:00:00"/>
    <s v="F"/>
    <x v="0"/>
    <n v="5"/>
    <s v="California"/>
    <s v="Lake County"/>
    <n v="0"/>
    <n v="6"/>
    <x v="2"/>
  </r>
  <r>
    <s v="TX500855"/>
    <s v="T-Shirts"/>
    <n v="13"/>
    <n v="48.5"/>
    <n v="630.5"/>
    <d v="2025-02-05T00:00:00"/>
    <d v="2025-02-05T00:00:00"/>
    <s v="M"/>
    <x v="2"/>
    <n v="5"/>
    <s v="California"/>
    <s v="Los Angeles County"/>
    <n v="0"/>
    <n v="6"/>
    <x v="1"/>
  </r>
  <r>
    <s v="TX500856"/>
    <s v="Sandals"/>
    <n v="3"/>
    <n v="34.700000000000003"/>
    <n v="104.10000000000001"/>
    <d v="2025-02-05T00:00:00"/>
    <d v="2025-02-06T00:00:00"/>
    <s v=""/>
    <x v="4"/>
    <n v="3"/>
    <s v="California"/>
    <s v="Los Angeles County"/>
    <n v="1"/>
    <n v="6"/>
    <x v="0"/>
  </r>
  <r>
    <s v="TX500857"/>
    <s v="T-Shirts"/>
    <n v="1"/>
    <n v="16.8"/>
    <n v="16.8"/>
    <d v="2025-02-05T00:00:00"/>
    <d v="2025-02-07T00:00:00"/>
    <s v="F"/>
    <x v="3"/>
    <n v="4"/>
    <s v="California"/>
    <s v="Los Angeles County"/>
    <n v="2"/>
    <n v="6"/>
    <x v="2"/>
  </r>
  <r>
    <s v="TX500858"/>
    <s v="T-Shirts"/>
    <n v="6"/>
    <n v="18.3"/>
    <n v="109.80000000000001"/>
    <d v="2025-02-05T00:00:00"/>
    <d v="2025-02-08T00:00:00"/>
    <s v="F"/>
    <x v="0"/>
    <n v="4"/>
    <s v="California"/>
    <s v="Los Angeles County"/>
    <n v="3"/>
    <n v="6"/>
    <x v="2"/>
  </r>
  <r>
    <s v="TX500859"/>
    <s v="Leggings"/>
    <n v="3"/>
    <n v="55.9"/>
    <n v="167.7"/>
    <d v="2025-02-05T00:00:00"/>
    <d v="2025-02-11T00:00:00"/>
    <s v="M"/>
    <x v="3"/>
    <n v="3"/>
    <s v="California"/>
    <s v="Los Angeles County"/>
    <n v="6"/>
    <n v="6"/>
    <x v="1"/>
  </r>
  <r>
    <s v="TX500860"/>
    <s v="T-Shirts"/>
    <n v="3"/>
    <n v="39.200000000000003"/>
    <n v="117.60000000000001"/>
    <d v="2025-02-05T00:00:00"/>
    <d v="2025-02-07T00:00:00"/>
    <s v="F"/>
    <x v="0"/>
    <n v="3"/>
    <s v="California"/>
    <s v="Los Angeles County"/>
    <n v="2"/>
    <n v="6"/>
    <x v="2"/>
  </r>
  <r>
    <s v="TX500861"/>
    <s v="Crop Tops"/>
    <n v="4"/>
    <n v="66.5"/>
    <n v="266"/>
    <d v="2025-02-05T00:00:00"/>
    <d v="2025-02-07T00:00:00"/>
    <s v=""/>
    <x v="3"/>
    <n v="3"/>
    <s v="California"/>
    <s v="Los Angeles County"/>
    <n v="2"/>
    <n v="6"/>
    <x v="0"/>
  </r>
  <r>
    <s v="TX500862"/>
    <s v="Jeans"/>
    <n v="6"/>
    <n v="52.1"/>
    <n v="312.60000000000002"/>
    <d v="2025-02-05T00:00:00"/>
    <d v="2025-02-07T00:00:00"/>
    <s v="M"/>
    <x v="1"/>
    <n v="3"/>
    <s v="California"/>
    <s v="Napa County"/>
    <n v="2"/>
    <n v="6"/>
    <x v="1"/>
  </r>
  <r>
    <s v="TX500863"/>
    <s v="T-Shirts"/>
    <n v="2"/>
    <n v="19"/>
    <n v="38"/>
    <d v="2025-02-05T00:00:00"/>
    <d v="2025-02-06T00:00:00"/>
    <s v="M"/>
    <x v="4"/>
    <n v="5"/>
    <s v="California"/>
    <s v="Sacramento County"/>
    <n v="1"/>
    <n v="6"/>
    <x v="1"/>
  </r>
  <r>
    <s v="TX500864"/>
    <s v="Hoodies &amp; Sweatshirts"/>
    <n v="3"/>
    <n v="84.8"/>
    <n v="254.39999999999998"/>
    <d v="2025-02-05T00:00:00"/>
    <d v="2025-02-07T00:00:00"/>
    <s v="F"/>
    <x v="2"/>
    <n v="4"/>
    <s v="California"/>
    <s v="San Diego County"/>
    <n v="2"/>
    <n v="6"/>
    <x v="2"/>
  </r>
  <r>
    <s v="TX500865"/>
    <s v="Sneakers"/>
    <n v="4"/>
    <n v="63.9"/>
    <n v="255.6"/>
    <d v="2025-02-05T00:00:00"/>
    <d v="2025-02-08T00:00:00"/>
    <s v="F"/>
    <x v="0"/>
    <n v="4"/>
    <s v="California"/>
    <s v="San Diego County"/>
    <n v="3"/>
    <n v="6"/>
    <x v="2"/>
  </r>
  <r>
    <s v="TX500866"/>
    <s v="Sneakers"/>
    <n v="3"/>
    <n v="65.5"/>
    <n v="196.5"/>
    <d v="2025-02-05T00:00:00"/>
    <d v="2025-02-05T00:00:00"/>
    <s v="F"/>
    <x v="1"/>
    <n v="3"/>
    <s v="California"/>
    <s v="San Diego County"/>
    <n v="0"/>
    <n v="6"/>
    <x v="2"/>
  </r>
  <r>
    <s v="TX500867"/>
    <s v="Casual Dresses"/>
    <n v="2"/>
    <n v="116.2"/>
    <n v="232.4"/>
    <d v="2025-02-05T00:00:00"/>
    <d v="2025-02-11T00:00:00"/>
    <s v="M"/>
    <x v="3"/>
    <n v="4"/>
    <s v="California"/>
    <s v="San Francisco"/>
    <n v="6"/>
    <n v="6"/>
    <x v="1"/>
  </r>
  <r>
    <s v="TX500868"/>
    <s v="Bikinis"/>
    <n v="4"/>
    <n v="22.9"/>
    <n v="91.6"/>
    <d v="2025-02-05T00:00:00"/>
    <d v="2025-02-07T00:00:00"/>
    <s v="F"/>
    <x v="2"/>
    <n v="3"/>
    <s v="California"/>
    <s v="Solano County"/>
    <n v="2"/>
    <n v="6"/>
    <x v="2"/>
  </r>
  <r>
    <s v="TX500869"/>
    <s v="Bikinis"/>
    <n v="3"/>
    <n v="53.7"/>
    <n v="161.10000000000002"/>
    <d v="2025-02-05T00:00:00"/>
    <d v="2025-02-06T00:00:00"/>
    <s v="M"/>
    <x v="0"/>
    <n v="2"/>
    <s v="California"/>
    <s v="Sonoma County"/>
    <n v="1"/>
    <n v="6"/>
    <x v="1"/>
  </r>
  <r>
    <s v="TX500870"/>
    <s v="Jeans"/>
    <n v="5"/>
    <n v="43.2"/>
    <n v="216"/>
    <d v="2025-02-05T00:00:00"/>
    <d v="2025-02-07T00:00:00"/>
    <s v="F"/>
    <x v="0"/>
    <n v="4"/>
    <s v="California"/>
    <s v="Stanislaus County"/>
    <n v="2"/>
    <n v="6"/>
    <x v="2"/>
  </r>
  <r>
    <s v="TX500871"/>
    <s v="Tank Tops"/>
    <n v="3"/>
    <n v="84.5"/>
    <n v="253.5"/>
    <d v="2025-02-05T00:00:00"/>
    <d v="2025-02-07T00:00:00"/>
    <s v="M"/>
    <x v="2"/>
    <n v="5"/>
    <s v="California"/>
    <s v="Butte County"/>
    <n v="2"/>
    <n v="6"/>
    <x v="1"/>
  </r>
  <r>
    <s v="TX500872"/>
    <s v="Workout Tops"/>
    <n v="2"/>
    <n v="42.2"/>
    <n v="84.4"/>
    <d v="2025-02-05T00:00:00"/>
    <d v="2025-02-06T00:00:00"/>
    <s v="F"/>
    <x v="1"/>
    <n v="5"/>
    <s v="California"/>
    <s v="Contra Costa County"/>
    <n v="1"/>
    <n v="6"/>
    <x v="2"/>
  </r>
  <r>
    <s v="TX500873"/>
    <s v="Sneakers"/>
    <n v="6"/>
    <n v="94.7"/>
    <n v="568.20000000000005"/>
    <d v="2025-02-05T00:00:00"/>
    <d v="2025-02-08T00:00:00"/>
    <s v="F"/>
    <x v="1"/>
    <n v="5"/>
    <s v="California"/>
    <s v="Fresno County"/>
    <n v="3"/>
    <n v="6"/>
    <x v="2"/>
  </r>
  <r>
    <s v="TX500874"/>
    <s v="T-Shirts"/>
    <n v="18"/>
    <n v="16.7"/>
    <n v="300.59999999999997"/>
    <d v="2025-02-05T00:00:00"/>
    <d v="2025-02-17T00:00:00"/>
    <s v="F"/>
    <x v="0"/>
    <n v="5"/>
    <s v="California"/>
    <s v="Fresno County"/>
    <n v="12"/>
    <n v="6"/>
    <x v="2"/>
  </r>
  <r>
    <s v="TX500875"/>
    <s v="Sneakers"/>
    <n v="2"/>
    <n v="83.6"/>
    <n v="167.2"/>
    <d v="2025-02-05T00:00:00"/>
    <d v="2025-02-11T00:00:00"/>
    <s v="F"/>
    <x v="1"/>
    <n v="4"/>
    <s v="California"/>
    <s v="Los Angeles County"/>
    <n v="6"/>
    <n v="6"/>
    <x v="2"/>
  </r>
  <r>
    <s v="TX500876"/>
    <s v="Hoodies &amp; Sweatshirts"/>
    <n v="6"/>
    <n v="33.6"/>
    <n v="201.60000000000002"/>
    <d v="2025-02-06T00:00:00"/>
    <d v="2025-02-07T00:00:00"/>
    <s v="F"/>
    <x v="3"/>
    <n v="4"/>
    <s v="California"/>
    <s v="Los Angeles County"/>
    <n v="1"/>
    <n v="6"/>
    <x v="2"/>
  </r>
  <r>
    <s v="TX500877"/>
    <s v="Hoodies &amp; Sweatshirts"/>
    <n v="2"/>
    <n v="64.7"/>
    <n v="129.4"/>
    <d v="2025-02-06T00:00:00"/>
    <d v="2025-02-08T00:00:00"/>
    <s v="M"/>
    <x v="1"/>
    <n v="5"/>
    <s v="California"/>
    <s v="Los Angeles County"/>
    <n v="2"/>
    <n v="6"/>
    <x v="1"/>
  </r>
  <r>
    <s v="TX500878"/>
    <s v="Shorts"/>
    <n v="3"/>
    <n v="15.7"/>
    <n v="47.099999999999994"/>
    <d v="2025-02-06T00:00:00"/>
    <d v="2025-02-12T00:00:00"/>
    <s v="F"/>
    <x v="0"/>
    <n v="4"/>
    <s v="California"/>
    <s v="Los Angeles County"/>
    <n v="6"/>
    <n v="6"/>
    <x v="2"/>
  </r>
  <r>
    <s v="TX500879"/>
    <s v="Crop Tops"/>
    <n v="6"/>
    <n v="49.4"/>
    <n v="296.39999999999998"/>
    <d v="2025-02-06T00:00:00"/>
    <d v="2025-02-06T00:00:00"/>
    <s v="M"/>
    <x v="1"/>
    <n v="4"/>
    <s v="California"/>
    <s v="Los Angeles County"/>
    <n v="0"/>
    <n v="6"/>
    <x v="1"/>
  </r>
  <r>
    <s v="TX500880"/>
    <s v="Bikinis"/>
    <n v="6"/>
    <n v="37"/>
    <n v="222"/>
    <d v="2025-02-06T00:00:00"/>
    <d v="2025-02-09T00:00:00"/>
    <s v="F"/>
    <x v="1"/>
    <n v="5"/>
    <s v="California"/>
    <s v="Los Angeles County"/>
    <n v="3"/>
    <n v="6"/>
    <x v="2"/>
  </r>
  <r>
    <s v="TX500881"/>
    <s v="Sneakers"/>
    <n v="2"/>
    <n v="83.7"/>
    <n v="167.4"/>
    <d v="2025-02-06T00:00:00"/>
    <d v="2025-02-08T00:00:00"/>
    <s v="F"/>
    <x v="3"/>
    <n v="5"/>
    <s v="California"/>
    <s v="Los Angeles County"/>
    <n v="2"/>
    <n v="6"/>
    <x v="2"/>
  </r>
  <r>
    <s v="TX500882"/>
    <s v="Tank Tops"/>
    <n v="5"/>
    <n v="35.1"/>
    <n v="175.5"/>
    <d v="2025-02-06T00:00:00"/>
    <d v="2025-02-07T00:00:00"/>
    <s v="F"/>
    <x v="0"/>
    <n v="4"/>
    <s v="California"/>
    <s v="Los Angeles County"/>
    <n v="1"/>
    <n v="6"/>
    <x v="2"/>
  </r>
  <r>
    <s v="TX500883"/>
    <s v="Sunglasses"/>
    <n v="8"/>
    <n v="74"/>
    <n v="592"/>
    <d v="2025-02-06T00:00:00"/>
    <d v="2025-02-07T00:00:00"/>
    <s v="F"/>
    <x v="4"/>
    <n v="4"/>
    <s v="California"/>
    <s v="Madera County"/>
    <n v="1"/>
    <n v="6"/>
    <x v="2"/>
  </r>
  <r>
    <s v="TX500884"/>
    <s v="Jeans"/>
    <n v="24"/>
    <n v="55.5"/>
    <n v="1332"/>
    <d v="2025-02-06T00:00:00"/>
    <d v="2025-02-09T00:00:00"/>
    <s v="M"/>
    <x v="3"/>
    <n v="4"/>
    <s v="California"/>
    <s v="Monterey County"/>
    <n v="3"/>
    <n v="6"/>
    <x v="1"/>
  </r>
  <r>
    <s v="TX500885"/>
    <s v="Maxi Dresses"/>
    <n v="2"/>
    <n v="38.9"/>
    <n v="77.8"/>
    <d v="2025-02-06T00:00:00"/>
    <d v="2025-02-08T00:00:00"/>
    <s v="F"/>
    <x v="1"/>
    <n v="5"/>
    <s v="California"/>
    <s v="Orange County"/>
    <n v="2"/>
    <n v="6"/>
    <x v="2"/>
  </r>
  <r>
    <s v="TX500886"/>
    <s v="Sunglasses"/>
    <n v="2"/>
    <n v="64.599999999999994"/>
    <n v="129.19999999999999"/>
    <d v="2025-02-06T00:00:00"/>
    <d v="2025-02-13T00:00:00"/>
    <s v="M"/>
    <x v="2"/>
    <n v="3"/>
    <s v="California"/>
    <s v="Orange County"/>
    <n v="7"/>
    <n v="6"/>
    <x v="1"/>
  </r>
  <r>
    <s v="TX500887"/>
    <s v="Sneakers"/>
    <n v="3"/>
    <n v="95.3"/>
    <n v="285.89999999999998"/>
    <d v="2025-02-06T00:00:00"/>
    <d v="2025-02-07T00:00:00"/>
    <s v="M"/>
    <x v="0"/>
    <n v="4"/>
    <s v="California"/>
    <s v="Placer County"/>
    <n v="1"/>
    <n v="6"/>
    <x v="1"/>
  </r>
  <r>
    <s v="TX500888"/>
    <s v="Tote Bags"/>
    <n v="3"/>
    <n v="25.8"/>
    <n v="77.400000000000006"/>
    <d v="2025-02-06T00:00:00"/>
    <d v="2025-02-07T00:00:00"/>
    <s v="F"/>
    <x v="1"/>
    <n v="3"/>
    <s v="California"/>
    <s v="Sacramento County"/>
    <n v="1"/>
    <n v="6"/>
    <x v="2"/>
  </r>
  <r>
    <s v="TX500889"/>
    <s v="Shorts"/>
    <n v="2"/>
    <n v="11.6"/>
    <n v="23.2"/>
    <d v="2025-02-06T00:00:00"/>
    <d v="2025-02-10T00:00:00"/>
    <s v="F"/>
    <x v="1"/>
    <n v="3"/>
    <s v="California"/>
    <s v="Sacramento County"/>
    <n v="4"/>
    <n v="6"/>
    <x v="2"/>
  </r>
  <r>
    <s v="TX500890"/>
    <s v="Hoodies &amp; Sweatshirts"/>
    <n v="1"/>
    <n v="52.3"/>
    <n v="52.3"/>
    <d v="2025-02-06T00:00:00"/>
    <d v="2025-02-07T00:00:00"/>
    <s v="F"/>
    <x v="1"/>
    <n v="4"/>
    <s v="California"/>
    <s v="San Diego County"/>
    <n v="1"/>
    <n v="6"/>
    <x v="2"/>
  </r>
  <r>
    <s v="TX500891"/>
    <s v="Sneakers"/>
    <n v="10"/>
    <n v="112.2"/>
    <n v="1122"/>
    <d v="2025-02-06T00:00:00"/>
    <d v="2025-02-07T00:00:00"/>
    <s v="F"/>
    <x v="1"/>
    <n v="3"/>
    <s v="California"/>
    <s v="San Diego County"/>
    <n v="1"/>
    <n v="6"/>
    <x v="2"/>
  </r>
  <r>
    <s v="TX500892"/>
    <s v="Graphic Tees"/>
    <n v="5"/>
    <n v="34.6"/>
    <n v="173"/>
    <d v="2025-02-06T00:00:00"/>
    <d v="2025-02-08T00:00:00"/>
    <s v="M"/>
    <x v="2"/>
    <n v="4"/>
    <s v="California"/>
    <s v="San Diego County"/>
    <n v="2"/>
    <n v="6"/>
    <x v="1"/>
  </r>
  <r>
    <s v="TX500893"/>
    <s v="Baseball Caps"/>
    <n v="4"/>
    <n v="20.100000000000001"/>
    <n v="80.400000000000006"/>
    <d v="2025-02-06T00:00:00"/>
    <d v="2025-02-12T00:00:00"/>
    <s v="M"/>
    <x v="1"/>
    <n v="5"/>
    <s v="California"/>
    <s v="San Diego County"/>
    <n v="6"/>
    <n v="6"/>
    <x v="1"/>
  </r>
  <r>
    <s v="TX500894"/>
    <s v="Sneakers"/>
    <n v="4"/>
    <n v="56.4"/>
    <n v="225.6"/>
    <d v="2025-02-06T00:00:00"/>
    <d v="2025-02-08T00:00:00"/>
    <s v="F"/>
    <x v="2"/>
    <n v="4"/>
    <s v="California"/>
    <s v="Santa Barbara County"/>
    <n v="2"/>
    <n v="6"/>
    <x v="2"/>
  </r>
  <r>
    <s v="TX500895"/>
    <s v="Tote Bags"/>
    <n v="9"/>
    <n v="55.3"/>
    <n v="497.7"/>
    <d v="2025-02-06T00:00:00"/>
    <d v="2025-02-08T00:00:00"/>
    <s v="F"/>
    <x v="1"/>
    <n v="2"/>
    <s v="California"/>
    <s v="Santa Clara County"/>
    <n v="2"/>
    <n v="6"/>
    <x v="2"/>
  </r>
  <r>
    <s v="TX500896"/>
    <s v="Sneakers"/>
    <n v="28"/>
    <n v="75.5"/>
    <n v="2114"/>
    <d v="2025-02-06T00:00:00"/>
    <d v="2025-02-07T00:00:00"/>
    <s v="F"/>
    <x v="0"/>
    <n v="4"/>
    <s v="California"/>
    <s v="Santa Clara County"/>
    <n v="1"/>
    <n v="6"/>
    <x v="2"/>
  </r>
  <r>
    <s v="TX500897"/>
    <s v="T-Shirts"/>
    <n v="1"/>
    <n v="23.6"/>
    <n v="23.6"/>
    <d v="2025-02-06T00:00:00"/>
    <d v="2025-02-11T00:00:00"/>
    <s v="F"/>
    <x v="0"/>
    <n v="4"/>
    <s v="California"/>
    <s v="Stanislaus County"/>
    <n v="5"/>
    <n v="6"/>
    <x v="2"/>
  </r>
  <r>
    <s v="TX500898"/>
    <s v="Sundresses"/>
    <n v="2"/>
    <n v="70.7"/>
    <n v="141.4"/>
    <d v="2025-02-06T00:00:00"/>
    <d v="2025-02-08T00:00:00"/>
    <s v="F"/>
    <x v="2"/>
    <n v="4"/>
    <s v="California"/>
    <s v="Stanislaus County"/>
    <n v="2"/>
    <n v="6"/>
    <x v="2"/>
  </r>
  <r>
    <s v="TX500899"/>
    <s v="Casual Dresses"/>
    <n v="2"/>
    <n v="43.2"/>
    <n v="86.4"/>
    <d v="2025-02-06T00:00:00"/>
    <d v="2025-02-07T00:00:00"/>
    <s v="F"/>
    <x v="2"/>
    <n v="4"/>
    <s v="California"/>
    <s v="Sutter County"/>
    <n v="1"/>
    <n v="6"/>
    <x v="2"/>
  </r>
  <r>
    <s v="TX500900"/>
    <s v="Sundresses"/>
    <n v="9"/>
    <n v="70"/>
    <n v="630"/>
    <d v="2025-02-06T00:00:00"/>
    <d v="2025-02-07T00:00:00"/>
    <s v=""/>
    <x v="1"/>
    <n v="4"/>
    <s v="California"/>
    <s v="Tuolumne County"/>
    <n v="1"/>
    <n v="6"/>
    <x v="0"/>
  </r>
  <r>
    <s v="TX500901"/>
    <s v="Shorts"/>
    <n v="2"/>
    <n v="20.5"/>
    <n v="41"/>
    <d v="2025-02-06T00:00:00"/>
    <d v="2025-02-08T00:00:00"/>
    <s v="F"/>
    <x v="2"/>
    <n v="2"/>
    <s v="California"/>
    <s v="Ventura County"/>
    <n v="2"/>
    <n v="6"/>
    <x v="2"/>
  </r>
  <r>
    <s v="TX500902"/>
    <s v="Shorts"/>
    <n v="4"/>
    <n v="29.1"/>
    <n v="116.4"/>
    <d v="2025-02-06T00:00:00"/>
    <d v="2025-02-07T00:00:00"/>
    <s v="F"/>
    <x v="3"/>
    <n v="4"/>
    <s v="California"/>
    <s v="Yolo County"/>
    <n v="1"/>
    <n v="6"/>
    <x v="2"/>
  </r>
  <r>
    <s v="TX500903"/>
    <s v="Jeans"/>
    <n v="9"/>
    <n v="53.6"/>
    <n v="482.40000000000003"/>
    <d v="2025-02-06T00:00:00"/>
    <d v="2025-02-07T00:00:00"/>
    <s v="M"/>
    <x v="2"/>
    <n v="3"/>
    <s v="California"/>
    <s v="Los Angeles County"/>
    <n v="1"/>
    <n v="6"/>
    <x v="1"/>
  </r>
  <r>
    <s v="TX500904"/>
    <s v="Jeans"/>
    <n v="5"/>
    <n v="72.3"/>
    <n v="361.5"/>
    <d v="2025-02-06T00:00:00"/>
    <d v="2025-02-08T00:00:00"/>
    <s v="F"/>
    <x v="1"/>
    <n v="4"/>
    <s v="California"/>
    <s v="Los Angeles County"/>
    <n v="2"/>
    <n v="6"/>
    <x v="2"/>
  </r>
  <r>
    <s v="TX500905"/>
    <s v="Tote Bags"/>
    <n v="4"/>
    <n v="22.6"/>
    <n v="90.4"/>
    <d v="2025-02-06T00:00:00"/>
    <d v="2025-02-09T00:00:00"/>
    <s v="O"/>
    <x v="0"/>
    <n v="3"/>
    <s v="California"/>
    <s v="Los Angeles County"/>
    <n v="3"/>
    <n v="6"/>
    <x v="3"/>
  </r>
  <r>
    <s v="TX500906"/>
    <s v="Sundresses"/>
    <n v="2"/>
    <n v="44.2"/>
    <n v="88.4"/>
    <d v="2025-02-06T00:00:00"/>
    <d v="2025-02-10T00:00:00"/>
    <s v=""/>
    <x v="2"/>
    <n v="2"/>
    <s v="California"/>
    <s v="Los Angeles County"/>
    <n v="4"/>
    <n v="6"/>
    <x v="0"/>
  </r>
  <r>
    <s v="TX500907"/>
    <s v="Sundresses"/>
    <n v="3"/>
    <n v="94.1"/>
    <n v="282.29999999999995"/>
    <d v="2025-02-06T00:00:00"/>
    <d v="2025-02-19T00:00:00"/>
    <s v="F"/>
    <x v="2"/>
    <n v="5"/>
    <s v="California"/>
    <s v="Los Angeles County"/>
    <n v="13"/>
    <n v="6"/>
    <x v="2"/>
  </r>
  <r>
    <s v="TX500908"/>
    <s v="T-Shirts"/>
    <n v="3"/>
    <n v="17.899999999999999"/>
    <n v="53.699999999999996"/>
    <d v="2025-02-06T00:00:00"/>
    <d v="2025-02-08T00:00:00"/>
    <s v="M"/>
    <x v="1"/>
    <n v="3"/>
    <s v="California"/>
    <s v="Los Angeles County"/>
    <n v="2"/>
    <n v="6"/>
    <x v="1"/>
  </r>
  <r>
    <s v="TX500909"/>
    <s v="Casual Dresses"/>
    <n v="7"/>
    <n v="52.7"/>
    <n v="368.90000000000003"/>
    <d v="2025-02-06T00:00:00"/>
    <d v="2025-02-07T00:00:00"/>
    <s v="M"/>
    <x v="1"/>
    <n v="3"/>
    <s v="California"/>
    <s v="Los Angeles County"/>
    <n v="1"/>
    <n v="6"/>
    <x v="1"/>
  </r>
  <r>
    <s v="TX500910"/>
    <s v="T-Shirts"/>
    <n v="1"/>
    <n v="36.799999999999997"/>
    <n v="36.799999999999997"/>
    <d v="2025-02-06T00:00:00"/>
    <d v="2025-02-06T00:00:00"/>
    <s v=""/>
    <x v="0"/>
    <n v="5"/>
    <s v="California"/>
    <s v="Los Angeles County"/>
    <n v="0"/>
    <n v="6"/>
    <x v="0"/>
  </r>
  <r>
    <s v="TX500911"/>
    <s v="Graphic Tees"/>
    <n v="1"/>
    <n v="52.5"/>
    <n v="52.5"/>
    <d v="2025-02-06T00:00:00"/>
    <d v="2025-02-07T00:00:00"/>
    <s v="M"/>
    <x v="0"/>
    <n v="3"/>
    <s v="California"/>
    <s v="Sacramento County"/>
    <n v="1"/>
    <n v="6"/>
    <x v="1"/>
  </r>
  <r>
    <s v="TX500912"/>
    <s v="Sneakers"/>
    <n v="2"/>
    <n v="133.80000000000001"/>
    <n v="267.60000000000002"/>
    <d v="2025-02-06T00:00:00"/>
    <d v="2025-02-08T00:00:00"/>
    <s v="M"/>
    <x v="0"/>
    <n v="3"/>
    <s v="California"/>
    <s v="San Bernardino County"/>
    <n v="2"/>
    <n v="6"/>
    <x v="1"/>
  </r>
  <r>
    <s v="TX500913"/>
    <s v="Jeans"/>
    <n v="2"/>
    <n v="53.2"/>
    <n v="106.4"/>
    <d v="2025-02-06T00:00:00"/>
    <d v="2025-02-08T00:00:00"/>
    <s v="M"/>
    <x v="0"/>
    <n v="4"/>
    <s v="California"/>
    <s v="San Francisco"/>
    <n v="2"/>
    <n v="6"/>
    <x v="1"/>
  </r>
  <r>
    <s v="TX500914"/>
    <s v="Baseball Caps"/>
    <n v="6"/>
    <n v="18.7"/>
    <n v="112.19999999999999"/>
    <d v="2025-02-06T00:00:00"/>
    <d v="2025-02-08T00:00:00"/>
    <s v=""/>
    <x v="0"/>
    <n v="3"/>
    <s v="California"/>
    <s v="Santa Barbara County"/>
    <n v="2"/>
    <n v="6"/>
    <x v="0"/>
  </r>
  <r>
    <s v="TX500915"/>
    <s v="Jeans"/>
    <n v="4"/>
    <n v="108.8"/>
    <n v="435.2"/>
    <d v="2025-02-06T00:00:00"/>
    <d v="2025-02-07T00:00:00"/>
    <s v="F"/>
    <x v="3"/>
    <n v="5"/>
    <s v="California"/>
    <s v="Santa Clara County"/>
    <n v="1"/>
    <n v="6"/>
    <x v="2"/>
  </r>
  <r>
    <s v="TX500916"/>
    <s v="Crop Tops"/>
    <n v="5"/>
    <n v="38.5"/>
    <n v="192.5"/>
    <d v="2025-02-06T00:00:00"/>
    <d v="2025-02-10T00:00:00"/>
    <s v="F"/>
    <x v="0"/>
    <n v="3"/>
    <s v="California"/>
    <s v="Calaveras County"/>
    <n v="4"/>
    <n v="6"/>
    <x v="2"/>
  </r>
  <r>
    <s v="TX500917"/>
    <s v="Bikinis"/>
    <n v="10"/>
    <n v="46.5"/>
    <n v="465"/>
    <d v="2025-02-06T00:00:00"/>
    <d v="2025-02-08T00:00:00"/>
    <s v="M"/>
    <x v="2"/>
    <n v="3"/>
    <s v="California"/>
    <s v="Fresno County"/>
    <n v="2"/>
    <n v="6"/>
    <x v="1"/>
  </r>
  <r>
    <s v="TX500918"/>
    <s v="Sneakers"/>
    <n v="3"/>
    <n v="75.8"/>
    <n v="227.39999999999998"/>
    <d v="2025-02-06T00:00:00"/>
    <d v="2025-02-10T00:00:00"/>
    <s v="F"/>
    <x v="1"/>
    <n v="2"/>
    <s v="California"/>
    <s v="Humboldt County"/>
    <n v="4"/>
    <n v="6"/>
    <x v="2"/>
  </r>
  <r>
    <s v="TX500919"/>
    <s v="T-Shirts"/>
    <n v="1"/>
    <n v="20.9"/>
    <n v="20.9"/>
    <d v="2025-02-06T00:00:00"/>
    <d v="2025-02-10T00:00:00"/>
    <s v="M"/>
    <x v="0"/>
    <n v="4"/>
    <s v="California"/>
    <s v="Kern County"/>
    <n v="4"/>
    <n v="6"/>
    <x v="1"/>
  </r>
  <r>
    <s v="TX500920"/>
    <s v="Leggings"/>
    <n v="3"/>
    <n v="47.4"/>
    <n v="142.19999999999999"/>
    <d v="2025-02-06T00:00:00"/>
    <d v="2025-02-09T00:00:00"/>
    <s v="F"/>
    <x v="0"/>
    <n v="4"/>
    <s v="California"/>
    <s v="Los Angeles County"/>
    <n v="3"/>
    <n v="6"/>
    <x v="2"/>
  </r>
  <r>
    <s v="TX500921"/>
    <s v="Sundresses"/>
    <n v="2"/>
    <n v="53.8"/>
    <n v="107.6"/>
    <d v="2025-02-06T00:00:00"/>
    <d v="2025-02-07T00:00:00"/>
    <s v=""/>
    <x v="0"/>
    <n v="3"/>
    <s v="California"/>
    <s v="Los Angeles County"/>
    <n v="1"/>
    <n v="6"/>
    <x v="0"/>
  </r>
  <r>
    <s v="TX500922"/>
    <s v="T-Shirts"/>
    <n v="3"/>
    <n v="24.6"/>
    <n v="73.800000000000011"/>
    <d v="2025-02-06T00:00:00"/>
    <d v="2025-02-08T00:00:00"/>
    <s v="O"/>
    <x v="1"/>
    <n v="5"/>
    <s v="California"/>
    <s v="Los Angeles County"/>
    <n v="2"/>
    <n v="6"/>
    <x v="3"/>
  </r>
  <r>
    <s v="TX500923"/>
    <s v="Sundresses"/>
    <n v="3"/>
    <n v="70.900000000000006"/>
    <n v="212.70000000000002"/>
    <d v="2025-02-06T00:00:00"/>
    <d v="2025-02-11T00:00:00"/>
    <s v="F"/>
    <x v="2"/>
    <n v="5"/>
    <s v="California"/>
    <s v="Los Angeles County"/>
    <n v="5"/>
    <n v="6"/>
    <x v="2"/>
  </r>
  <r>
    <s v="TX500924"/>
    <s v="Pajama Sets"/>
    <n v="3"/>
    <n v="31.9"/>
    <n v="95.699999999999989"/>
    <d v="2025-02-06T00:00:00"/>
    <d v="2025-02-08T00:00:00"/>
    <s v="F"/>
    <x v="2"/>
    <n v="5"/>
    <s v="California"/>
    <s v="Los Angeles County"/>
    <n v="2"/>
    <n v="6"/>
    <x v="2"/>
  </r>
  <r>
    <s v="TX500925"/>
    <s v="Shorts"/>
    <n v="2"/>
    <n v="20.399999999999999"/>
    <n v="40.799999999999997"/>
    <d v="2025-02-06T00:00:00"/>
    <d v="2025-02-10T00:00:00"/>
    <s v="M"/>
    <x v="3"/>
    <n v="5"/>
    <s v="California"/>
    <s v="Los Angeles County"/>
    <n v="4"/>
    <n v="6"/>
    <x v="1"/>
  </r>
  <r>
    <s v="TX500926"/>
    <s v="T-Shirts"/>
    <n v="2"/>
    <n v="18.600000000000001"/>
    <n v="37.200000000000003"/>
    <d v="2025-02-06T00:00:00"/>
    <d v="2025-02-08T00:00:00"/>
    <s v=""/>
    <x v="0"/>
    <n v="3"/>
    <s v="California"/>
    <s v="Los Angeles County"/>
    <n v="2"/>
    <n v="6"/>
    <x v="0"/>
  </r>
  <r>
    <s v="TX500927"/>
    <s v="Graphic Tees"/>
    <n v="5"/>
    <n v="48.3"/>
    <n v="241.5"/>
    <d v="2025-02-06T00:00:00"/>
    <d v="2025-02-08T00:00:00"/>
    <s v="F"/>
    <x v="1"/>
    <n v="4"/>
    <s v="California"/>
    <s v="Los Angeles County"/>
    <n v="2"/>
    <n v="6"/>
    <x v="2"/>
  </r>
  <r>
    <s v="TX500928"/>
    <s v="Shorts"/>
    <n v="4"/>
    <n v="27.7"/>
    <n v="110.8"/>
    <d v="2025-02-06T00:00:00"/>
    <d v="2025-02-08T00:00:00"/>
    <s v="F"/>
    <x v="0"/>
    <n v="4"/>
    <s v="California"/>
    <s v="Los Angeles County"/>
    <n v="2"/>
    <n v="6"/>
    <x v="2"/>
  </r>
  <r>
    <s v="TX500929"/>
    <s v="Graphic Tees"/>
    <n v="5"/>
    <n v="22.5"/>
    <n v="112.5"/>
    <d v="2025-02-06T00:00:00"/>
    <d v="2025-02-08T00:00:00"/>
    <s v="F"/>
    <x v="4"/>
    <n v="5"/>
    <s v="California"/>
    <s v="Los Angeles County"/>
    <n v="2"/>
    <n v="6"/>
    <x v="2"/>
  </r>
  <r>
    <s v="TX500930"/>
    <s v="Pajama Sets"/>
    <n v="5"/>
    <n v="21.6"/>
    <n v="108"/>
    <d v="2025-02-06T00:00:00"/>
    <d v="2025-02-14T00:00:00"/>
    <s v="F"/>
    <x v="0"/>
    <n v="3"/>
    <s v="California"/>
    <s v="Los Angeles County"/>
    <n v="8"/>
    <n v="6"/>
    <x v="2"/>
  </r>
  <r>
    <s v="TX500931"/>
    <s v="Bikinis"/>
    <n v="7"/>
    <n v="26.3"/>
    <n v="184.1"/>
    <d v="2025-02-06T00:00:00"/>
    <d v="2025-02-06T00:00:00"/>
    <s v="F"/>
    <x v="2"/>
    <n v="3"/>
    <s v="California"/>
    <s v="Los Angeles County"/>
    <n v="0"/>
    <n v="6"/>
    <x v="2"/>
  </r>
  <r>
    <s v="TX500932"/>
    <s v="Jeans"/>
    <n v="7"/>
    <n v="103"/>
    <n v="721"/>
    <d v="2025-02-07T00:00:00"/>
    <d v="2025-02-08T00:00:00"/>
    <s v="M"/>
    <x v="0"/>
    <n v="5"/>
    <s v="California"/>
    <s v="Sacramento County"/>
    <n v="1"/>
    <n v="6"/>
    <x v="1"/>
  </r>
  <r>
    <s v="TX500933"/>
    <s v="Sandals"/>
    <n v="15"/>
    <n v="46.6"/>
    <n v="699"/>
    <d v="2025-02-07T00:00:00"/>
    <d v="2025-02-08T00:00:00"/>
    <s v="F"/>
    <x v="0"/>
    <n v="3"/>
    <s v="California"/>
    <s v="Sacramento County"/>
    <n v="1"/>
    <n v="6"/>
    <x v="2"/>
  </r>
  <r>
    <s v="TX500934"/>
    <s v="Shorts"/>
    <n v="5"/>
    <n v="32.200000000000003"/>
    <n v="161"/>
    <d v="2025-02-07T00:00:00"/>
    <d v="2025-02-10T00:00:00"/>
    <s v="F"/>
    <x v="0"/>
    <n v="5"/>
    <s v="California"/>
    <s v="San Benito County"/>
    <n v="3"/>
    <n v="6"/>
    <x v="2"/>
  </r>
  <r>
    <s v="TX500935"/>
    <s v="T-Shirts"/>
    <n v="3"/>
    <n v="22"/>
    <n v="66"/>
    <d v="2025-02-07T00:00:00"/>
    <d v="2025-02-14T00:00:00"/>
    <s v="M"/>
    <x v="1"/>
    <n v="4"/>
    <s v="California"/>
    <s v="San Bernardino County"/>
    <n v="7"/>
    <n v="6"/>
    <x v="1"/>
  </r>
  <r>
    <s v="TX500936"/>
    <s v="Shorts"/>
    <n v="2"/>
    <n v="25.2"/>
    <n v="50.4"/>
    <d v="2025-02-07T00:00:00"/>
    <d v="2025-02-11T00:00:00"/>
    <s v="F"/>
    <x v="0"/>
    <n v="4"/>
    <s v="California"/>
    <s v="San Bernardino County"/>
    <n v="4"/>
    <n v="6"/>
    <x v="2"/>
  </r>
  <r>
    <s v="TX500937"/>
    <s v="Tank Tops"/>
    <n v="6"/>
    <n v="68.7"/>
    <n v="412.20000000000005"/>
    <d v="2025-02-07T00:00:00"/>
    <d v="2025-02-09T00:00:00"/>
    <s v="M"/>
    <x v="4"/>
    <n v="4"/>
    <s v="California"/>
    <s v="San Diego County"/>
    <n v="2"/>
    <n v="6"/>
    <x v="1"/>
  </r>
  <r>
    <s v="TX500938"/>
    <s v="Shorts"/>
    <n v="3"/>
    <n v="22.2"/>
    <n v="66.599999999999994"/>
    <d v="2025-02-07T00:00:00"/>
    <d v="2025-02-10T00:00:00"/>
    <s v="M"/>
    <x v="2"/>
    <n v="5"/>
    <s v="California"/>
    <s v="San Diego County"/>
    <n v="3"/>
    <n v="6"/>
    <x v="1"/>
  </r>
  <r>
    <s v="TX500939"/>
    <s v="Tank Tops"/>
    <n v="7"/>
    <n v="36"/>
    <n v="252"/>
    <d v="2025-02-07T00:00:00"/>
    <d v="2025-02-08T00:00:00"/>
    <s v="F"/>
    <x v="1"/>
    <n v="4"/>
    <s v="California"/>
    <s v="San Diego County"/>
    <n v="1"/>
    <n v="6"/>
    <x v="2"/>
  </r>
  <r>
    <s v="TX500940"/>
    <s v="Leggings"/>
    <n v="1"/>
    <n v="50.6"/>
    <n v="50.6"/>
    <d v="2025-02-07T00:00:00"/>
    <d v="2025-02-09T00:00:00"/>
    <s v="F"/>
    <x v="0"/>
    <n v="3"/>
    <s v="California"/>
    <s v="San Diego County"/>
    <n v="2"/>
    <n v="6"/>
    <x v="2"/>
  </r>
  <r>
    <s v="TX500941"/>
    <s v="Crop Tops"/>
    <n v="2"/>
    <n v="44.9"/>
    <n v="89.8"/>
    <d v="2025-02-07T00:00:00"/>
    <d v="2025-02-09T00:00:00"/>
    <s v="M"/>
    <x v="0"/>
    <n v="3"/>
    <s v="California"/>
    <s v="San Diego County"/>
    <n v="2"/>
    <n v="6"/>
    <x v="1"/>
  </r>
  <r>
    <s v="TX500942"/>
    <s v="Jeans"/>
    <n v="3"/>
    <n v="71.599999999999994"/>
    <n v="214.79999999999998"/>
    <d v="2025-02-07T00:00:00"/>
    <d v="2025-02-11T00:00:00"/>
    <s v="M"/>
    <x v="1"/>
    <n v="5"/>
    <s v="California"/>
    <s v="Santa Barbara County"/>
    <n v="4"/>
    <n v="6"/>
    <x v="1"/>
  </r>
  <r>
    <s v="TX500943"/>
    <s v="Jeans"/>
    <n v="6"/>
    <n v="51.5"/>
    <n v="309"/>
    <d v="2025-02-07T00:00:00"/>
    <d v="2025-02-09T00:00:00"/>
    <s v=""/>
    <x v="4"/>
    <n v="4"/>
    <s v="California"/>
    <s v="Santa Clara County"/>
    <n v="2"/>
    <n v="6"/>
    <x v="0"/>
  </r>
  <r>
    <s v="TX500944"/>
    <s v="Hoodies &amp; Sweatshirts"/>
    <n v="5"/>
    <n v="55.5"/>
    <n v="277.5"/>
    <d v="2025-02-07T00:00:00"/>
    <d v="2025-02-08T00:00:00"/>
    <s v="M"/>
    <x v="1"/>
    <n v="3"/>
    <s v="California"/>
    <s v="Santa Clara County"/>
    <n v="1"/>
    <n v="6"/>
    <x v="1"/>
  </r>
  <r>
    <s v="TX500945"/>
    <s v="Jeans"/>
    <n v="1"/>
    <n v="51.7"/>
    <n v="51.7"/>
    <d v="2025-02-07T00:00:00"/>
    <d v="2025-02-21T00:00:00"/>
    <s v="M"/>
    <x v="2"/>
    <n v="4"/>
    <s v="California"/>
    <s v="Stanislaus County"/>
    <n v="14"/>
    <n v="6"/>
    <x v="1"/>
  </r>
  <r>
    <s v="TX500946"/>
    <s v="T-Shirts"/>
    <n v="21"/>
    <n v="45.5"/>
    <n v="955.5"/>
    <d v="2025-02-07T00:00:00"/>
    <d v="2025-02-08T00:00:00"/>
    <s v="F"/>
    <x v="3"/>
    <n v="5"/>
    <s v="California"/>
    <s v="Stanislaus County"/>
    <n v="1"/>
    <n v="6"/>
    <x v="2"/>
  </r>
  <r>
    <s v="TX500947"/>
    <s v="T-Shirts"/>
    <n v="2"/>
    <n v="33.799999999999997"/>
    <n v="67.599999999999994"/>
    <d v="2025-02-07T00:00:00"/>
    <d v="2025-02-13T00:00:00"/>
    <s v="F"/>
    <x v="3"/>
    <n v="4"/>
    <s v="California"/>
    <s v="Tulare County"/>
    <n v="6"/>
    <n v="6"/>
    <x v="2"/>
  </r>
  <r>
    <s v="TX500948"/>
    <s v="Workout Tops"/>
    <n v="3"/>
    <n v="76.5"/>
    <n v="229.5"/>
    <d v="2025-02-07T00:00:00"/>
    <d v="2025-02-08T00:00:00"/>
    <s v="F"/>
    <x v="0"/>
    <n v="3"/>
    <s v="California"/>
    <s v="Alameda County"/>
    <n v="1"/>
    <n v="6"/>
    <x v="2"/>
  </r>
  <r>
    <s v="TX500949"/>
    <s v="Sundresses"/>
    <n v="3"/>
    <n v="42.6"/>
    <n v="127.80000000000001"/>
    <d v="2025-02-07T00:00:00"/>
    <d v="2025-02-13T00:00:00"/>
    <s v="F"/>
    <x v="2"/>
    <n v="5"/>
    <s v="California"/>
    <s v="Fresno County"/>
    <n v="6"/>
    <n v="6"/>
    <x v="2"/>
  </r>
  <r>
    <s v="TX500950"/>
    <s v="Jeans"/>
    <n v="3"/>
    <n v="44.1"/>
    <n v="132.30000000000001"/>
    <d v="2025-02-07T00:00:00"/>
    <d v="2025-02-09T00:00:00"/>
    <s v="F"/>
    <x v="1"/>
    <n v="3"/>
    <s v="California"/>
    <s v="Kern County"/>
    <n v="2"/>
    <n v="6"/>
    <x v="2"/>
  </r>
  <r>
    <s v="TX500951"/>
    <s v="T-Shirts"/>
    <n v="2"/>
    <n v="40.9"/>
    <n v="81.8"/>
    <d v="2025-02-07T00:00:00"/>
    <d v="2025-02-11T00:00:00"/>
    <s v="M"/>
    <x v="0"/>
    <n v="4"/>
    <s v="California"/>
    <s v="Los Angeles County"/>
    <n v="4"/>
    <n v="6"/>
    <x v="1"/>
  </r>
  <r>
    <s v="TX500952"/>
    <s v="Sundresses"/>
    <n v="3"/>
    <n v="49.1"/>
    <n v="147.30000000000001"/>
    <d v="2025-02-07T00:00:00"/>
    <d v="2025-02-11T00:00:00"/>
    <s v="F"/>
    <x v="3"/>
    <n v="3"/>
    <s v="California"/>
    <s v="Los Angeles County"/>
    <n v="4"/>
    <n v="6"/>
    <x v="2"/>
  </r>
  <r>
    <s v="TX500953"/>
    <s v="Leggings"/>
    <n v="1"/>
    <n v="85.3"/>
    <n v="85.3"/>
    <d v="2025-02-07T00:00:00"/>
    <d v="2025-02-11T00:00:00"/>
    <s v="M"/>
    <x v="1"/>
    <n v="3"/>
    <s v="California"/>
    <s v="Los Angeles County"/>
    <n v="4"/>
    <n v="6"/>
    <x v="1"/>
  </r>
  <r>
    <s v="TX500954"/>
    <s v="Jeans"/>
    <n v="4"/>
    <n v="43.1"/>
    <n v="172.4"/>
    <d v="2025-02-08T00:00:00"/>
    <d v="2025-02-11T00:00:00"/>
    <s v="M"/>
    <x v="0"/>
    <n v="4"/>
    <s v="California"/>
    <s v="Los Angeles County"/>
    <n v="3"/>
    <n v="6"/>
    <x v="1"/>
  </r>
  <r>
    <s v="TX500955"/>
    <s v="Graphic Tees"/>
    <n v="4"/>
    <n v="46.2"/>
    <n v="184.8"/>
    <d v="2025-02-08T00:00:00"/>
    <d v="2025-02-09T00:00:00"/>
    <s v="M"/>
    <x v="2"/>
    <n v="4"/>
    <s v="California"/>
    <s v="Los Angeles County"/>
    <n v="1"/>
    <n v="6"/>
    <x v="1"/>
  </r>
  <r>
    <s v="TX500956"/>
    <s v="Tank Tops"/>
    <n v="1"/>
    <n v="74.400000000000006"/>
    <n v="74.400000000000006"/>
    <d v="2025-02-08T00:00:00"/>
    <d v="2025-02-10T00:00:00"/>
    <s v="M"/>
    <x v="4"/>
    <n v="5"/>
    <s v="California"/>
    <s v="Los Angeles County"/>
    <n v="2"/>
    <n v="6"/>
    <x v="1"/>
  </r>
  <r>
    <s v="TX500957"/>
    <s v="Pajama Sets"/>
    <n v="2"/>
    <n v="51.2"/>
    <n v="102.4"/>
    <d v="2025-02-08T00:00:00"/>
    <d v="2025-02-09T00:00:00"/>
    <s v="M"/>
    <x v="1"/>
    <n v="4"/>
    <s v="California"/>
    <s v="Los Angeles County"/>
    <n v="1"/>
    <n v="6"/>
    <x v="1"/>
  </r>
  <r>
    <s v="TX500958"/>
    <s v="Baseball Caps"/>
    <n v="4"/>
    <n v="11.8"/>
    <n v="47.2"/>
    <d v="2025-02-08T00:00:00"/>
    <d v="2025-02-08T00:00:00"/>
    <s v="M"/>
    <x v="2"/>
    <n v="4"/>
    <s v="California"/>
    <s v="Los Angeles County"/>
    <n v="0"/>
    <n v="6"/>
    <x v="1"/>
  </r>
  <r>
    <s v="TX500959"/>
    <s v="Bikinis"/>
    <n v="27"/>
    <n v="40.799999999999997"/>
    <n v="1101.5999999999999"/>
    <d v="2025-02-08T00:00:00"/>
    <d v="2025-02-09T00:00:00"/>
    <s v="F"/>
    <x v="3"/>
    <n v="5"/>
    <s v="California"/>
    <s v="Los Angeles County"/>
    <n v="1"/>
    <n v="6"/>
    <x v="2"/>
  </r>
  <r>
    <s v="TX500960"/>
    <s v="T-Shirts"/>
    <n v="1"/>
    <n v="24.7"/>
    <n v="24.7"/>
    <d v="2025-02-08T00:00:00"/>
    <d v="2025-02-10T00:00:00"/>
    <s v="F"/>
    <x v="2"/>
    <n v="3"/>
    <s v="California"/>
    <s v="Los Angeles County"/>
    <n v="2"/>
    <n v="6"/>
    <x v="2"/>
  </r>
  <r>
    <s v="TX500961"/>
    <s v="T-Shirts"/>
    <n v="7"/>
    <n v="22.1"/>
    <n v="154.70000000000002"/>
    <d v="2025-02-08T00:00:00"/>
    <d v="2025-02-08T00:00:00"/>
    <s v="F"/>
    <x v="2"/>
    <n v="2"/>
    <s v="California"/>
    <s v="Los Angeles County"/>
    <n v="0"/>
    <n v="6"/>
    <x v="2"/>
  </r>
  <r>
    <s v="TX500962"/>
    <s v="T-Shirts"/>
    <n v="1"/>
    <n v="18.100000000000001"/>
    <n v="18.100000000000001"/>
    <d v="2025-02-08T00:00:00"/>
    <d v="2025-02-12T00:00:00"/>
    <s v="M"/>
    <x v="3"/>
    <n v="5"/>
    <s v="California"/>
    <s v="Los Angeles County"/>
    <n v="4"/>
    <n v="6"/>
    <x v="1"/>
  </r>
  <r>
    <s v="TX500963"/>
    <s v="Pajama Sets"/>
    <n v="2"/>
    <n v="58.8"/>
    <n v="117.6"/>
    <d v="2025-02-08T00:00:00"/>
    <d v="2025-02-11T00:00:00"/>
    <s v="F"/>
    <x v="0"/>
    <n v="4"/>
    <s v="California"/>
    <s v="Orange County"/>
    <n v="3"/>
    <n v="6"/>
    <x v="2"/>
  </r>
  <r>
    <s v="TX500964"/>
    <s v="Leggings"/>
    <n v="2"/>
    <n v="30.8"/>
    <n v="61.6"/>
    <d v="2025-02-08T00:00:00"/>
    <d v="2025-02-09T00:00:00"/>
    <s v="F"/>
    <x v="0"/>
    <n v="4"/>
    <s v="California"/>
    <s v="Sacramento County"/>
    <n v="1"/>
    <n v="6"/>
    <x v="2"/>
  </r>
  <r>
    <s v="TX500965"/>
    <s v="Shorts"/>
    <n v="2"/>
    <n v="12"/>
    <n v="24"/>
    <d v="2025-02-08T00:00:00"/>
    <d v="2025-02-12T00:00:00"/>
    <s v="F"/>
    <x v="0"/>
    <n v="4"/>
    <s v="California"/>
    <s v="Sacramento County"/>
    <n v="4"/>
    <n v="6"/>
    <x v="2"/>
  </r>
  <r>
    <s v="TX500966"/>
    <s v="Shorts"/>
    <n v="4"/>
    <n v="13.6"/>
    <n v="54.4"/>
    <d v="2025-02-08T00:00:00"/>
    <d v="2025-02-11T00:00:00"/>
    <s v="M"/>
    <x v="2"/>
    <n v="4"/>
    <s v="California"/>
    <s v="Sacramento County"/>
    <n v="3"/>
    <n v="6"/>
    <x v="1"/>
  </r>
  <r>
    <s v="TX500967"/>
    <s v="Shorts"/>
    <n v="1"/>
    <n v="17.899999999999999"/>
    <n v="17.899999999999999"/>
    <d v="2025-02-08T00:00:00"/>
    <d v="2025-02-09T00:00:00"/>
    <s v="M"/>
    <x v="3"/>
    <n v="4"/>
    <s v="California"/>
    <s v="Sacramento County"/>
    <n v="1"/>
    <n v="6"/>
    <x v="1"/>
  </r>
  <r>
    <s v="TX500968"/>
    <s v="Sundresses"/>
    <n v="2"/>
    <n v="38.6"/>
    <n v="77.2"/>
    <d v="2025-02-08T00:00:00"/>
    <d v="2025-02-12T00:00:00"/>
    <s v="F"/>
    <x v="4"/>
    <n v="4"/>
    <s v="California"/>
    <s v="San Bernardino County"/>
    <n v="4"/>
    <n v="6"/>
    <x v="2"/>
  </r>
  <r>
    <s v="TX500969"/>
    <s v="Sandals"/>
    <n v="5"/>
    <n v="32.700000000000003"/>
    <n v="163.5"/>
    <d v="2025-02-08T00:00:00"/>
    <d v="2025-02-09T00:00:00"/>
    <s v="M"/>
    <x v="2"/>
    <n v="5"/>
    <s v="California"/>
    <s v="San Diego County"/>
    <n v="1"/>
    <n v="6"/>
    <x v="1"/>
  </r>
  <r>
    <s v="TX500970"/>
    <s v="Workout Tops"/>
    <n v="2"/>
    <n v="111.4"/>
    <n v="222.8"/>
    <d v="2025-02-08T00:00:00"/>
    <d v="2025-02-09T00:00:00"/>
    <s v="F"/>
    <x v="1"/>
    <n v="4"/>
    <s v="California"/>
    <s v="San Diego County"/>
    <n v="1"/>
    <n v="6"/>
    <x v="2"/>
  </r>
  <r>
    <s v="TX500971"/>
    <s v="Sneakers"/>
    <n v="6"/>
    <n v="80.3"/>
    <n v="481.79999999999995"/>
    <d v="2025-02-08T00:00:00"/>
    <d v="2025-02-10T00:00:00"/>
    <s v="F"/>
    <x v="1"/>
    <n v="4"/>
    <s v="California"/>
    <s v="San Diego County"/>
    <n v="2"/>
    <n v="6"/>
    <x v="2"/>
  </r>
  <r>
    <s v="TX500972"/>
    <s v="Jeans"/>
    <n v="2"/>
    <n v="58.9"/>
    <n v="117.8"/>
    <d v="2025-02-08T00:00:00"/>
    <d v="2025-02-09T00:00:00"/>
    <s v="M"/>
    <x v="1"/>
    <n v="4"/>
    <s v="California"/>
    <s v="San Diego County"/>
    <n v="1"/>
    <n v="6"/>
    <x v="1"/>
  </r>
  <r>
    <s v="TX500973"/>
    <s v="Jeans"/>
    <n v="3"/>
    <n v="51.9"/>
    <n v="155.69999999999999"/>
    <d v="2025-02-08T00:00:00"/>
    <d v="2025-02-10T00:00:00"/>
    <s v="F"/>
    <x v="1"/>
    <n v="2"/>
    <s v="California"/>
    <s v="San Diego County"/>
    <n v="2"/>
    <n v="6"/>
    <x v="2"/>
  </r>
  <r>
    <s v="TX500974"/>
    <s v="Sneakers"/>
    <n v="3"/>
    <n v="50.3"/>
    <n v="150.89999999999998"/>
    <d v="2025-02-08T00:00:00"/>
    <d v="2025-02-09T00:00:00"/>
    <s v="M"/>
    <x v="2"/>
    <n v="4"/>
    <s v="California"/>
    <s v="San Francisco"/>
    <n v="1"/>
    <n v="6"/>
    <x v="1"/>
  </r>
  <r>
    <s v="TX500975"/>
    <s v="Maxi Dresses"/>
    <n v="6"/>
    <n v="45"/>
    <n v="270"/>
    <d v="2025-02-08T00:00:00"/>
    <d v="2025-02-14T00:00:00"/>
    <s v="F"/>
    <x v="3"/>
    <n v="4"/>
    <s v="California"/>
    <s v="San Mateo County"/>
    <n v="6"/>
    <n v="6"/>
    <x v="2"/>
  </r>
  <r>
    <s v="TX500976"/>
    <s v="Bikinis"/>
    <n v="6"/>
    <n v="44.7"/>
    <n v="268.20000000000005"/>
    <d v="2025-02-08T00:00:00"/>
    <d v="2025-02-10T00:00:00"/>
    <s v="F"/>
    <x v="2"/>
    <n v="4"/>
    <s v="California"/>
    <s v="Santa Clara County"/>
    <n v="2"/>
    <n v="6"/>
    <x v="2"/>
  </r>
  <r>
    <s v="TX500977"/>
    <s v="Leggings"/>
    <n v="15"/>
    <n v="33"/>
    <n v="495"/>
    <d v="2025-02-08T00:00:00"/>
    <d v="2025-02-09T00:00:00"/>
    <s v="F"/>
    <x v="2"/>
    <n v="4"/>
    <s v="California"/>
    <s v="Santa Clara County"/>
    <n v="1"/>
    <n v="6"/>
    <x v="2"/>
  </r>
  <r>
    <s v="TX500978"/>
    <s v="Tank Tops"/>
    <n v="5"/>
    <n v="44.9"/>
    <n v="224.5"/>
    <d v="2025-02-08T00:00:00"/>
    <d v="2025-02-11T00:00:00"/>
    <s v="F"/>
    <x v="2"/>
    <n v="5"/>
    <s v="California"/>
    <s v="Sonoma County"/>
    <n v="3"/>
    <n v="6"/>
    <x v="2"/>
  </r>
  <r>
    <s v="TX500979"/>
    <s v="Bikinis"/>
    <n v="2"/>
    <n v="34.6"/>
    <n v="69.2"/>
    <d v="2025-02-08T00:00:00"/>
    <d v="2025-02-12T00:00:00"/>
    <s v="F"/>
    <x v="0"/>
    <n v="3"/>
    <s v="California"/>
    <s v="Stanislaus County"/>
    <n v="4"/>
    <n v="6"/>
    <x v="2"/>
  </r>
  <r>
    <s v="TX500980"/>
    <s v="Hoodies &amp; Sweatshirts"/>
    <n v="7"/>
    <n v="47.1"/>
    <n v="329.7"/>
    <d v="2025-02-08T00:00:00"/>
    <d v="2025-02-13T00:00:00"/>
    <s v="F"/>
    <x v="0"/>
    <n v="4"/>
    <s v="California"/>
    <s v="Ventura County"/>
    <n v="5"/>
    <n v="6"/>
    <x v="2"/>
  </r>
  <r>
    <s v="TX500981"/>
    <s v="Graphic Tees"/>
    <n v="5"/>
    <n v="26.1"/>
    <n v="130.5"/>
    <d v="2025-02-08T00:00:00"/>
    <d v="2025-02-13T00:00:00"/>
    <s v="M"/>
    <x v="0"/>
    <n v="5"/>
    <s v="California"/>
    <s v="Alameda County"/>
    <n v="5"/>
    <n v="6"/>
    <x v="1"/>
  </r>
  <r>
    <s v="TX500982"/>
    <s v="Casual Dresses"/>
    <n v="5"/>
    <n v="66.8"/>
    <n v="334"/>
    <d v="2025-02-08T00:00:00"/>
    <d v="2025-02-11T00:00:00"/>
    <s v="F"/>
    <x v="0"/>
    <n v="4"/>
    <s v="California"/>
    <s v="Alameda County"/>
    <n v="3"/>
    <n v="6"/>
    <x v="2"/>
  </r>
  <r>
    <s v="TX500983"/>
    <s v="Sneakers"/>
    <n v="2"/>
    <n v="167.9"/>
    <n v="335.8"/>
    <d v="2025-02-08T00:00:00"/>
    <d v="2025-02-09T00:00:00"/>
    <s v="F"/>
    <x v="3"/>
    <n v="5"/>
    <s v="California"/>
    <s v="Alameda County"/>
    <n v="1"/>
    <n v="6"/>
    <x v="2"/>
  </r>
  <r>
    <s v="TX500984"/>
    <s v="Bikinis"/>
    <n v="9"/>
    <n v="34.6"/>
    <n v="311.40000000000003"/>
    <d v="2025-02-08T00:00:00"/>
    <d v="2025-02-09T00:00:00"/>
    <s v="F"/>
    <x v="2"/>
    <n v="3"/>
    <s v="California"/>
    <s v="Alameda County"/>
    <n v="1"/>
    <n v="6"/>
    <x v="2"/>
  </r>
  <r>
    <s v="TX500985"/>
    <s v="T-Shirts"/>
    <n v="3"/>
    <n v="35.1"/>
    <n v="105.30000000000001"/>
    <d v="2025-02-09T00:00:00"/>
    <d v="2025-02-13T00:00:00"/>
    <s v="M"/>
    <x v="4"/>
    <n v="5"/>
    <s v="California"/>
    <s v="Contra Costa County"/>
    <n v="4"/>
    <n v="7"/>
    <x v="1"/>
  </r>
  <r>
    <s v="TX500986"/>
    <s v="Jeans"/>
    <n v="4"/>
    <n v="104.5"/>
    <n v="418"/>
    <d v="2025-02-09T00:00:00"/>
    <d v="2025-02-10T00:00:00"/>
    <s v="M"/>
    <x v="1"/>
    <n v="3"/>
    <s v="California"/>
    <s v="Contra Costa County"/>
    <n v="1"/>
    <n v="7"/>
    <x v="1"/>
  </r>
  <r>
    <s v="TX500987"/>
    <s v="T-Shirts"/>
    <n v="1"/>
    <n v="37.9"/>
    <n v="37.9"/>
    <d v="2025-02-09T00:00:00"/>
    <d v="2025-02-11T00:00:00"/>
    <s v=""/>
    <x v="1"/>
    <n v="5"/>
    <s v="California"/>
    <s v="Fresno County"/>
    <n v="2"/>
    <n v="7"/>
    <x v="0"/>
  </r>
  <r>
    <s v="TX500988"/>
    <s v="Graphic Tees"/>
    <n v="3"/>
    <n v="25.5"/>
    <n v="76.5"/>
    <d v="2025-02-09T00:00:00"/>
    <d v="2025-02-12T00:00:00"/>
    <s v="M"/>
    <x v="3"/>
    <n v="4"/>
    <s v="California"/>
    <s v="Fresno County"/>
    <n v="3"/>
    <n v="7"/>
    <x v="1"/>
  </r>
  <r>
    <s v="TX500989"/>
    <s v="Shorts"/>
    <n v="3"/>
    <n v="32"/>
    <n v="96"/>
    <d v="2025-02-09T00:00:00"/>
    <d v="2025-02-13T00:00:00"/>
    <s v="F"/>
    <x v="1"/>
    <n v="4"/>
    <s v="California"/>
    <s v="Kern County"/>
    <n v="4"/>
    <n v="7"/>
    <x v="2"/>
  </r>
  <r>
    <s v="TX500990"/>
    <s v="Tank Tops"/>
    <n v="1"/>
    <n v="47.1"/>
    <n v="47.1"/>
    <d v="2025-02-09T00:00:00"/>
    <d v="2025-02-10T00:00:00"/>
    <s v="F"/>
    <x v="0"/>
    <n v="4"/>
    <s v="California"/>
    <s v="Kings County"/>
    <n v="1"/>
    <n v="7"/>
    <x v="2"/>
  </r>
  <r>
    <s v="TX500991"/>
    <s v="Jeans"/>
    <n v="2"/>
    <n v="50.6"/>
    <n v="101.2"/>
    <d v="2025-02-09T00:00:00"/>
    <d v="2025-02-15T00:00:00"/>
    <s v=""/>
    <x v="0"/>
    <n v="4"/>
    <s v="California"/>
    <s v="Los Angeles County"/>
    <n v="6"/>
    <n v="7"/>
    <x v="0"/>
  </r>
  <r>
    <s v="TX500992"/>
    <s v="Jeans"/>
    <n v="5"/>
    <n v="81.7"/>
    <n v="408.5"/>
    <d v="2025-02-09T00:00:00"/>
    <d v="2025-02-10T00:00:00"/>
    <s v="F"/>
    <x v="1"/>
    <n v="5"/>
    <s v="California"/>
    <s v="Los Angeles County"/>
    <n v="1"/>
    <n v="7"/>
    <x v="2"/>
  </r>
  <r>
    <s v="TX500993"/>
    <s v="Sandals"/>
    <n v="2"/>
    <n v="50.7"/>
    <n v="101.4"/>
    <d v="2025-02-09T00:00:00"/>
    <d v="2025-02-10T00:00:00"/>
    <s v="O"/>
    <x v="2"/>
    <n v="5"/>
    <s v="California"/>
    <s v="Los Angeles County"/>
    <n v="1"/>
    <n v="7"/>
    <x v="3"/>
  </r>
  <r>
    <s v="TX500994"/>
    <s v="Sneakers"/>
    <n v="19"/>
    <n v="67.3"/>
    <n v="1278.7"/>
    <d v="2025-02-09T00:00:00"/>
    <d v="2025-02-13T00:00:00"/>
    <s v="F"/>
    <x v="2"/>
    <n v="4"/>
    <s v="California"/>
    <s v="Los Angeles County"/>
    <n v="4"/>
    <n v="7"/>
    <x v="2"/>
  </r>
  <r>
    <s v="TX500995"/>
    <s v="Sneakers"/>
    <n v="4"/>
    <n v="64.8"/>
    <n v="259.2"/>
    <d v="2025-02-09T00:00:00"/>
    <d v="2025-02-12T00:00:00"/>
    <s v="F"/>
    <x v="3"/>
    <n v="4"/>
    <s v="California"/>
    <s v="Los Angeles County"/>
    <n v="3"/>
    <n v="7"/>
    <x v="2"/>
  </r>
  <r>
    <s v="TX500996"/>
    <s v="Sandals"/>
    <n v="22"/>
    <n v="61.3"/>
    <n v="1348.6"/>
    <d v="2025-02-09T00:00:00"/>
    <d v="2025-02-10T00:00:00"/>
    <s v="F"/>
    <x v="0"/>
    <n v="5"/>
    <s v="California"/>
    <s v="Los Angeles County"/>
    <n v="1"/>
    <n v="7"/>
    <x v="2"/>
  </r>
  <r>
    <s v="TX500997"/>
    <s v="Baseball Caps"/>
    <n v="1"/>
    <n v="32.9"/>
    <n v="32.9"/>
    <d v="2025-02-09T00:00:00"/>
    <d v="2025-02-12T00:00:00"/>
    <s v="F"/>
    <x v="4"/>
    <n v="4"/>
    <s v="California"/>
    <s v="Los Angeles County"/>
    <n v="3"/>
    <n v="7"/>
    <x v="2"/>
  </r>
  <r>
    <s v="TX500998"/>
    <s v="Jeans"/>
    <n v="2"/>
    <n v="100.8"/>
    <n v="201.6"/>
    <d v="2025-02-09T00:00:00"/>
    <d v="2025-02-12T00:00:00"/>
    <s v="F"/>
    <x v="0"/>
    <n v="4"/>
    <s v="California"/>
    <s v="Los Angeles County"/>
    <n v="3"/>
    <n v="7"/>
    <x v="2"/>
  </r>
  <r>
    <s v="TX500999"/>
    <s v="T-Shirts"/>
    <n v="4"/>
    <n v="25.1"/>
    <n v="100.4"/>
    <d v="2025-02-09T00:00:00"/>
    <d v="2025-02-11T00:00:00"/>
    <s v="F"/>
    <x v="1"/>
    <n v="4"/>
    <s v="California"/>
    <s v="Los Angeles County"/>
    <n v="2"/>
    <n v="7"/>
    <x v="2"/>
  </r>
  <r>
    <s v="TX501000"/>
    <s v="Pajama Sets"/>
    <n v="1"/>
    <n v="48.5"/>
    <n v="48.5"/>
    <d v="2025-02-09T00:00:00"/>
    <d v="2025-02-10T00:00:00"/>
    <s v="F"/>
    <x v="0"/>
    <n v="3"/>
    <s v="California"/>
    <s v="Los Angeles County"/>
    <n v="1"/>
    <n v="7"/>
    <x v="2"/>
  </r>
  <r>
    <s v="TX501001"/>
    <s v="Hoodies &amp; Sweatshirts"/>
    <n v="2"/>
    <n v="33.6"/>
    <n v="67.2"/>
    <d v="2025-02-09T00:00:00"/>
    <d v="2025-02-13T00:00:00"/>
    <s v="F"/>
    <x v="2"/>
    <n v="5"/>
    <s v="California"/>
    <s v="Los Angeles County"/>
    <n v="4"/>
    <n v="7"/>
    <x v="2"/>
  </r>
  <r>
    <s v="TX501002"/>
    <s v="T-Shirts"/>
    <n v="1"/>
    <n v="39.299999999999997"/>
    <n v="39.299999999999997"/>
    <d v="2025-02-09T00:00:00"/>
    <d v="2025-02-20T00:00:00"/>
    <s v="F"/>
    <x v="1"/>
    <n v="3"/>
    <s v="California"/>
    <s v="Monterey County"/>
    <n v="11"/>
    <n v="7"/>
    <x v="2"/>
  </r>
  <r>
    <s v="TX501003"/>
    <s v="Graphic Tees"/>
    <n v="10"/>
    <n v="48.8"/>
    <n v="488"/>
    <d v="2025-02-09T00:00:00"/>
    <d v="2025-02-11T00:00:00"/>
    <s v="F"/>
    <x v="3"/>
    <n v="3"/>
    <s v="California"/>
    <s v="Orange County"/>
    <n v="2"/>
    <n v="7"/>
    <x v="2"/>
  </r>
  <r>
    <s v="TX501004"/>
    <s v="Jeans"/>
    <n v="8"/>
    <n v="72.8"/>
    <n v="582.4"/>
    <d v="2025-02-09T00:00:00"/>
    <d v="2025-02-11T00:00:00"/>
    <s v="M"/>
    <x v="1"/>
    <n v="5"/>
    <s v="California"/>
    <s v="Placer County"/>
    <n v="2"/>
    <n v="7"/>
    <x v="1"/>
  </r>
  <r>
    <s v="TX501005"/>
    <s v="Bikinis"/>
    <n v="8"/>
    <n v="46.2"/>
    <n v="369.6"/>
    <d v="2025-02-09T00:00:00"/>
    <d v="2025-02-10T00:00:00"/>
    <s v="M"/>
    <x v="3"/>
    <n v="2"/>
    <s v="California"/>
    <s v="Placer County"/>
    <n v="1"/>
    <n v="7"/>
    <x v="1"/>
  </r>
  <r>
    <s v="TX501006"/>
    <s v="Graphic Tees"/>
    <n v="2"/>
    <n v="20.7"/>
    <n v="41.4"/>
    <d v="2025-02-09T00:00:00"/>
    <d v="2025-02-10T00:00:00"/>
    <s v="F"/>
    <x v="2"/>
    <n v="1"/>
    <s v="California"/>
    <s v="Sacramento County"/>
    <n v="1"/>
    <n v="7"/>
    <x v="2"/>
  </r>
  <r>
    <s v="TX501007"/>
    <s v="Shorts"/>
    <n v="1"/>
    <n v="35.700000000000003"/>
    <n v="35.700000000000003"/>
    <d v="2025-02-09T00:00:00"/>
    <d v="2025-02-11T00:00:00"/>
    <s v="F"/>
    <x v="3"/>
    <n v="4"/>
    <s v="California"/>
    <s v="Sacramento County"/>
    <n v="2"/>
    <n v="7"/>
    <x v="2"/>
  </r>
  <r>
    <s v="TX501008"/>
    <s v="Sneakers"/>
    <n v="16"/>
    <n v="166.2"/>
    <n v="2659.2"/>
    <d v="2025-02-09T00:00:00"/>
    <d v="2025-02-11T00:00:00"/>
    <s v=""/>
    <x v="2"/>
    <n v="4"/>
    <s v="California"/>
    <s v="San Bernardino County"/>
    <n v="2"/>
    <n v="7"/>
    <x v="0"/>
  </r>
  <r>
    <s v="TX501009"/>
    <s v="Jeans"/>
    <n v="4"/>
    <n v="85.8"/>
    <n v="343.2"/>
    <d v="2025-02-09T00:00:00"/>
    <d v="2025-02-10T00:00:00"/>
    <s v="F"/>
    <x v="1"/>
    <n v="3"/>
    <s v="California"/>
    <s v="San Bernardino County"/>
    <n v="1"/>
    <n v="7"/>
    <x v="2"/>
  </r>
  <r>
    <s v="TX501010"/>
    <s v="T-Shirts"/>
    <n v="3"/>
    <n v="26"/>
    <n v="78"/>
    <d v="2025-02-09T00:00:00"/>
    <d v="2025-02-11T00:00:00"/>
    <s v="O"/>
    <x v="1"/>
    <n v="4"/>
    <s v="California"/>
    <s v="San Bernardino County"/>
    <n v="2"/>
    <n v="7"/>
    <x v="3"/>
  </r>
  <r>
    <s v="TX501011"/>
    <s v="Sneakers"/>
    <n v="13"/>
    <n v="116.6"/>
    <n v="1515.8"/>
    <d v="2025-02-09T00:00:00"/>
    <d v="2025-02-12T00:00:00"/>
    <s v="F"/>
    <x v="0"/>
    <n v="4"/>
    <s v="California"/>
    <s v="San Diego County"/>
    <n v="3"/>
    <n v="7"/>
    <x v="2"/>
  </r>
  <r>
    <s v="TX501012"/>
    <s v="Sundresses"/>
    <n v="7"/>
    <n v="53.9"/>
    <n v="377.3"/>
    <d v="2025-02-09T00:00:00"/>
    <d v="2025-02-12T00:00:00"/>
    <s v="O"/>
    <x v="0"/>
    <n v="5"/>
    <s v="California"/>
    <s v="San Diego County"/>
    <n v="3"/>
    <n v="7"/>
    <x v="3"/>
  </r>
  <r>
    <s v="TX501013"/>
    <s v="Casual Dresses"/>
    <n v="5"/>
    <n v="72.3"/>
    <n v="361.5"/>
    <d v="2025-02-09T00:00:00"/>
    <d v="2025-02-11T00:00:00"/>
    <s v=""/>
    <x v="2"/>
    <n v="5"/>
    <s v="California"/>
    <s v="San Diego County"/>
    <n v="2"/>
    <n v="7"/>
    <x v="0"/>
  </r>
  <r>
    <s v="TX501014"/>
    <s v="Sandals"/>
    <n v="2"/>
    <n v="31.4"/>
    <n v="62.8"/>
    <d v="2025-02-09T00:00:00"/>
    <d v="2025-02-11T00:00:00"/>
    <s v="F"/>
    <x v="0"/>
    <n v="4"/>
    <s v="California"/>
    <s v="San Diego County"/>
    <n v="2"/>
    <n v="7"/>
    <x v="2"/>
  </r>
  <r>
    <s v="TX501015"/>
    <s v="Tote Bags"/>
    <n v="2"/>
    <n v="53.1"/>
    <n v="106.2"/>
    <d v="2025-02-09T00:00:00"/>
    <d v="2025-02-12T00:00:00"/>
    <s v="M"/>
    <x v="1"/>
    <n v="4"/>
    <s v="California"/>
    <s v="San Diego County"/>
    <n v="3"/>
    <n v="7"/>
    <x v="1"/>
  </r>
  <r>
    <s v="TX501016"/>
    <s v="Sneakers"/>
    <n v="4"/>
    <n v="56.2"/>
    <n v="224.8"/>
    <d v="2025-02-09T00:00:00"/>
    <d v="2025-02-10T00:00:00"/>
    <s v="F"/>
    <x v="0"/>
    <n v="4"/>
    <s v="California"/>
    <s v="San Diego County"/>
    <n v="1"/>
    <n v="7"/>
    <x v="2"/>
  </r>
  <r>
    <s v="TX501017"/>
    <s v="Tank Tops"/>
    <n v="10"/>
    <n v="77.3"/>
    <n v="773"/>
    <d v="2025-02-09T00:00:00"/>
    <d v="2025-02-10T00:00:00"/>
    <s v="F"/>
    <x v="2"/>
    <n v="4"/>
    <s v="California"/>
    <s v="Santa Clara County"/>
    <n v="1"/>
    <n v="7"/>
    <x v="2"/>
  </r>
  <r>
    <s v="TX501018"/>
    <s v="Jeans"/>
    <n v="13"/>
    <n v="57.8"/>
    <n v="751.4"/>
    <d v="2025-02-09T00:00:00"/>
    <d v="2025-02-10T00:00:00"/>
    <s v=""/>
    <x v="0"/>
    <n v="4"/>
    <s v="California"/>
    <s v="Shasta County"/>
    <n v="1"/>
    <n v="7"/>
    <x v="0"/>
  </r>
  <r>
    <s v="TX501019"/>
    <s v="Casual Dresses"/>
    <n v="15"/>
    <n v="42.1"/>
    <n v="631.5"/>
    <d v="2025-02-09T00:00:00"/>
    <d v="2025-02-11T00:00:00"/>
    <s v="F"/>
    <x v="1"/>
    <n v="3"/>
    <s v="California"/>
    <s v="Shasta County"/>
    <n v="2"/>
    <n v="7"/>
    <x v="2"/>
  </r>
  <r>
    <s v="TX501020"/>
    <s v="T-Shirts"/>
    <n v="9"/>
    <n v="22.8"/>
    <n v="205.20000000000002"/>
    <d v="2025-02-09T00:00:00"/>
    <d v="2025-02-13T00:00:00"/>
    <s v="M"/>
    <x v="2"/>
    <n v="5"/>
    <s v="California"/>
    <s v="Stanislaus County"/>
    <n v="4"/>
    <n v="7"/>
    <x v="1"/>
  </r>
  <r>
    <s v="TX501021"/>
    <s v="Sneakers"/>
    <n v="3"/>
    <n v="171.1"/>
    <n v="513.29999999999995"/>
    <d v="2025-02-10T00:00:00"/>
    <d v="2025-02-17T00:00:00"/>
    <s v="F"/>
    <x v="2"/>
    <n v="3"/>
    <s v="California"/>
    <s v="Stanislaus County"/>
    <n v="7"/>
    <n v="7"/>
    <x v="2"/>
  </r>
  <r>
    <s v="TX501022"/>
    <s v="T-Shirts"/>
    <n v="1"/>
    <n v="28"/>
    <n v="28"/>
    <d v="2025-02-10T00:00:00"/>
    <d v="2025-02-12T00:00:00"/>
    <s v="M"/>
    <x v="2"/>
    <n v="5"/>
    <s v="California"/>
    <s v="Alameda County"/>
    <n v="2"/>
    <n v="7"/>
    <x v="1"/>
  </r>
  <r>
    <s v="TX501023"/>
    <s v="Jeans"/>
    <n v="7"/>
    <n v="50.2"/>
    <n v="351.40000000000003"/>
    <d v="2025-02-10T00:00:00"/>
    <d v="2025-02-12T00:00:00"/>
    <s v="M"/>
    <x v="2"/>
    <n v="4"/>
    <s v="California"/>
    <s v="Alameda County"/>
    <n v="2"/>
    <n v="7"/>
    <x v="1"/>
  </r>
  <r>
    <s v="TX501024"/>
    <s v="Jeans"/>
    <n v="2"/>
    <n v="56"/>
    <n v="112"/>
    <d v="2025-02-10T00:00:00"/>
    <d v="2025-02-10T00:00:00"/>
    <s v="M"/>
    <x v="0"/>
    <n v="5"/>
    <s v="California"/>
    <s v="Kern County"/>
    <n v="0"/>
    <n v="7"/>
    <x v="1"/>
  </r>
  <r>
    <s v="TX501025"/>
    <s v="Tank Tops"/>
    <n v="2"/>
    <n v="38.299999999999997"/>
    <n v="76.599999999999994"/>
    <d v="2025-02-10T00:00:00"/>
    <d v="2025-02-11T00:00:00"/>
    <s v="F"/>
    <x v="1"/>
    <n v="4"/>
    <s v="California"/>
    <s v="Los Angeles County"/>
    <n v="1"/>
    <n v="7"/>
    <x v="2"/>
  </r>
  <r>
    <s v="TX501026"/>
    <s v="Shorts"/>
    <n v="5"/>
    <n v="22.3"/>
    <n v="111.5"/>
    <d v="2025-02-10T00:00:00"/>
    <d v="2025-02-14T00:00:00"/>
    <s v="F"/>
    <x v="2"/>
    <n v="3"/>
    <s v="California"/>
    <s v="Los Angeles County"/>
    <n v="4"/>
    <n v="7"/>
    <x v="2"/>
  </r>
  <r>
    <s v="TX501027"/>
    <s v="Shorts"/>
    <n v="3"/>
    <n v="22.3"/>
    <n v="66.900000000000006"/>
    <d v="2025-02-10T00:00:00"/>
    <d v="2025-02-13T00:00:00"/>
    <s v="F"/>
    <x v="2"/>
    <n v="4"/>
    <s v="California"/>
    <s v="Los Angeles County"/>
    <n v="3"/>
    <n v="7"/>
    <x v="2"/>
  </r>
  <r>
    <s v="TX501028"/>
    <s v="Tank Tops"/>
    <n v="1"/>
    <n v="32.9"/>
    <n v="32.9"/>
    <d v="2025-02-10T00:00:00"/>
    <d v="2025-02-15T00:00:00"/>
    <s v="F"/>
    <x v="0"/>
    <n v="4"/>
    <s v="California"/>
    <s v="Los Angeles County"/>
    <n v="5"/>
    <n v="7"/>
    <x v="2"/>
  </r>
  <r>
    <s v="TX501029"/>
    <s v="Bikinis"/>
    <n v="3"/>
    <n v="31.9"/>
    <n v="95.699999999999989"/>
    <d v="2025-02-10T00:00:00"/>
    <d v="2025-02-15T00:00:00"/>
    <s v="F"/>
    <x v="0"/>
    <n v="4"/>
    <s v="California"/>
    <s v="Los Angeles County"/>
    <n v="5"/>
    <n v="7"/>
    <x v="2"/>
  </r>
  <r>
    <s v="TX501030"/>
    <s v="Jeans"/>
    <n v="2"/>
    <n v="94"/>
    <n v="188"/>
    <d v="2025-02-10T00:00:00"/>
    <d v="2025-02-11T00:00:00"/>
    <s v="M"/>
    <x v="2"/>
    <n v="5"/>
    <s v="California"/>
    <s v="Los Angeles County"/>
    <n v="1"/>
    <n v="7"/>
    <x v="1"/>
  </r>
  <r>
    <s v="TX501031"/>
    <s v="Bikinis"/>
    <n v="2"/>
    <n v="30.7"/>
    <n v="61.4"/>
    <d v="2025-02-10T00:00:00"/>
    <d v="2025-02-11T00:00:00"/>
    <s v="F"/>
    <x v="0"/>
    <n v="3"/>
    <s v="California"/>
    <s v="Los Angeles County"/>
    <n v="1"/>
    <n v="7"/>
    <x v="2"/>
  </r>
  <r>
    <s v="TX501032"/>
    <s v="Sandals"/>
    <n v="5"/>
    <n v="90.5"/>
    <n v="452.5"/>
    <d v="2025-02-10T00:00:00"/>
    <d v="2025-02-17T00:00:00"/>
    <s v="M"/>
    <x v="0"/>
    <n v="5"/>
    <s v="California"/>
    <s v="Los Angeles County"/>
    <n v="7"/>
    <n v="7"/>
    <x v="1"/>
  </r>
  <r>
    <s v="TX501033"/>
    <s v="T-Shirts"/>
    <n v="5"/>
    <n v="25.3"/>
    <n v="126.5"/>
    <d v="2025-02-10T00:00:00"/>
    <d v="2025-02-14T00:00:00"/>
    <s v="F"/>
    <x v="0"/>
    <n v="5"/>
    <s v="California"/>
    <s v="Los Angeles County"/>
    <n v="4"/>
    <n v="7"/>
    <x v="2"/>
  </r>
  <r>
    <s v="TX501034"/>
    <s v="Jeans"/>
    <n v="3"/>
    <n v="58.1"/>
    <n v="174.3"/>
    <d v="2025-02-10T00:00:00"/>
    <d v="2025-02-14T00:00:00"/>
    <s v=""/>
    <x v="0"/>
    <n v="5"/>
    <s v="California"/>
    <s v="Los Angeles County"/>
    <n v="4"/>
    <n v="7"/>
    <x v="0"/>
  </r>
  <r>
    <s v="TX501035"/>
    <s v="Sneakers"/>
    <n v="3"/>
    <n v="74.900000000000006"/>
    <n v="224.70000000000002"/>
    <d v="2025-02-10T00:00:00"/>
    <d v="2025-02-11T00:00:00"/>
    <s v="F"/>
    <x v="4"/>
    <n v="4"/>
    <s v="California"/>
    <s v="Los Angeles County"/>
    <n v="1"/>
    <n v="7"/>
    <x v="2"/>
  </r>
  <r>
    <s v="TX501036"/>
    <s v="Graphic Tees"/>
    <n v="2"/>
    <n v="32.5"/>
    <n v="65"/>
    <d v="2025-02-10T00:00:00"/>
    <d v="2025-02-11T00:00:00"/>
    <s v="M"/>
    <x v="2"/>
    <n v="5"/>
    <s v="California"/>
    <s v="Marin County"/>
    <n v="1"/>
    <n v="7"/>
    <x v="1"/>
  </r>
  <r>
    <s v="TX501037"/>
    <s v="Graphic Tees"/>
    <n v="5"/>
    <n v="62"/>
    <n v="310"/>
    <d v="2025-02-10T00:00:00"/>
    <d v="2025-02-11T00:00:00"/>
    <s v="M"/>
    <x v="4"/>
    <n v="5"/>
    <s v="California"/>
    <s v="Orange County"/>
    <n v="1"/>
    <n v="7"/>
    <x v="1"/>
  </r>
  <r>
    <s v="TX501038"/>
    <s v="Tote Bags"/>
    <n v="6"/>
    <n v="28.9"/>
    <n v="173.39999999999998"/>
    <d v="2025-02-10T00:00:00"/>
    <d v="2025-02-13T00:00:00"/>
    <s v="F"/>
    <x v="0"/>
    <n v="3"/>
    <s v="California"/>
    <s v="Sacramento County"/>
    <n v="3"/>
    <n v="7"/>
    <x v="2"/>
  </r>
  <r>
    <s v="TX501039"/>
    <s v="Jeans"/>
    <n v="8"/>
    <n v="42.8"/>
    <n v="342.4"/>
    <d v="2025-02-10T00:00:00"/>
    <d v="2025-02-12T00:00:00"/>
    <s v="F"/>
    <x v="0"/>
    <n v="5"/>
    <s v="California"/>
    <s v="Sacramento County"/>
    <n v="2"/>
    <n v="7"/>
    <x v="2"/>
  </r>
  <r>
    <s v="TX501040"/>
    <s v="T-Shirts"/>
    <n v="8"/>
    <n v="39.4"/>
    <n v="315.2"/>
    <d v="2025-02-10T00:00:00"/>
    <d v="2025-02-12T00:00:00"/>
    <s v="M"/>
    <x v="0"/>
    <n v="4"/>
    <s v="California"/>
    <s v="San Benito County"/>
    <n v="2"/>
    <n v="7"/>
    <x v="1"/>
  </r>
  <r>
    <s v="TX501041"/>
    <s v="Leggings"/>
    <n v="3"/>
    <n v="66.400000000000006"/>
    <n v="199.20000000000002"/>
    <d v="2025-02-10T00:00:00"/>
    <d v="2025-02-11T00:00:00"/>
    <s v=""/>
    <x v="2"/>
    <n v="3"/>
    <s v="California"/>
    <s v="San Bernardino County"/>
    <n v="1"/>
    <n v="7"/>
    <x v="0"/>
  </r>
  <r>
    <s v="TX501042"/>
    <s v="Pajama Sets"/>
    <n v="4"/>
    <n v="35.9"/>
    <n v="143.6"/>
    <d v="2025-02-10T00:00:00"/>
    <d v="2025-02-17T00:00:00"/>
    <s v="F"/>
    <x v="1"/>
    <n v="4"/>
    <s v="California"/>
    <s v="San Bernardino County"/>
    <n v="7"/>
    <n v="7"/>
    <x v="2"/>
  </r>
  <r>
    <s v="TX501043"/>
    <s v="Shorts"/>
    <n v="4"/>
    <n v="26.9"/>
    <n v="107.6"/>
    <d v="2025-02-10T00:00:00"/>
    <d v="2025-02-11T00:00:00"/>
    <s v="M"/>
    <x v="1"/>
    <n v="4"/>
    <s v="California"/>
    <s v="San Bernardino County"/>
    <n v="1"/>
    <n v="7"/>
    <x v="1"/>
  </r>
  <r>
    <s v="TX501044"/>
    <s v="Sneakers"/>
    <n v="1"/>
    <n v="55.1"/>
    <n v="55.1"/>
    <d v="2025-02-10T00:00:00"/>
    <d v="2025-02-11T00:00:00"/>
    <s v="F"/>
    <x v="0"/>
    <n v="4"/>
    <s v="California"/>
    <s v="San Bernardino County"/>
    <n v="1"/>
    <n v="7"/>
    <x v="2"/>
  </r>
  <r>
    <s v="TX501045"/>
    <s v="Graphic Tees"/>
    <n v="2"/>
    <n v="23.9"/>
    <n v="47.8"/>
    <d v="2025-02-10T00:00:00"/>
    <d v="2025-02-11T00:00:00"/>
    <s v="M"/>
    <x v="0"/>
    <n v="5"/>
    <s v="California"/>
    <s v="San Diego County"/>
    <n v="1"/>
    <n v="7"/>
    <x v="1"/>
  </r>
  <r>
    <s v="TX501046"/>
    <s v="Sundresses"/>
    <n v="13"/>
    <n v="21.1"/>
    <n v="274.3"/>
    <d v="2025-02-10T00:00:00"/>
    <d v="2025-02-18T00:00:00"/>
    <s v="F"/>
    <x v="0"/>
    <n v="3"/>
    <s v="California"/>
    <s v="San Diego County"/>
    <n v="8"/>
    <n v="7"/>
    <x v="2"/>
  </r>
  <r>
    <s v="TX501047"/>
    <s v="T-Shirts"/>
    <n v="5"/>
    <n v="33.799999999999997"/>
    <n v="169"/>
    <d v="2025-02-10T00:00:00"/>
    <d v="2025-02-12T00:00:00"/>
    <s v="F"/>
    <x v="0"/>
    <n v="4"/>
    <s v="California"/>
    <s v="San Diego County"/>
    <n v="2"/>
    <n v="7"/>
    <x v="2"/>
  </r>
  <r>
    <s v="TX501048"/>
    <s v="Sneakers"/>
    <n v="4"/>
    <n v="56.1"/>
    <n v="224.4"/>
    <d v="2025-02-10T00:00:00"/>
    <d v="2025-02-10T00:00:00"/>
    <s v="F"/>
    <x v="3"/>
    <n v="5"/>
    <s v="California"/>
    <s v="San Mateo County"/>
    <n v="0"/>
    <n v="7"/>
    <x v="2"/>
  </r>
  <r>
    <s v="TX501049"/>
    <s v="Workout Tops"/>
    <n v="1"/>
    <n v="58.5"/>
    <n v="58.5"/>
    <d v="2025-02-11T00:00:00"/>
    <d v="2025-02-15T00:00:00"/>
    <s v="F"/>
    <x v="1"/>
    <n v="5"/>
    <s v="California"/>
    <s v="San Mateo County"/>
    <n v="4"/>
    <n v="7"/>
    <x v="2"/>
  </r>
  <r>
    <s v="TX501050"/>
    <s v="Jeans"/>
    <n v="1"/>
    <n v="84.2"/>
    <n v="84.2"/>
    <d v="2025-02-11T00:00:00"/>
    <d v="2025-02-13T00:00:00"/>
    <s v="M"/>
    <x v="3"/>
    <n v="4"/>
    <s v="California"/>
    <s v="Santa Clara County"/>
    <n v="2"/>
    <n v="7"/>
    <x v="1"/>
  </r>
  <r>
    <s v="TX501051"/>
    <s v="Maxi Dresses"/>
    <n v="4"/>
    <n v="52"/>
    <n v="208"/>
    <d v="2025-02-11T00:00:00"/>
    <d v="2025-02-14T00:00:00"/>
    <s v="M"/>
    <x v="0"/>
    <n v="4"/>
    <s v="California"/>
    <s v="Santa Clara County"/>
    <n v="3"/>
    <n v="7"/>
    <x v="1"/>
  </r>
  <r>
    <s v="TX501052"/>
    <s v="Graphic Tees"/>
    <n v="5"/>
    <n v="31.5"/>
    <n v="157.5"/>
    <d v="2025-02-11T00:00:00"/>
    <d v="2025-02-12T00:00:00"/>
    <s v="F"/>
    <x v="0"/>
    <n v="5"/>
    <s v="California"/>
    <s v="Santa Clara County"/>
    <n v="1"/>
    <n v="7"/>
    <x v="2"/>
  </r>
  <r>
    <s v="TX501053"/>
    <s v="Sunglasses"/>
    <n v="3"/>
    <n v="46.2"/>
    <n v="138.60000000000002"/>
    <d v="2025-02-11T00:00:00"/>
    <d v="2025-02-12T00:00:00"/>
    <s v="M"/>
    <x v="0"/>
    <n v="4"/>
    <s v="California"/>
    <s v="Shasta County"/>
    <n v="1"/>
    <n v="7"/>
    <x v="1"/>
  </r>
  <r>
    <s v="TX501054"/>
    <s v="Sneakers"/>
    <n v="6"/>
    <n v="135"/>
    <n v="810"/>
    <d v="2025-02-11T00:00:00"/>
    <d v="2025-02-12T00:00:00"/>
    <s v="F"/>
    <x v="1"/>
    <n v="5"/>
    <s v="California"/>
    <s v="Sonoma County"/>
    <n v="1"/>
    <n v="7"/>
    <x v="2"/>
  </r>
  <r>
    <s v="TX501055"/>
    <s v="Casual Dresses"/>
    <n v="3"/>
    <n v="92.2"/>
    <n v="276.60000000000002"/>
    <d v="2025-02-11T00:00:00"/>
    <d v="2025-02-15T00:00:00"/>
    <s v="M"/>
    <x v="0"/>
    <n v="4"/>
    <s v="California"/>
    <s v="Alameda County"/>
    <n v="4"/>
    <n v="7"/>
    <x v="1"/>
  </r>
  <r>
    <s v="TX501056"/>
    <s v="T-Shirts"/>
    <n v="1"/>
    <n v="36.6"/>
    <n v="36.6"/>
    <d v="2025-02-11T00:00:00"/>
    <d v="2025-02-13T00:00:00"/>
    <s v="M"/>
    <x v="2"/>
    <n v="5"/>
    <s v="California"/>
    <s v="Alameda County"/>
    <n v="2"/>
    <n v="7"/>
    <x v="1"/>
  </r>
  <r>
    <s v="TX501057"/>
    <s v="Sundresses"/>
    <n v="2"/>
    <n v="50.6"/>
    <n v="101.2"/>
    <d v="2025-02-11T00:00:00"/>
    <d v="2025-02-14T00:00:00"/>
    <s v="F"/>
    <x v="0"/>
    <n v="4"/>
    <s v="California"/>
    <s v="Fresno County"/>
    <n v="3"/>
    <n v="7"/>
    <x v="2"/>
  </r>
  <r>
    <s v="TX501058"/>
    <s v="Leggings"/>
    <n v="7"/>
    <n v="56.7"/>
    <n v="396.90000000000003"/>
    <d v="2025-02-11T00:00:00"/>
    <d v="2025-02-14T00:00:00"/>
    <s v="F"/>
    <x v="0"/>
    <n v="4"/>
    <s v="California"/>
    <s v="Fresno County"/>
    <n v="3"/>
    <n v="7"/>
    <x v="2"/>
  </r>
  <r>
    <s v="TX501059"/>
    <s v="Sundresses"/>
    <n v="13"/>
    <n v="22.9"/>
    <n v="297.7"/>
    <d v="2025-02-11T00:00:00"/>
    <d v="2025-02-12T00:00:00"/>
    <s v="F"/>
    <x v="0"/>
    <n v="3"/>
    <s v="California"/>
    <s v="Humboldt County"/>
    <n v="1"/>
    <n v="7"/>
    <x v="2"/>
  </r>
  <r>
    <s v="TX501060"/>
    <s v="Crop Tops"/>
    <n v="19"/>
    <n v="53.6"/>
    <n v="1018.4"/>
    <d v="2025-02-11T00:00:00"/>
    <d v="2025-02-12T00:00:00"/>
    <s v="M"/>
    <x v="0"/>
    <n v="4"/>
    <s v="California"/>
    <s v="Kern County"/>
    <n v="1"/>
    <n v="7"/>
    <x v="1"/>
  </r>
  <r>
    <s v="TX501061"/>
    <s v="Leggings"/>
    <n v="2"/>
    <n v="30.2"/>
    <n v="60.4"/>
    <d v="2025-02-11T00:00:00"/>
    <d v="2025-02-13T00:00:00"/>
    <s v=""/>
    <x v="2"/>
    <n v="5"/>
    <s v="California"/>
    <s v="Los Angeles County"/>
    <n v="2"/>
    <n v="7"/>
    <x v="0"/>
  </r>
  <r>
    <s v="TX501062"/>
    <s v="Crop Tops"/>
    <n v="6"/>
    <n v="83.4"/>
    <n v="500.40000000000003"/>
    <d v="2025-02-11T00:00:00"/>
    <d v="2025-02-12T00:00:00"/>
    <s v="M"/>
    <x v="1"/>
    <n v="5"/>
    <s v="California"/>
    <s v="Los Angeles County"/>
    <n v="1"/>
    <n v="7"/>
    <x v="1"/>
  </r>
  <r>
    <s v="TX501063"/>
    <s v="Tote Bags"/>
    <n v="12"/>
    <n v="16.600000000000001"/>
    <n v="199.20000000000002"/>
    <d v="2025-02-11T00:00:00"/>
    <d v="2025-02-13T00:00:00"/>
    <s v="M"/>
    <x v="1"/>
    <n v="4"/>
    <s v="California"/>
    <s v="Los Angeles County"/>
    <n v="2"/>
    <n v="7"/>
    <x v="1"/>
  </r>
  <r>
    <s v="TX501064"/>
    <s v="T-Shirts"/>
    <n v="17"/>
    <n v="21.9"/>
    <n v="372.29999999999995"/>
    <d v="2025-02-11T00:00:00"/>
    <d v="2025-02-13T00:00:00"/>
    <s v="F"/>
    <x v="4"/>
    <n v="3"/>
    <s v="California"/>
    <s v="Los Angeles County"/>
    <n v="2"/>
    <n v="7"/>
    <x v="2"/>
  </r>
  <r>
    <s v="TX501065"/>
    <s v="T-Shirts"/>
    <n v="28"/>
    <n v="33.799999999999997"/>
    <n v="946.39999999999986"/>
    <d v="2025-02-11T00:00:00"/>
    <d v="2025-02-13T00:00:00"/>
    <s v="M"/>
    <x v="2"/>
    <n v="2"/>
    <s v="California"/>
    <s v="Los Angeles County"/>
    <n v="2"/>
    <n v="7"/>
    <x v="1"/>
  </r>
  <r>
    <s v="TX501066"/>
    <s v="Leggings"/>
    <n v="2"/>
    <n v="53.2"/>
    <n v="106.4"/>
    <d v="2025-02-11T00:00:00"/>
    <d v="2025-02-11T00:00:00"/>
    <s v="M"/>
    <x v="1"/>
    <n v="4"/>
    <s v="California"/>
    <s v="Los Angeles County"/>
    <n v="0"/>
    <n v="7"/>
    <x v="1"/>
  </r>
  <r>
    <s v="TX501067"/>
    <s v="Sneakers"/>
    <n v="2"/>
    <n v="176.7"/>
    <n v="353.4"/>
    <d v="2025-02-11T00:00:00"/>
    <d v="2025-02-14T00:00:00"/>
    <s v="F"/>
    <x v="2"/>
    <n v="4"/>
    <s v="California"/>
    <s v="Los Angeles County"/>
    <n v="3"/>
    <n v="7"/>
    <x v="2"/>
  </r>
  <r>
    <s v="TX501068"/>
    <s v="Casual Dresses"/>
    <n v="3"/>
    <n v="54"/>
    <n v="162"/>
    <d v="2025-02-11T00:00:00"/>
    <d v="2025-02-14T00:00:00"/>
    <s v="M"/>
    <x v="0"/>
    <n v="3"/>
    <s v="California"/>
    <s v="Los Angeles County"/>
    <n v="3"/>
    <n v="7"/>
    <x v="1"/>
  </r>
  <r>
    <s v="TX501069"/>
    <s v="Sundresses"/>
    <n v="2"/>
    <n v="70.099999999999994"/>
    <n v="140.19999999999999"/>
    <d v="2025-02-11T00:00:00"/>
    <d v="2025-02-19T00:00:00"/>
    <s v="F"/>
    <x v="3"/>
    <n v="5"/>
    <s v="California"/>
    <s v="Los Angeles County"/>
    <n v="8"/>
    <n v="7"/>
    <x v="2"/>
  </r>
  <r>
    <s v="TX501070"/>
    <s v="T-Shirts"/>
    <n v="1"/>
    <n v="26.5"/>
    <n v="26.5"/>
    <d v="2025-02-11T00:00:00"/>
    <d v="2025-02-13T00:00:00"/>
    <s v="F"/>
    <x v="1"/>
    <n v="4"/>
    <s v="California"/>
    <s v="Los Angeles County"/>
    <n v="2"/>
    <n v="7"/>
    <x v="2"/>
  </r>
  <r>
    <s v="TX501071"/>
    <s v="Hoodies &amp; Sweatshirts"/>
    <n v="5"/>
    <n v="89"/>
    <n v="445"/>
    <d v="2025-02-11T00:00:00"/>
    <d v="2025-02-13T00:00:00"/>
    <s v="M"/>
    <x v="2"/>
    <n v="2"/>
    <s v="California"/>
    <s v="Los Angeles County"/>
    <n v="2"/>
    <n v="7"/>
    <x v="1"/>
  </r>
  <r>
    <s v="TX501072"/>
    <s v="Tank Tops"/>
    <n v="6"/>
    <n v="47"/>
    <n v="282"/>
    <d v="2025-02-11T00:00:00"/>
    <d v="2025-02-14T00:00:00"/>
    <s v="F"/>
    <x v="3"/>
    <n v="4"/>
    <s v="California"/>
    <s v="Merced County"/>
    <n v="3"/>
    <n v="7"/>
    <x v="2"/>
  </r>
  <r>
    <s v="TX501073"/>
    <s v="Workout Tops"/>
    <n v="2"/>
    <n v="55.2"/>
    <n v="110.4"/>
    <d v="2025-02-11T00:00:00"/>
    <d v="2025-02-14T00:00:00"/>
    <s v="M"/>
    <x v="1"/>
    <n v="3"/>
    <s v="California"/>
    <s v="Sacramento County"/>
    <n v="3"/>
    <n v="7"/>
    <x v="1"/>
  </r>
  <r>
    <s v="TX501074"/>
    <s v="T-Shirts"/>
    <n v="42"/>
    <n v="33.299999999999997"/>
    <n v="1398.6"/>
    <d v="2025-02-11T00:00:00"/>
    <d v="2025-02-25T00:00:00"/>
    <s v="M"/>
    <x v="1"/>
    <n v="5"/>
    <s v="California"/>
    <s v="Sacramento County"/>
    <n v="14"/>
    <n v="7"/>
    <x v="1"/>
  </r>
  <r>
    <s v="TX501075"/>
    <s v="Sneakers"/>
    <n v="4"/>
    <n v="110.9"/>
    <n v="443.6"/>
    <d v="2025-02-12T00:00:00"/>
    <d v="2025-02-12T00:00:00"/>
    <s v="M"/>
    <x v="2"/>
    <n v="2"/>
    <s v="California"/>
    <s v="Sacramento County"/>
    <n v="0"/>
    <n v="7"/>
    <x v="1"/>
  </r>
  <r>
    <s v="TX501076"/>
    <s v="Sneakers"/>
    <n v="6"/>
    <n v="67.3"/>
    <n v="403.79999999999995"/>
    <d v="2025-02-12T00:00:00"/>
    <d v="2025-02-13T00:00:00"/>
    <s v="M"/>
    <x v="0"/>
    <n v="4"/>
    <s v="California"/>
    <s v="San Diego County"/>
    <n v="1"/>
    <n v="7"/>
    <x v="1"/>
  </r>
  <r>
    <s v="TX501077"/>
    <s v="Jeans"/>
    <n v="3"/>
    <n v="69.7"/>
    <n v="209.10000000000002"/>
    <d v="2025-02-12T00:00:00"/>
    <d v="2025-02-13T00:00:00"/>
    <s v="M"/>
    <x v="2"/>
    <n v="3"/>
    <s v="California"/>
    <s v="San Diego County"/>
    <n v="1"/>
    <n v="7"/>
    <x v="1"/>
  </r>
  <r>
    <s v="TX501078"/>
    <s v="Sandals"/>
    <n v="1"/>
    <n v="39.1"/>
    <n v="39.1"/>
    <d v="2025-02-12T00:00:00"/>
    <d v="2025-02-17T00:00:00"/>
    <s v="M"/>
    <x v="0"/>
    <n v="3"/>
    <s v="California"/>
    <s v="San Francisco"/>
    <n v="5"/>
    <n v="7"/>
    <x v="1"/>
  </r>
  <r>
    <s v="TX501079"/>
    <s v="Sneakers"/>
    <n v="3"/>
    <n v="208.6"/>
    <n v="625.79999999999995"/>
    <d v="2025-02-12T00:00:00"/>
    <d v="2025-02-12T00:00:00"/>
    <s v="M"/>
    <x v="4"/>
    <n v="5"/>
    <s v="California"/>
    <s v="San Francisco"/>
    <n v="0"/>
    <n v="7"/>
    <x v="1"/>
  </r>
  <r>
    <s v="TX501080"/>
    <s v="Crop Tops"/>
    <n v="3"/>
    <n v="27.8"/>
    <n v="83.4"/>
    <d v="2025-02-12T00:00:00"/>
    <d v="2025-02-13T00:00:00"/>
    <s v="M"/>
    <x v="3"/>
    <n v="3"/>
    <s v="California"/>
    <s v="Santa Clara County"/>
    <n v="1"/>
    <n v="7"/>
    <x v="1"/>
  </r>
  <r>
    <s v="TX501081"/>
    <s v="Bikinis"/>
    <n v="5"/>
    <n v="29.4"/>
    <n v="147"/>
    <d v="2025-02-12T00:00:00"/>
    <d v="2025-02-14T00:00:00"/>
    <s v="F"/>
    <x v="0"/>
    <n v="4"/>
    <s v="California"/>
    <s v="Santa Clara County"/>
    <n v="2"/>
    <n v="7"/>
    <x v="2"/>
  </r>
  <r>
    <s v="TX501082"/>
    <s v="Sundresses"/>
    <n v="2"/>
    <n v="29.2"/>
    <n v="58.4"/>
    <d v="2025-02-12T00:00:00"/>
    <d v="2025-02-14T00:00:00"/>
    <s v="F"/>
    <x v="1"/>
    <n v="5"/>
    <s v="California"/>
    <s v="Tulare County"/>
    <n v="2"/>
    <n v="7"/>
    <x v="2"/>
  </r>
  <r>
    <s v="TX501083"/>
    <s v="Bikinis"/>
    <n v="5"/>
    <n v="26.5"/>
    <n v="132.5"/>
    <d v="2025-02-12T00:00:00"/>
    <d v="2025-02-14T00:00:00"/>
    <s v="F"/>
    <x v="0"/>
    <n v="4"/>
    <s v="California"/>
    <s v="Tuolumne County"/>
    <n v="2"/>
    <n v="7"/>
    <x v="2"/>
  </r>
  <r>
    <s v="TX501084"/>
    <s v="Sandals"/>
    <n v="1"/>
    <n v="30.3"/>
    <n v="30.3"/>
    <d v="2025-02-12T00:00:00"/>
    <d v="2025-02-13T00:00:00"/>
    <s v="F"/>
    <x v="4"/>
    <n v="3"/>
    <s v="California"/>
    <s v="Ventura County"/>
    <n v="1"/>
    <n v="7"/>
    <x v="2"/>
  </r>
  <r>
    <s v="TX501085"/>
    <s v="Sunglasses"/>
    <n v="12"/>
    <n v="39.700000000000003"/>
    <n v="476.40000000000003"/>
    <d v="2025-02-12T00:00:00"/>
    <d v="2025-02-13T00:00:00"/>
    <s v="F"/>
    <x v="0"/>
    <n v="4"/>
    <s v="California"/>
    <s v="Alameda County"/>
    <n v="1"/>
    <n v="7"/>
    <x v="2"/>
  </r>
  <r>
    <s v="TX501086"/>
    <s v="Hoodies &amp; Sweatshirts"/>
    <n v="10"/>
    <n v="58.9"/>
    <n v="589"/>
    <d v="2025-02-12T00:00:00"/>
    <d v="2025-02-14T00:00:00"/>
    <s v="F"/>
    <x v="1"/>
    <n v="2"/>
    <s v="California"/>
    <s v="Alameda County"/>
    <n v="2"/>
    <n v="7"/>
    <x v="2"/>
  </r>
  <r>
    <s v="TX501087"/>
    <s v="Sneakers"/>
    <n v="2"/>
    <n v="174.1"/>
    <n v="348.2"/>
    <d v="2025-02-12T00:00:00"/>
    <d v="2025-02-14T00:00:00"/>
    <s v="F"/>
    <x v="0"/>
    <n v="3"/>
    <s v="California"/>
    <s v="Amador County"/>
    <n v="2"/>
    <n v="7"/>
    <x v="2"/>
  </r>
  <r>
    <s v="TX501088"/>
    <s v="Jeans"/>
    <n v="2"/>
    <n v="70.8"/>
    <n v="141.6"/>
    <d v="2025-02-12T00:00:00"/>
    <d v="2025-02-15T00:00:00"/>
    <s v="M"/>
    <x v="2"/>
    <n v="4"/>
    <s v="California"/>
    <s v="Kern County"/>
    <n v="3"/>
    <n v="7"/>
    <x v="1"/>
  </r>
  <r>
    <s v="TX501089"/>
    <s v="Hoodies &amp; Sweatshirts"/>
    <n v="2"/>
    <n v="57.4"/>
    <n v="114.8"/>
    <d v="2025-02-12T00:00:00"/>
    <d v="2025-02-14T00:00:00"/>
    <s v="F"/>
    <x v="1"/>
    <n v="3"/>
    <s v="California"/>
    <s v="Kings County"/>
    <n v="2"/>
    <n v="7"/>
    <x v="2"/>
  </r>
  <r>
    <s v="TX501090"/>
    <s v="Shorts"/>
    <n v="2"/>
    <n v="28.5"/>
    <n v="57"/>
    <d v="2025-02-12T00:00:00"/>
    <d v="2025-02-14T00:00:00"/>
    <s v="M"/>
    <x v="3"/>
    <n v="3"/>
    <s v="California"/>
    <s v="Los Angeles County"/>
    <n v="2"/>
    <n v="7"/>
    <x v="1"/>
  </r>
  <r>
    <s v="TX501091"/>
    <s v="Sneakers"/>
    <n v="20"/>
    <n v="106.6"/>
    <n v="2132"/>
    <d v="2025-02-12T00:00:00"/>
    <d v="2025-02-13T00:00:00"/>
    <s v=""/>
    <x v="1"/>
    <n v="2"/>
    <s v="California"/>
    <s v="Los Angeles County"/>
    <n v="1"/>
    <n v="7"/>
    <x v="0"/>
  </r>
  <r>
    <s v="TX501092"/>
    <s v="Sneakers"/>
    <n v="3"/>
    <n v="119.7"/>
    <n v="359.1"/>
    <d v="2025-02-12T00:00:00"/>
    <d v="2025-02-13T00:00:00"/>
    <s v="F"/>
    <x v="1"/>
    <n v="2"/>
    <s v="California"/>
    <s v="Los Angeles County"/>
    <n v="1"/>
    <n v="7"/>
    <x v="2"/>
  </r>
  <r>
    <s v="TX501093"/>
    <s v="Leggings"/>
    <n v="1"/>
    <n v="73.3"/>
    <n v="73.3"/>
    <d v="2025-02-12T00:00:00"/>
    <d v="2025-02-17T00:00:00"/>
    <s v="F"/>
    <x v="0"/>
    <n v="5"/>
    <s v="California"/>
    <s v="Los Angeles County"/>
    <n v="5"/>
    <n v="7"/>
    <x v="2"/>
  </r>
  <r>
    <s v="TX501094"/>
    <s v="Shorts"/>
    <n v="2"/>
    <n v="25.8"/>
    <n v="51.6"/>
    <d v="2025-02-12T00:00:00"/>
    <d v="2025-02-26T00:00:00"/>
    <s v="M"/>
    <x v="2"/>
    <n v="4"/>
    <s v="California"/>
    <s v="Los Angeles County"/>
    <n v="14"/>
    <n v="7"/>
    <x v="1"/>
  </r>
  <r>
    <s v="TX501095"/>
    <s v="Pajama Sets"/>
    <n v="3"/>
    <n v="49.1"/>
    <n v="147.30000000000001"/>
    <d v="2025-02-12T00:00:00"/>
    <d v="2025-02-14T00:00:00"/>
    <s v="F"/>
    <x v="0"/>
    <n v="4"/>
    <s v="California"/>
    <s v="Merced County"/>
    <n v="2"/>
    <n v="7"/>
    <x v="2"/>
  </r>
  <r>
    <s v="TX501096"/>
    <s v="Tank Tops"/>
    <n v="1"/>
    <n v="44.9"/>
    <n v="44.9"/>
    <d v="2025-02-12T00:00:00"/>
    <d v="2025-02-15T00:00:00"/>
    <s v="F"/>
    <x v="3"/>
    <n v="5"/>
    <s v="California"/>
    <s v="Sacramento County"/>
    <n v="3"/>
    <n v="7"/>
    <x v="2"/>
  </r>
  <r>
    <s v="TX501097"/>
    <s v="Crop Tops"/>
    <n v="7"/>
    <n v="29.9"/>
    <n v="209.29999999999998"/>
    <d v="2025-02-12T00:00:00"/>
    <d v="2025-02-13T00:00:00"/>
    <s v="F"/>
    <x v="0"/>
    <n v="4"/>
    <s v="California"/>
    <s v="Sacramento County"/>
    <n v="1"/>
    <n v="7"/>
    <x v="2"/>
  </r>
  <r>
    <s v="TX501098"/>
    <s v="Hoodies &amp; Sweatshirts"/>
    <n v="2"/>
    <n v="54.3"/>
    <n v="108.6"/>
    <d v="2025-02-13T00:00:00"/>
    <d v="2025-02-14T00:00:00"/>
    <s v="M"/>
    <x v="3"/>
    <n v="4"/>
    <s v="California"/>
    <s v="San Benito County"/>
    <n v="1"/>
    <n v="7"/>
    <x v="1"/>
  </r>
  <r>
    <s v="TX501099"/>
    <s v="Sundresses"/>
    <n v="4"/>
    <n v="57"/>
    <n v="228"/>
    <d v="2025-02-13T00:00:00"/>
    <d v="2025-02-15T00:00:00"/>
    <s v="F"/>
    <x v="0"/>
    <n v="4"/>
    <s v="California"/>
    <s v="San Diego County"/>
    <n v="2"/>
    <n v="7"/>
    <x v="2"/>
  </r>
  <r>
    <s v="TX501100"/>
    <s v="Sneakers"/>
    <n v="1"/>
    <n v="139.19999999999999"/>
    <n v="139.19999999999999"/>
    <d v="2025-02-13T00:00:00"/>
    <d v="2025-02-14T00:00:00"/>
    <s v="F"/>
    <x v="3"/>
    <n v="5"/>
    <s v="California"/>
    <s v="San Diego County"/>
    <n v="1"/>
    <n v="7"/>
    <x v="2"/>
  </r>
  <r>
    <s v="TX501101"/>
    <s v="Bikinis"/>
    <n v="1"/>
    <n v="33"/>
    <n v="33"/>
    <d v="2025-02-13T00:00:00"/>
    <d v="2025-02-16T00:00:00"/>
    <s v="F"/>
    <x v="0"/>
    <n v="5"/>
    <s v="California"/>
    <s v="San Diego County"/>
    <n v="3"/>
    <n v="7"/>
    <x v="2"/>
  </r>
  <r>
    <s v="TX501102"/>
    <s v="Maxi Dresses"/>
    <n v="6"/>
    <n v="80.2"/>
    <n v="481.20000000000005"/>
    <d v="2025-02-13T00:00:00"/>
    <d v="2025-02-15T00:00:00"/>
    <s v="M"/>
    <x v="1"/>
    <n v="2"/>
    <s v="California"/>
    <s v="San Diego County"/>
    <n v="2"/>
    <n v="7"/>
    <x v="1"/>
  </r>
  <r>
    <s v="TX501103"/>
    <s v="Leggings"/>
    <n v="8"/>
    <n v="49"/>
    <n v="392"/>
    <d v="2025-02-13T00:00:00"/>
    <d v="2025-02-14T00:00:00"/>
    <s v=""/>
    <x v="2"/>
    <n v="3"/>
    <s v="California"/>
    <s v="San Mateo County"/>
    <n v="1"/>
    <n v="7"/>
    <x v="0"/>
  </r>
  <r>
    <s v="TX501104"/>
    <s v="Tank Tops"/>
    <n v="4"/>
    <n v="104.4"/>
    <n v="417.6"/>
    <d v="2025-02-13T00:00:00"/>
    <d v="2025-02-13T00:00:00"/>
    <s v="F"/>
    <x v="0"/>
    <n v="4"/>
    <s v="California"/>
    <s v="San Mateo County"/>
    <n v="0"/>
    <n v="7"/>
    <x v="2"/>
  </r>
  <r>
    <s v="TX501105"/>
    <s v="Workout Tops"/>
    <n v="1"/>
    <n v="41.6"/>
    <n v="41.6"/>
    <d v="2025-02-13T00:00:00"/>
    <d v="2025-02-16T00:00:00"/>
    <s v="M"/>
    <x v="3"/>
    <n v="4"/>
    <s v="California"/>
    <s v="Santa Clara County"/>
    <n v="3"/>
    <n v="7"/>
    <x v="1"/>
  </r>
  <r>
    <s v="TX501106"/>
    <s v="Jewelry"/>
    <n v="2"/>
    <n v="16.399999999999999"/>
    <n v="32.799999999999997"/>
    <d v="2025-02-13T00:00:00"/>
    <d v="2025-02-14T00:00:00"/>
    <s v="O"/>
    <x v="0"/>
    <n v="5"/>
    <s v="California"/>
    <s v="Santa Clara County"/>
    <n v="1"/>
    <n v="7"/>
    <x v="3"/>
  </r>
  <r>
    <s v="TX501107"/>
    <s v="T-Shirts"/>
    <n v="2"/>
    <n v="22"/>
    <n v="44"/>
    <d v="2025-02-13T00:00:00"/>
    <d v="2025-02-14T00:00:00"/>
    <s v="M"/>
    <x v="2"/>
    <n v="5"/>
    <s v="California"/>
    <s v="Shasta County"/>
    <n v="1"/>
    <n v="7"/>
    <x v="1"/>
  </r>
  <r>
    <s v="TX501108"/>
    <s v="Crop Tops"/>
    <n v="2"/>
    <n v="33.6"/>
    <n v="67.2"/>
    <d v="2025-02-13T00:00:00"/>
    <d v="2025-02-18T00:00:00"/>
    <s v="F"/>
    <x v="0"/>
    <n v="4"/>
    <s v="California"/>
    <s v="Alameda County"/>
    <n v="5"/>
    <n v="7"/>
    <x v="2"/>
  </r>
  <r>
    <s v="TX501109"/>
    <s v="Maxi Dresses"/>
    <n v="6"/>
    <n v="43"/>
    <n v="258"/>
    <d v="2025-02-13T00:00:00"/>
    <d v="2025-02-14T00:00:00"/>
    <s v="F"/>
    <x v="2"/>
    <n v="4"/>
    <s v="California"/>
    <s v="Alameda County"/>
    <n v="1"/>
    <n v="7"/>
    <x v="2"/>
  </r>
  <r>
    <s v="TX501110"/>
    <s v="Jeans"/>
    <n v="5"/>
    <n v="108.8"/>
    <n v="544"/>
    <d v="2025-02-13T00:00:00"/>
    <d v="2025-02-16T00:00:00"/>
    <s v="F"/>
    <x v="4"/>
    <n v="5"/>
    <s v="California"/>
    <s v="Alameda County"/>
    <n v="3"/>
    <n v="7"/>
    <x v="2"/>
  </r>
  <r>
    <s v="TX501111"/>
    <s v="Shorts"/>
    <n v="9"/>
    <n v="29.3"/>
    <n v="263.7"/>
    <d v="2025-02-13T00:00:00"/>
    <d v="2025-02-15T00:00:00"/>
    <s v="M"/>
    <x v="4"/>
    <n v="5"/>
    <s v="California"/>
    <s v="Alameda County"/>
    <n v="2"/>
    <n v="7"/>
    <x v="1"/>
  </r>
  <r>
    <s v="TX501112"/>
    <s v="Sneakers"/>
    <n v="1"/>
    <n v="122.7"/>
    <n v="122.7"/>
    <d v="2025-02-13T00:00:00"/>
    <d v="2025-02-16T00:00:00"/>
    <s v="O"/>
    <x v="0"/>
    <n v="5"/>
    <s v="California"/>
    <s v="Contra Costa County"/>
    <n v="3"/>
    <n v="7"/>
    <x v="3"/>
  </r>
  <r>
    <s v="TX501113"/>
    <s v="Graphic Tees"/>
    <n v="7"/>
    <n v="22.9"/>
    <n v="160.29999999999998"/>
    <d v="2025-02-13T00:00:00"/>
    <d v="2025-02-14T00:00:00"/>
    <s v="F"/>
    <x v="0"/>
    <n v="4"/>
    <s v="California"/>
    <s v="El Dorado County"/>
    <n v="1"/>
    <n v="7"/>
    <x v="2"/>
  </r>
  <r>
    <s v="TX501114"/>
    <s v="T-Shirts"/>
    <n v="10"/>
    <n v="25.5"/>
    <n v="255"/>
    <d v="2025-02-13T00:00:00"/>
    <d v="2025-02-20T00:00:00"/>
    <s v="F"/>
    <x v="0"/>
    <n v="4"/>
    <s v="California"/>
    <s v="Imperial County"/>
    <n v="7"/>
    <n v="7"/>
    <x v="2"/>
  </r>
  <r>
    <s v="TX501115"/>
    <s v="Pajama Sets"/>
    <n v="3"/>
    <n v="23.4"/>
    <n v="70.199999999999989"/>
    <d v="2025-02-13T00:00:00"/>
    <d v="2025-02-17T00:00:00"/>
    <s v="F"/>
    <x v="0"/>
    <n v="5"/>
    <s v="California"/>
    <s v="Los Angeles County"/>
    <n v="4"/>
    <n v="7"/>
    <x v="2"/>
  </r>
  <r>
    <s v="TX501116"/>
    <s v="Sandals"/>
    <n v="8"/>
    <n v="27.4"/>
    <n v="219.2"/>
    <d v="2025-02-13T00:00:00"/>
    <d v="2025-02-16T00:00:00"/>
    <s v="F"/>
    <x v="2"/>
    <n v="4"/>
    <s v="California"/>
    <s v="Los Angeles County"/>
    <n v="3"/>
    <n v="7"/>
    <x v="2"/>
  </r>
  <r>
    <s v="TX501117"/>
    <s v="Sandals"/>
    <n v="5"/>
    <n v="68.400000000000006"/>
    <n v="342"/>
    <d v="2025-02-13T00:00:00"/>
    <d v="2025-02-14T00:00:00"/>
    <s v="F"/>
    <x v="0"/>
    <n v="4"/>
    <s v="California"/>
    <s v="Los Angeles County"/>
    <n v="1"/>
    <n v="7"/>
    <x v="2"/>
  </r>
  <r>
    <s v="TX501118"/>
    <s v="Jeans"/>
    <n v="1"/>
    <n v="51.9"/>
    <n v="51.9"/>
    <d v="2025-02-13T00:00:00"/>
    <d v="2025-02-13T00:00:00"/>
    <s v="F"/>
    <x v="0"/>
    <n v="4"/>
    <s v="California"/>
    <s v="Los Angeles County"/>
    <n v="0"/>
    <n v="7"/>
    <x v="2"/>
  </r>
  <r>
    <s v="TX501119"/>
    <s v="Shorts"/>
    <n v="5"/>
    <n v="26.4"/>
    <n v="132"/>
    <d v="2025-02-13T00:00:00"/>
    <d v="2025-02-16T00:00:00"/>
    <s v="F"/>
    <x v="0"/>
    <n v="5"/>
    <s v="California"/>
    <s v="Los Angeles County"/>
    <n v="3"/>
    <n v="7"/>
    <x v="2"/>
  </r>
  <r>
    <s v="TX501120"/>
    <s v="Casual Dresses"/>
    <n v="2"/>
    <n v="117"/>
    <n v="234"/>
    <d v="2025-02-13T00:00:00"/>
    <d v="2025-02-14T00:00:00"/>
    <s v="F"/>
    <x v="1"/>
    <n v="3"/>
    <s v="California"/>
    <s v="Los Angeles County"/>
    <n v="1"/>
    <n v="7"/>
    <x v="2"/>
  </r>
  <r>
    <s v="TX501121"/>
    <s v="Hoodies &amp; Sweatshirts"/>
    <n v="3"/>
    <n v="49.6"/>
    <n v="148.80000000000001"/>
    <d v="2025-02-14T00:00:00"/>
    <d v="2025-02-16T00:00:00"/>
    <s v="F"/>
    <x v="0"/>
    <n v="4"/>
    <s v="California"/>
    <s v="Los Angeles County"/>
    <n v="2"/>
    <n v="7"/>
    <x v="2"/>
  </r>
  <r>
    <s v="TX501122"/>
    <s v="Graphic Tees"/>
    <n v="3"/>
    <n v="38"/>
    <n v="114"/>
    <d v="2025-02-14T00:00:00"/>
    <d v="2025-02-17T00:00:00"/>
    <s v="M"/>
    <x v="2"/>
    <n v="2"/>
    <s v="California"/>
    <s v="Los Angeles County"/>
    <n v="3"/>
    <n v="7"/>
    <x v="1"/>
  </r>
  <r>
    <s v="TX501123"/>
    <s v="Shorts"/>
    <n v="3"/>
    <n v="20.6"/>
    <n v="61.800000000000004"/>
    <d v="2025-02-14T00:00:00"/>
    <d v="2025-02-16T00:00:00"/>
    <s v="F"/>
    <x v="4"/>
    <n v="5"/>
    <s v="California"/>
    <s v="Los Angeles County"/>
    <n v="2"/>
    <n v="7"/>
    <x v="2"/>
  </r>
  <r>
    <s v="TX501124"/>
    <s v="Shorts"/>
    <n v="2"/>
    <n v="16"/>
    <n v="32"/>
    <d v="2025-02-14T00:00:00"/>
    <d v="2025-02-15T00:00:00"/>
    <s v="M"/>
    <x v="1"/>
    <n v="3"/>
    <s v="California"/>
    <s v="Monterey County"/>
    <n v="1"/>
    <n v="7"/>
    <x v="1"/>
  </r>
  <r>
    <s v="TX501125"/>
    <s v="Crop Tops"/>
    <n v="4"/>
    <n v="49.3"/>
    <n v="197.2"/>
    <d v="2025-02-14T00:00:00"/>
    <d v="2025-02-15T00:00:00"/>
    <s v="F"/>
    <x v="2"/>
    <n v="4"/>
    <s v="California"/>
    <s v="Riverside County"/>
    <n v="1"/>
    <n v="7"/>
    <x v="2"/>
  </r>
  <r>
    <s v="TX501126"/>
    <s v="Sundresses"/>
    <n v="2"/>
    <n v="24.1"/>
    <n v="48.2"/>
    <d v="2025-02-14T00:00:00"/>
    <d v="2025-02-18T00:00:00"/>
    <s v="F"/>
    <x v="0"/>
    <n v="4"/>
    <s v="California"/>
    <s v="Sacramento County"/>
    <n v="4"/>
    <n v="7"/>
    <x v="2"/>
  </r>
  <r>
    <s v="TX501127"/>
    <s v="Crop Tops"/>
    <n v="8"/>
    <n v="32.700000000000003"/>
    <n v="261.60000000000002"/>
    <d v="2025-02-14T00:00:00"/>
    <d v="2025-02-15T00:00:00"/>
    <s v="F"/>
    <x v="1"/>
    <n v="4"/>
    <s v="California"/>
    <s v="Sacramento County"/>
    <n v="1"/>
    <n v="7"/>
    <x v="2"/>
  </r>
  <r>
    <s v="TX501128"/>
    <s v="Jeans"/>
    <n v="3"/>
    <n v="74.400000000000006"/>
    <n v="223.20000000000002"/>
    <d v="2025-02-14T00:00:00"/>
    <d v="2025-02-15T00:00:00"/>
    <s v="F"/>
    <x v="3"/>
    <n v="5"/>
    <s v="California"/>
    <s v="San Diego County"/>
    <n v="1"/>
    <n v="7"/>
    <x v="2"/>
  </r>
  <r>
    <s v="TX501129"/>
    <s v="Casual Dresses"/>
    <n v="1"/>
    <n v="45.6"/>
    <n v="45.6"/>
    <d v="2025-02-14T00:00:00"/>
    <d v="2025-02-18T00:00:00"/>
    <s v="F"/>
    <x v="4"/>
    <n v="4"/>
    <s v="California"/>
    <s v="San Diego County"/>
    <n v="4"/>
    <n v="7"/>
    <x v="2"/>
  </r>
  <r>
    <s v="TX501130"/>
    <s v="T-Shirts"/>
    <n v="8"/>
    <n v="19.600000000000001"/>
    <n v="156.80000000000001"/>
    <d v="2025-02-14T00:00:00"/>
    <d v="2025-02-27T00:00:00"/>
    <s v="F"/>
    <x v="0"/>
    <n v="4"/>
    <s v="California"/>
    <s v="San Diego County"/>
    <n v="13"/>
    <n v="7"/>
    <x v="2"/>
  </r>
  <r>
    <s v="TX501131"/>
    <s v="Sundresses"/>
    <n v="1"/>
    <n v="51.8"/>
    <n v="51.8"/>
    <d v="2025-02-14T00:00:00"/>
    <d v="2025-02-15T00:00:00"/>
    <s v="F"/>
    <x v="1"/>
    <n v="4"/>
    <s v="California"/>
    <s v="San Diego County"/>
    <n v="1"/>
    <n v="7"/>
    <x v="2"/>
  </r>
  <r>
    <s v="TX501132"/>
    <s v="Jeans"/>
    <n v="1"/>
    <n v="74.7"/>
    <n v="74.7"/>
    <d v="2025-02-14T00:00:00"/>
    <d v="2025-02-15T00:00:00"/>
    <s v="M"/>
    <x v="0"/>
    <n v="3"/>
    <s v="California"/>
    <s v="San Diego County"/>
    <n v="1"/>
    <n v="7"/>
    <x v="1"/>
  </r>
  <r>
    <s v="TX501133"/>
    <s v="Jewelry"/>
    <n v="3"/>
    <n v="22.4"/>
    <n v="67.199999999999989"/>
    <d v="2025-02-14T00:00:00"/>
    <d v="2025-02-15T00:00:00"/>
    <s v="F"/>
    <x v="1"/>
    <n v="5"/>
    <s v="California"/>
    <s v="San Mateo County"/>
    <n v="1"/>
    <n v="7"/>
    <x v="2"/>
  </r>
  <r>
    <s v="TX501134"/>
    <s v="Tank Tops"/>
    <n v="4"/>
    <n v="31.4"/>
    <n v="125.6"/>
    <d v="2025-02-14T00:00:00"/>
    <d v="2025-02-15T00:00:00"/>
    <s v="F"/>
    <x v="1"/>
    <n v="4"/>
    <s v="California"/>
    <s v="San Mateo County"/>
    <n v="1"/>
    <n v="7"/>
    <x v="2"/>
  </r>
  <r>
    <s v="TX501135"/>
    <s v="Jeans"/>
    <n v="1"/>
    <n v="94"/>
    <n v="94"/>
    <d v="2025-02-14T00:00:00"/>
    <d v="2025-02-14T00:00:00"/>
    <s v="F"/>
    <x v="1"/>
    <n v="5"/>
    <s v="California"/>
    <s v="Santa Barbara County"/>
    <n v="0"/>
    <n v="7"/>
    <x v="2"/>
  </r>
  <r>
    <s v="TX501136"/>
    <s v="Bikinis"/>
    <n v="1"/>
    <n v="22.3"/>
    <n v="22.3"/>
    <d v="2025-02-14T00:00:00"/>
    <d v="2025-02-15T00:00:00"/>
    <s v="M"/>
    <x v="4"/>
    <n v="4"/>
    <s v="California"/>
    <s v="Tulare County"/>
    <n v="1"/>
    <n v="7"/>
    <x v="1"/>
  </r>
  <r>
    <s v="TX501137"/>
    <s v="Shorts"/>
    <n v="1"/>
    <n v="21.9"/>
    <n v="21.9"/>
    <d v="2025-02-14T00:00:00"/>
    <d v="2025-02-17T00:00:00"/>
    <s v="F"/>
    <x v="2"/>
    <n v="4"/>
    <s v="California"/>
    <s v="Alameda County"/>
    <n v="3"/>
    <n v="7"/>
    <x v="2"/>
  </r>
  <r>
    <s v="TX501138"/>
    <s v="Pajama Sets"/>
    <n v="3"/>
    <n v="27"/>
    <n v="81"/>
    <d v="2025-02-14T00:00:00"/>
    <d v="2025-02-16T00:00:00"/>
    <s v="F"/>
    <x v="4"/>
    <n v="5"/>
    <s v="California"/>
    <s v="Fresno County"/>
    <n v="2"/>
    <n v="7"/>
    <x v="2"/>
  </r>
  <r>
    <s v="TX501139"/>
    <s v="Sneakers"/>
    <n v="4"/>
    <n v="149.6"/>
    <n v="598.4"/>
    <d v="2025-02-14T00:00:00"/>
    <d v="2025-02-14T00:00:00"/>
    <s v="F"/>
    <x v="4"/>
    <n v="4"/>
    <s v="California"/>
    <s v="Kern County"/>
    <n v="0"/>
    <n v="7"/>
    <x v="2"/>
  </r>
  <r>
    <s v="TX501140"/>
    <s v="Sneakers"/>
    <n v="4"/>
    <n v="129.1"/>
    <n v="516.4"/>
    <d v="2025-02-14T00:00:00"/>
    <d v="2025-02-24T00:00:00"/>
    <s v="M"/>
    <x v="0"/>
    <n v="3"/>
    <s v="California"/>
    <s v="Los Angeles County"/>
    <n v="10"/>
    <n v="7"/>
    <x v="1"/>
  </r>
  <r>
    <s v="TX501141"/>
    <s v="Tank Tops"/>
    <n v="12"/>
    <n v="40.4"/>
    <n v="484.79999999999995"/>
    <d v="2025-02-14T00:00:00"/>
    <d v="2025-02-15T00:00:00"/>
    <s v="M"/>
    <x v="1"/>
    <n v="3"/>
    <s v="California"/>
    <s v="Los Angeles County"/>
    <n v="1"/>
    <n v="7"/>
    <x v="1"/>
  </r>
  <r>
    <s v="TX501142"/>
    <s v="Graphic Tees"/>
    <n v="3"/>
    <n v="48.5"/>
    <n v="145.5"/>
    <d v="2025-02-14T00:00:00"/>
    <d v="2025-02-16T00:00:00"/>
    <s v="F"/>
    <x v="0"/>
    <n v="2"/>
    <s v="California"/>
    <s v="Los Angeles County"/>
    <n v="2"/>
    <n v="7"/>
    <x v="2"/>
  </r>
  <r>
    <s v="TX501143"/>
    <s v="Sundresses"/>
    <n v="2"/>
    <n v="37.6"/>
    <n v="75.2"/>
    <d v="2025-02-14T00:00:00"/>
    <d v="2025-02-16T00:00:00"/>
    <s v="F"/>
    <x v="1"/>
    <n v="5"/>
    <s v="California"/>
    <s v="Los Angeles County"/>
    <n v="2"/>
    <n v="7"/>
    <x v="2"/>
  </r>
  <r>
    <s v="TX501144"/>
    <s v="T-Shirts"/>
    <n v="2"/>
    <n v="19.600000000000001"/>
    <n v="39.200000000000003"/>
    <d v="2025-02-14T00:00:00"/>
    <d v="2025-02-15T00:00:00"/>
    <s v="M"/>
    <x v="3"/>
    <n v="2"/>
    <s v="California"/>
    <s v="Marin County"/>
    <n v="1"/>
    <n v="7"/>
    <x v="1"/>
  </r>
  <r>
    <s v="TX501145"/>
    <s v="T-Shirts"/>
    <n v="5"/>
    <n v="18.5"/>
    <n v="92.5"/>
    <d v="2025-02-14T00:00:00"/>
    <d v="2025-02-15T00:00:00"/>
    <s v="F"/>
    <x v="2"/>
    <n v="3"/>
    <s v="California"/>
    <s v="Sacramento County"/>
    <n v="1"/>
    <n v="7"/>
    <x v="2"/>
  </r>
  <r>
    <s v="TX501146"/>
    <s v="Sandals"/>
    <n v="3"/>
    <n v="25.5"/>
    <n v="76.5"/>
    <d v="2025-02-14T00:00:00"/>
    <d v="2025-02-16T00:00:00"/>
    <s v="F"/>
    <x v="4"/>
    <n v="3"/>
    <s v="California"/>
    <s v="Sacramento County"/>
    <n v="2"/>
    <n v="7"/>
    <x v="2"/>
  </r>
  <r>
    <s v="TX501147"/>
    <s v="Sneakers"/>
    <n v="2"/>
    <n v="94.7"/>
    <n v="189.4"/>
    <d v="2025-02-14T00:00:00"/>
    <d v="2025-02-15T00:00:00"/>
    <s v="F"/>
    <x v="2"/>
    <n v="4"/>
    <s v="California"/>
    <s v="San Benito County"/>
    <n v="1"/>
    <n v="7"/>
    <x v="2"/>
  </r>
  <r>
    <s v="TX501148"/>
    <s v="Tank Tops"/>
    <n v="6"/>
    <n v="38.799999999999997"/>
    <n v="232.79999999999998"/>
    <d v="2025-02-14T00:00:00"/>
    <d v="2025-02-19T00:00:00"/>
    <s v="F"/>
    <x v="2"/>
    <n v="5"/>
    <s v="California"/>
    <s v="San Diego County"/>
    <n v="5"/>
    <n v="7"/>
    <x v="2"/>
  </r>
  <r>
    <s v="TX501149"/>
    <s v="Sundresses"/>
    <n v="2"/>
    <n v="49.4"/>
    <n v="98.8"/>
    <d v="2025-02-15T00:00:00"/>
    <d v="2025-02-23T00:00:00"/>
    <s v="M"/>
    <x v="4"/>
    <n v="3"/>
    <s v="California"/>
    <s v="San Diego County"/>
    <n v="8"/>
    <n v="7"/>
    <x v="1"/>
  </r>
  <r>
    <s v="TX501150"/>
    <s v="Hoodies &amp; Sweatshirts"/>
    <n v="3"/>
    <n v="68"/>
    <n v="204"/>
    <d v="2025-02-15T00:00:00"/>
    <d v="2025-02-18T00:00:00"/>
    <s v="M"/>
    <x v="0"/>
    <n v="5"/>
    <s v="California"/>
    <s v="San Diego County"/>
    <n v="3"/>
    <n v="7"/>
    <x v="1"/>
  </r>
  <r>
    <s v="TX501151"/>
    <s v="Crop Tops"/>
    <n v="7"/>
    <n v="63.7"/>
    <n v="445.90000000000003"/>
    <d v="2025-02-15T00:00:00"/>
    <d v="2025-02-16T00:00:00"/>
    <s v="F"/>
    <x v="2"/>
    <n v="5"/>
    <s v="California"/>
    <s v="San Diego County"/>
    <n v="1"/>
    <n v="7"/>
    <x v="2"/>
  </r>
  <r>
    <s v="TX501152"/>
    <s v="Bikinis"/>
    <n v="2"/>
    <n v="66.2"/>
    <n v="132.4"/>
    <d v="2025-02-15T00:00:00"/>
    <d v="2025-02-16T00:00:00"/>
    <s v="F"/>
    <x v="4"/>
    <n v="5"/>
    <s v="California"/>
    <s v="San Francisco"/>
    <n v="1"/>
    <n v="7"/>
    <x v="2"/>
  </r>
  <r>
    <s v="TX501153"/>
    <s v="Casual Dresses"/>
    <n v="3"/>
    <n v="32.299999999999997"/>
    <n v="96.899999999999991"/>
    <d v="2025-02-15T00:00:00"/>
    <d v="2025-02-16T00:00:00"/>
    <s v="O"/>
    <x v="2"/>
    <n v="3"/>
    <s v="California"/>
    <s v="San Mateo County"/>
    <n v="1"/>
    <n v="7"/>
    <x v="3"/>
  </r>
  <r>
    <s v="TX501154"/>
    <s v="Graphic Tees"/>
    <n v="2"/>
    <n v="66.900000000000006"/>
    <n v="133.80000000000001"/>
    <d v="2025-02-15T00:00:00"/>
    <d v="2025-02-18T00:00:00"/>
    <s v="M"/>
    <x v="1"/>
    <n v="4"/>
    <s v="California"/>
    <s v="Santa Clara County"/>
    <n v="3"/>
    <n v="7"/>
    <x v="1"/>
  </r>
  <r>
    <s v="TX501155"/>
    <s v="Graphic Tees"/>
    <n v="12"/>
    <n v="25.2"/>
    <n v="302.39999999999998"/>
    <d v="2025-02-15T00:00:00"/>
    <d v="2025-02-19T00:00:00"/>
    <s v="F"/>
    <x v="0"/>
    <n v="3"/>
    <s v="California"/>
    <s v="Santa Clara County"/>
    <n v="4"/>
    <n v="7"/>
    <x v="2"/>
  </r>
  <r>
    <s v="TX501156"/>
    <s v="Bikinis"/>
    <n v="6"/>
    <n v="29.5"/>
    <n v="177"/>
    <d v="2025-02-15T00:00:00"/>
    <d v="2025-02-16T00:00:00"/>
    <s v="M"/>
    <x v="2"/>
    <n v="4"/>
    <s v="California"/>
    <s v="Santa Clara County"/>
    <n v="1"/>
    <n v="7"/>
    <x v="1"/>
  </r>
  <r>
    <s v="TX501157"/>
    <s v="T-Shirts"/>
    <n v="5"/>
    <n v="21.6"/>
    <n v="108"/>
    <d v="2025-02-15T00:00:00"/>
    <d v="2025-02-17T00:00:00"/>
    <s v="F"/>
    <x v="0"/>
    <n v="5"/>
    <s v="California"/>
    <s v="Santa Cruz County"/>
    <n v="2"/>
    <n v="7"/>
    <x v="2"/>
  </r>
  <r>
    <s v="TX501158"/>
    <s v="Casual Dresses"/>
    <n v="3"/>
    <n v="69"/>
    <n v="207"/>
    <d v="2025-02-15T00:00:00"/>
    <d v="2025-02-16T00:00:00"/>
    <s v="F"/>
    <x v="0"/>
    <n v="4"/>
    <s v="California"/>
    <s v="Sonoma County"/>
    <n v="1"/>
    <n v="7"/>
    <x v="2"/>
  </r>
  <r>
    <s v="TX501159"/>
    <s v="Hoodies &amp; Sweatshirts"/>
    <n v="2"/>
    <n v="115"/>
    <n v="230"/>
    <d v="2025-02-15T00:00:00"/>
    <d v="2025-02-19T00:00:00"/>
    <s v="M"/>
    <x v="0"/>
    <n v="5"/>
    <s v="California"/>
    <s v="Sonoma County"/>
    <n v="4"/>
    <n v="7"/>
    <x v="1"/>
  </r>
  <r>
    <s v="TX501160"/>
    <s v="Sneakers"/>
    <n v="2"/>
    <n v="109.3"/>
    <n v="218.6"/>
    <d v="2025-02-15T00:00:00"/>
    <d v="2025-02-17T00:00:00"/>
    <s v=""/>
    <x v="3"/>
    <n v="3"/>
    <s v="California"/>
    <s v="Stanislaus County"/>
    <n v="2"/>
    <n v="7"/>
    <x v="0"/>
  </r>
  <r>
    <s v="TX501161"/>
    <s v="Sundresses"/>
    <n v="2"/>
    <n v="66.599999999999994"/>
    <n v="133.19999999999999"/>
    <d v="2025-02-15T00:00:00"/>
    <d v="2025-02-18T00:00:00"/>
    <s v=""/>
    <x v="4"/>
    <n v="3"/>
    <s v="California"/>
    <s v="Stanislaus County"/>
    <n v="3"/>
    <n v="7"/>
    <x v="0"/>
  </r>
  <r>
    <s v="TX501162"/>
    <s v="Casual Dresses"/>
    <n v="5"/>
    <n v="47.7"/>
    <n v="238.5"/>
    <d v="2025-02-15T00:00:00"/>
    <d v="2025-02-16T00:00:00"/>
    <s v="M"/>
    <x v="3"/>
    <n v="5"/>
    <s v="California"/>
    <s v="Alameda County"/>
    <n v="1"/>
    <n v="7"/>
    <x v="1"/>
  </r>
  <r>
    <s v="TX501163"/>
    <s v="T-Shirts"/>
    <n v="2"/>
    <n v="46"/>
    <n v="92"/>
    <d v="2025-02-15T00:00:00"/>
    <d v="2025-02-16T00:00:00"/>
    <s v="F"/>
    <x v="4"/>
    <n v="2"/>
    <s v="California"/>
    <s v="Kern County"/>
    <n v="1"/>
    <n v="7"/>
    <x v="2"/>
  </r>
  <r>
    <s v="TX501164"/>
    <s v="Tank Tops"/>
    <n v="6"/>
    <n v="39.299999999999997"/>
    <n v="235.79999999999998"/>
    <d v="2025-02-15T00:00:00"/>
    <d v="2025-02-17T00:00:00"/>
    <s v="M"/>
    <x v="3"/>
    <n v="5"/>
    <s v="California"/>
    <s v="Los Angeles County"/>
    <n v="2"/>
    <n v="7"/>
    <x v="1"/>
  </r>
  <r>
    <s v="TX501165"/>
    <s v="Sundresses"/>
    <n v="1"/>
    <n v="70.2"/>
    <n v="70.2"/>
    <d v="2025-02-15T00:00:00"/>
    <d v="2025-02-16T00:00:00"/>
    <s v="F"/>
    <x v="0"/>
    <n v="2"/>
    <s v="California"/>
    <s v="Los Angeles County"/>
    <n v="1"/>
    <n v="7"/>
    <x v="2"/>
  </r>
  <r>
    <s v="TX501166"/>
    <s v="Workout Tops"/>
    <n v="4"/>
    <n v="71.5"/>
    <n v="286"/>
    <d v="2025-02-15T00:00:00"/>
    <d v="2025-02-15T00:00:00"/>
    <s v="F"/>
    <x v="1"/>
    <n v="5"/>
    <s v="California"/>
    <s v="Los Angeles County"/>
    <n v="0"/>
    <n v="7"/>
    <x v="2"/>
  </r>
  <r>
    <s v="TX501167"/>
    <s v="Bikinis"/>
    <n v="7"/>
    <n v="31"/>
    <n v="217"/>
    <d v="2025-02-15T00:00:00"/>
    <d v="2025-02-22T00:00:00"/>
    <s v="F"/>
    <x v="3"/>
    <n v="5"/>
    <s v="California"/>
    <s v="Los Angeles County"/>
    <n v="7"/>
    <n v="7"/>
    <x v="2"/>
  </r>
  <r>
    <s v="TX501168"/>
    <s v="Sneakers"/>
    <n v="5"/>
    <n v="68.2"/>
    <n v="341"/>
    <d v="2025-02-15T00:00:00"/>
    <d v="2025-02-20T00:00:00"/>
    <s v="F"/>
    <x v="0"/>
    <n v="5"/>
    <s v="California"/>
    <s v="Los Angeles County"/>
    <n v="5"/>
    <n v="7"/>
    <x v="2"/>
  </r>
  <r>
    <s v="TX501169"/>
    <s v="Sneakers"/>
    <n v="1"/>
    <n v="91.4"/>
    <n v="91.4"/>
    <d v="2025-02-15T00:00:00"/>
    <d v="2025-02-19T00:00:00"/>
    <s v="F"/>
    <x v="1"/>
    <n v="5"/>
    <s v="California"/>
    <s v="Sacramento County"/>
    <n v="4"/>
    <n v="7"/>
    <x v="2"/>
  </r>
  <r>
    <s v="TX501170"/>
    <s v="Jeans"/>
    <n v="10"/>
    <n v="112.9"/>
    <n v="1129"/>
    <d v="2025-02-15T00:00:00"/>
    <d v="2025-02-16T00:00:00"/>
    <s v="F"/>
    <x v="0"/>
    <n v="4"/>
    <s v="California"/>
    <s v="Sacramento County"/>
    <n v="1"/>
    <n v="7"/>
    <x v="2"/>
  </r>
  <r>
    <s v="TX501171"/>
    <s v="Pajama Sets"/>
    <n v="9"/>
    <n v="33.700000000000003"/>
    <n v="303.3"/>
    <d v="2025-02-15T00:00:00"/>
    <d v="2025-02-16T00:00:00"/>
    <s v="F"/>
    <x v="1"/>
    <n v="5"/>
    <s v="California"/>
    <s v="San Diego County"/>
    <n v="1"/>
    <n v="7"/>
    <x v="2"/>
  </r>
  <r>
    <s v="TX501172"/>
    <s v="Crop Tops"/>
    <n v="10"/>
    <n v="35.299999999999997"/>
    <n v="353"/>
    <d v="2025-02-15T00:00:00"/>
    <d v="2025-02-17T00:00:00"/>
    <s v="M"/>
    <x v="2"/>
    <n v="4"/>
    <s v="California"/>
    <s v="San Diego County"/>
    <n v="2"/>
    <n v="7"/>
    <x v="1"/>
  </r>
  <r>
    <s v="TX501173"/>
    <s v="Leggings"/>
    <n v="3"/>
    <n v="45.6"/>
    <n v="136.80000000000001"/>
    <d v="2025-02-15T00:00:00"/>
    <d v="2025-02-19T00:00:00"/>
    <s v="M"/>
    <x v="3"/>
    <n v="4"/>
    <s v="California"/>
    <s v="San Diego County"/>
    <n v="4"/>
    <n v="7"/>
    <x v="1"/>
  </r>
  <r>
    <s v="TX501174"/>
    <s v="Hoodies &amp; Sweatshirts"/>
    <n v="7"/>
    <n v="47.1"/>
    <n v="329.7"/>
    <d v="2025-02-15T00:00:00"/>
    <d v="2025-02-16T00:00:00"/>
    <s v="F"/>
    <x v="4"/>
    <n v="5"/>
    <s v="California"/>
    <s v="San Mateo County"/>
    <n v="1"/>
    <n v="7"/>
    <x v="2"/>
  </r>
  <r>
    <s v="TX501175"/>
    <s v="T-Shirts"/>
    <n v="5"/>
    <n v="16.2"/>
    <n v="81"/>
    <d v="2025-02-15T00:00:00"/>
    <d v="2025-02-17T00:00:00"/>
    <s v="F"/>
    <x v="3"/>
    <n v="5"/>
    <s v="California"/>
    <s v="Stanislaus County"/>
    <n v="2"/>
    <n v="7"/>
    <x v="2"/>
  </r>
  <r>
    <s v="TX501176"/>
    <s v="Tank Tops"/>
    <n v="2"/>
    <n v="159.69999999999999"/>
    <n v="319.39999999999998"/>
    <d v="2025-02-16T00:00:00"/>
    <d v="2025-02-17T00:00:00"/>
    <s v="M"/>
    <x v="4"/>
    <n v="4"/>
    <s v="California"/>
    <s v="Ventura County"/>
    <n v="1"/>
    <n v="8"/>
    <x v="1"/>
  </r>
  <r>
    <s v="TX501177"/>
    <s v="T-Shirts"/>
    <n v="4"/>
    <n v="19"/>
    <n v="76"/>
    <d v="2025-02-16T00:00:00"/>
    <d v="2025-02-23T00:00:00"/>
    <s v="F"/>
    <x v="2"/>
    <n v="5"/>
    <s v="California"/>
    <s v="Alameda County"/>
    <n v="7"/>
    <n v="8"/>
    <x v="2"/>
  </r>
  <r>
    <s v="TX501178"/>
    <s v="Jeans"/>
    <n v="6"/>
    <n v="91.1"/>
    <n v="546.59999999999991"/>
    <d v="2025-02-16T00:00:00"/>
    <d v="2025-02-25T00:00:00"/>
    <s v="F"/>
    <x v="4"/>
    <n v="4"/>
    <s v="California"/>
    <s v="Alameda County"/>
    <n v="9"/>
    <n v="8"/>
    <x v="2"/>
  </r>
  <r>
    <s v="TX501179"/>
    <s v="Sneakers"/>
    <n v="5"/>
    <n v="94.1"/>
    <n v="470.5"/>
    <d v="2025-02-16T00:00:00"/>
    <d v="2025-02-19T00:00:00"/>
    <s v=""/>
    <x v="1"/>
    <n v="3"/>
    <s v="California"/>
    <s v="Alameda County"/>
    <n v="3"/>
    <n v="8"/>
    <x v="0"/>
  </r>
  <r>
    <s v="TX501180"/>
    <s v="Sundresses"/>
    <n v="9"/>
    <n v="21.1"/>
    <n v="189.9"/>
    <d v="2025-02-16T00:00:00"/>
    <d v="2025-02-17T00:00:00"/>
    <s v="F"/>
    <x v="4"/>
    <n v="5"/>
    <s v="California"/>
    <s v="Butte County"/>
    <n v="1"/>
    <n v="8"/>
    <x v="2"/>
  </r>
  <r>
    <s v="TX501181"/>
    <s v="T-Shirts"/>
    <n v="7"/>
    <n v="15.3"/>
    <n v="107.10000000000001"/>
    <d v="2025-02-16T00:00:00"/>
    <d v="2025-02-24T00:00:00"/>
    <s v="F"/>
    <x v="2"/>
    <n v="4"/>
    <s v="California"/>
    <s v="Contra Costa County"/>
    <n v="8"/>
    <n v="8"/>
    <x v="2"/>
  </r>
  <r>
    <s v="TX501182"/>
    <s v="Crop Tops"/>
    <n v="4"/>
    <n v="21.3"/>
    <n v="85.2"/>
    <d v="2025-02-16T00:00:00"/>
    <d v="2025-02-19T00:00:00"/>
    <s v="M"/>
    <x v="1"/>
    <n v="4"/>
    <s v="California"/>
    <s v="Los Angeles County"/>
    <n v="3"/>
    <n v="8"/>
    <x v="1"/>
  </r>
  <r>
    <s v="TX501183"/>
    <s v="Shorts"/>
    <n v="2"/>
    <n v="23.2"/>
    <n v="46.4"/>
    <d v="2025-02-16T00:00:00"/>
    <d v="2025-02-16T00:00:00"/>
    <s v=""/>
    <x v="3"/>
    <n v="3"/>
    <s v="California"/>
    <s v="Los Angeles County"/>
    <n v="0"/>
    <n v="8"/>
    <x v="0"/>
  </r>
  <r>
    <s v="TX501184"/>
    <s v="Graphic Tees"/>
    <n v="3"/>
    <n v="25.7"/>
    <n v="77.099999999999994"/>
    <d v="2025-02-16T00:00:00"/>
    <d v="2025-02-17T00:00:00"/>
    <s v="M"/>
    <x v="4"/>
    <n v="4"/>
    <s v="California"/>
    <s v="Los Angeles County"/>
    <n v="1"/>
    <n v="8"/>
    <x v="1"/>
  </r>
  <r>
    <s v="TX501185"/>
    <s v="Shorts"/>
    <n v="9"/>
    <n v="31.6"/>
    <n v="284.40000000000003"/>
    <d v="2025-02-16T00:00:00"/>
    <d v="2025-02-18T00:00:00"/>
    <s v="F"/>
    <x v="0"/>
    <n v="4"/>
    <s v="California"/>
    <s v="Los Angeles County"/>
    <n v="2"/>
    <n v="8"/>
    <x v="2"/>
  </r>
  <r>
    <s v="TX501186"/>
    <s v="Jeans"/>
    <n v="1"/>
    <n v="64.2"/>
    <n v="64.2"/>
    <d v="2025-02-16T00:00:00"/>
    <d v="2025-02-21T00:00:00"/>
    <s v="M"/>
    <x v="0"/>
    <n v="4"/>
    <s v="California"/>
    <s v="Los Angeles County"/>
    <n v="5"/>
    <n v="8"/>
    <x v="1"/>
  </r>
  <r>
    <s v="TX501187"/>
    <s v="T-Shirts"/>
    <n v="2"/>
    <n v="55.8"/>
    <n v="111.6"/>
    <d v="2025-02-16T00:00:00"/>
    <d v="2025-02-18T00:00:00"/>
    <s v=""/>
    <x v="0"/>
    <n v="4"/>
    <s v="California"/>
    <s v="Los Angeles County"/>
    <n v="2"/>
    <n v="8"/>
    <x v="0"/>
  </r>
  <r>
    <s v="TX501188"/>
    <s v="T-Shirts"/>
    <n v="2"/>
    <n v="28.1"/>
    <n v="56.2"/>
    <d v="2025-02-16T00:00:00"/>
    <d v="2025-02-17T00:00:00"/>
    <s v="F"/>
    <x v="4"/>
    <n v="3"/>
    <s v="California"/>
    <s v="Los Angeles County"/>
    <n v="1"/>
    <n v="8"/>
    <x v="2"/>
  </r>
  <r>
    <s v="TX501189"/>
    <s v="Shorts"/>
    <n v="2"/>
    <n v="11.6"/>
    <n v="23.2"/>
    <d v="2025-02-16T00:00:00"/>
    <d v="2025-02-18T00:00:00"/>
    <s v="F"/>
    <x v="1"/>
    <n v="4"/>
    <s v="California"/>
    <s v="Merced County"/>
    <n v="2"/>
    <n v="8"/>
    <x v="2"/>
  </r>
  <r>
    <s v="TX501190"/>
    <s v="Sandals"/>
    <n v="3"/>
    <n v="50.4"/>
    <n v="151.19999999999999"/>
    <d v="2025-02-16T00:00:00"/>
    <d v="2025-02-17T00:00:00"/>
    <s v="M"/>
    <x v="4"/>
    <n v="5"/>
    <s v="California"/>
    <s v="Orange County"/>
    <n v="1"/>
    <n v="8"/>
    <x v="1"/>
  </r>
  <r>
    <s v="TX501191"/>
    <s v="Jeans"/>
    <n v="6"/>
    <n v="48.3"/>
    <n v="289.79999999999995"/>
    <d v="2025-02-16T00:00:00"/>
    <d v="2025-02-20T00:00:00"/>
    <s v="F"/>
    <x v="0"/>
    <n v="4"/>
    <s v="California"/>
    <s v="Orange County"/>
    <n v="4"/>
    <n v="8"/>
    <x v="2"/>
  </r>
  <r>
    <s v="TX501192"/>
    <s v="Pajama Sets"/>
    <n v="7"/>
    <n v="32.200000000000003"/>
    <n v="225.40000000000003"/>
    <d v="2025-02-16T00:00:00"/>
    <d v="2025-02-18T00:00:00"/>
    <s v="F"/>
    <x v="2"/>
    <n v="4"/>
    <s v="California"/>
    <s v="Orange County"/>
    <n v="2"/>
    <n v="8"/>
    <x v="2"/>
  </r>
  <r>
    <s v="TX501193"/>
    <s v="Hoodies &amp; Sweatshirts"/>
    <n v="28"/>
    <n v="48.5"/>
    <n v="1358"/>
    <d v="2025-02-16T00:00:00"/>
    <d v="2025-02-17T00:00:00"/>
    <s v="M"/>
    <x v="0"/>
    <n v="4"/>
    <s v="California"/>
    <s v="Placer County"/>
    <n v="1"/>
    <n v="8"/>
    <x v="1"/>
  </r>
  <r>
    <s v="TX501194"/>
    <s v="Sneakers"/>
    <n v="5"/>
    <n v="62"/>
    <n v="310"/>
    <d v="2025-02-16T00:00:00"/>
    <d v="2025-02-19T00:00:00"/>
    <s v="F"/>
    <x v="1"/>
    <n v="4"/>
    <s v="California"/>
    <s v="Sacramento County"/>
    <n v="3"/>
    <n v="8"/>
    <x v="2"/>
  </r>
  <r>
    <s v="TX501195"/>
    <s v="T-Shirts"/>
    <n v="3"/>
    <n v="32.1"/>
    <n v="96.300000000000011"/>
    <d v="2025-02-17T00:00:00"/>
    <d v="2025-02-19T00:00:00"/>
    <s v="M"/>
    <x v="0"/>
    <n v="4"/>
    <s v="California"/>
    <s v="Sacramento County"/>
    <n v="2"/>
    <n v="8"/>
    <x v="1"/>
  </r>
  <r>
    <s v="TX501196"/>
    <s v="Casual Dresses"/>
    <n v="3"/>
    <n v="106.1"/>
    <n v="318.29999999999995"/>
    <d v="2025-02-17T00:00:00"/>
    <d v="2025-02-19T00:00:00"/>
    <s v="M"/>
    <x v="0"/>
    <n v="3"/>
    <s v="California"/>
    <s v="San Bernardino County"/>
    <n v="2"/>
    <n v="8"/>
    <x v="1"/>
  </r>
  <r>
    <s v="TX501197"/>
    <s v="Bikinis"/>
    <n v="3"/>
    <n v="23.5"/>
    <n v="70.5"/>
    <d v="2025-02-17T00:00:00"/>
    <d v="2025-02-20T00:00:00"/>
    <s v="M"/>
    <x v="0"/>
    <n v="2"/>
    <s v="California"/>
    <s v="San Bernardino County"/>
    <n v="3"/>
    <n v="8"/>
    <x v="1"/>
  </r>
  <r>
    <s v="TX501198"/>
    <s v="Tank Tops"/>
    <n v="2"/>
    <n v="35.6"/>
    <n v="71.2"/>
    <d v="2025-02-17T00:00:00"/>
    <d v="2025-02-22T00:00:00"/>
    <s v="M"/>
    <x v="4"/>
    <n v="4"/>
    <s v="California"/>
    <s v="San Diego County"/>
    <n v="5"/>
    <n v="8"/>
    <x v="1"/>
  </r>
  <r>
    <s v="TX501199"/>
    <s v="Tank Tops"/>
    <n v="2"/>
    <n v="63.5"/>
    <n v="127"/>
    <d v="2025-02-17T00:00:00"/>
    <d v="2025-02-17T00:00:00"/>
    <s v="F"/>
    <x v="1"/>
    <n v="5"/>
    <s v="California"/>
    <s v="San Diego County"/>
    <n v="0"/>
    <n v="8"/>
    <x v="2"/>
  </r>
  <r>
    <s v="TX501200"/>
    <s v="Jeans"/>
    <n v="7"/>
    <n v="82.9"/>
    <n v="580.30000000000007"/>
    <d v="2025-02-17T00:00:00"/>
    <d v="2025-02-22T00:00:00"/>
    <s v="F"/>
    <x v="4"/>
    <n v="4"/>
    <s v="California"/>
    <s v="San Mateo County"/>
    <n v="5"/>
    <n v="8"/>
    <x v="2"/>
  </r>
  <r>
    <s v="TX501201"/>
    <s v="Jeans"/>
    <n v="2"/>
    <n v="83.6"/>
    <n v="167.2"/>
    <d v="2025-02-17T00:00:00"/>
    <d v="2025-02-22T00:00:00"/>
    <s v="F"/>
    <x v="0"/>
    <n v="4"/>
    <s v="California"/>
    <s v="Santa Clara County"/>
    <n v="5"/>
    <n v="8"/>
    <x v="2"/>
  </r>
  <r>
    <s v="TX501202"/>
    <s v="Graphic Tees"/>
    <n v="2"/>
    <n v="29.4"/>
    <n v="58.8"/>
    <d v="2025-02-17T00:00:00"/>
    <d v="2025-02-17T00:00:00"/>
    <s v="F"/>
    <x v="0"/>
    <n v="3"/>
    <s v="California"/>
    <s v="Siskiyou County"/>
    <n v="0"/>
    <n v="8"/>
    <x v="2"/>
  </r>
  <r>
    <s v="TX501203"/>
    <s v="Sneakers"/>
    <n v="3"/>
    <n v="107.1"/>
    <n v="321.29999999999995"/>
    <d v="2025-02-17T00:00:00"/>
    <d v="2025-02-21T00:00:00"/>
    <s v="F"/>
    <x v="2"/>
    <n v="4"/>
    <s v="California"/>
    <s v="Tulare County"/>
    <n v="4"/>
    <n v="8"/>
    <x v="2"/>
  </r>
  <r>
    <s v="TX501204"/>
    <s v="Sneakers"/>
    <n v="1"/>
    <n v="62.7"/>
    <n v="62.7"/>
    <d v="2025-02-17T00:00:00"/>
    <d v="2025-02-21T00:00:00"/>
    <s v="M"/>
    <x v="1"/>
    <n v="4"/>
    <s v="California"/>
    <s v="Alameda County"/>
    <n v="4"/>
    <n v="8"/>
    <x v="1"/>
  </r>
  <r>
    <s v="TX501205"/>
    <s v="Maxi Dresses"/>
    <n v="1"/>
    <n v="41.6"/>
    <n v="41.6"/>
    <d v="2025-02-17T00:00:00"/>
    <d v="2025-02-18T00:00:00"/>
    <s v="M"/>
    <x v="0"/>
    <n v="3"/>
    <s v="California"/>
    <s v="Contra Costa County"/>
    <n v="1"/>
    <n v="8"/>
    <x v="1"/>
  </r>
  <r>
    <s v="TX501206"/>
    <s v="Jeans"/>
    <n v="1"/>
    <n v="44.2"/>
    <n v="44.2"/>
    <d v="2025-02-17T00:00:00"/>
    <d v="2025-02-18T00:00:00"/>
    <s v="O"/>
    <x v="0"/>
    <n v="3"/>
    <s v="California"/>
    <s v="Contra Costa County"/>
    <n v="1"/>
    <n v="8"/>
    <x v="3"/>
  </r>
  <r>
    <s v="TX501207"/>
    <s v="Graphic Tees"/>
    <n v="6"/>
    <n v="40.4"/>
    <n v="242.39999999999998"/>
    <d v="2025-02-17T00:00:00"/>
    <d v="2025-03-02T00:00:00"/>
    <s v="F"/>
    <x v="2"/>
    <n v="4"/>
    <s v="California"/>
    <s v="Kern County"/>
    <n v="13"/>
    <n v="8"/>
    <x v="2"/>
  </r>
  <r>
    <s v="TX501208"/>
    <s v="Crop Tops"/>
    <n v="6"/>
    <n v="59.6"/>
    <n v="357.6"/>
    <d v="2025-02-17T00:00:00"/>
    <d v="2025-02-18T00:00:00"/>
    <s v="F"/>
    <x v="4"/>
    <n v="4"/>
    <s v="California"/>
    <s v="Kings County"/>
    <n v="1"/>
    <n v="8"/>
    <x v="2"/>
  </r>
  <r>
    <s v="TX501209"/>
    <s v="Pajama Sets"/>
    <n v="12"/>
    <n v="63.8"/>
    <n v="765.59999999999991"/>
    <d v="2025-02-17T00:00:00"/>
    <d v="2025-02-18T00:00:00"/>
    <s v="M"/>
    <x v="1"/>
    <n v="4"/>
    <s v="California"/>
    <s v="Los Angeles County"/>
    <n v="1"/>
    <n v="8"/>
    <x v="1"/>
  </r>
  <r>
    <s v="TX501210"/>
    <s v="Sundresses"/>
    <n v="6"/>
    <n v="30.8"/>
    <n v="184.8"/>
    <d v="2025-02-17T00:00:00"/>
    <d v="2025-02-19T00:00:00"/>
    <s v="M"/>
    <x v="4"/>
    <n v="4"/>
    <s v="California"/>
    <s v="Los Angeles County"/>
    <n v="2"/>
    <n v="8"/>
    <x v="1"/>
  </r>
  <r>
    <s v="TX501211"/>
    <s v="Tank Tops"/>
    <n v="2"/>
    <n v="41.5"/>
    <n v="83"/>
    <d v="2025-02-17T00:00:00"/>
    <d v="2025-02-20T00:00:00"/>
    <s v="O"/>
    <x v="0"/>
    <n v="4"/>
    <s v="California"/>
    <s v="Los Angeles County"/>
    <n v="3"/>
    <n v="8"/>
    <x v="3"/>
  </r>
  <r>
    <s v="TX501212"/>
    <s v="Bikinis"/>
    <n v="4"/>
    <n v="44.7"/>
    <n v="178.8"/>
    <d v="2025-02-17T00:00:00"/>
    <d v="2025-02-19T00:00:00"/>
    <s v="F"/>
    <x v="2"/>
    <n v="3"/>
    <s v="California"/>
    <s v="Los Angeles County"/>
    <n v="2"/>
    <n v="8"/>
    <x v="2"/>
  </r>
  <r>
    <s v="TX501213"/>
    <s v="Casual Dresses"/>
    <n v="2"/>
    <n v="64.099999999999994"/>
    <n v="128.19999999999999"/>
    <d v="2025-02-17T00:00:00"/>
    <d v="2025-02-21T00:00:00"/>
    <s v="F"/>
    <x v="1"/>
    <n v="2"/>
    <s v="California"/>
    <s v="Los Angeles County"/>
    <n v="4"/>
    <n v="8"/>
    <x v="2"/>
  </r>
  <r>
    <s v="TX501214"/>
    <s v="T-Shirts"/>
    <n v="1"/>
    <n v="15.9"/>
    <n v="15.9"/>
    <d v="2025-02-17T00:00:00"/>
    <d v="2025-02-20T00:00:00"/>
    <s v=""/>
    <x v="1"/>
    <n v="4"/>
    <s v="California"/>
    <s v="Los Angeles County"/>
    <n v="3"/>
    <n v="8"/>
    <x v="0"/>
  </r>
  <r>
    <s v="TX501215"/>
    <s v="Jeans"/>
    <n v="2"/>
    <n v="78.7"/>
    <n v="157.4"/>
    <d v="2025-02-17T00:00:00"/>
    <d v="2025-02-17T00:00:00"/>
    <s v="F"/>
    <x v="2"/>
    <n v="3"/>
    <s v="California"/>
    <s v="Los Angeles County"/>
    <n v="0"/>
    <n v="8"/>
    <x v="2"/>
  </r>
  <r>
    <s v="TX501216"/>
    <s v="Sandals"/>
    <n v="12"/>
    <n v="29.6"/>
    <n v="355.20000000000005"/>
    <d v="2025-02-17T00:00:00"/>
    <d v="2025-02-21T00:00:00"/>
    <s v="M"/>
    <x v="2"/>
    <n v="2"/>
    <s v="California"/>
    <s v="Los Angeles County"/>
    <n v="4"/>
    <n v="8"/>
    <x v="1"/>
  </r>
  <r>
    <s v="TX501217"/>
    <s v="T-Shirts"/>
    <n v="4"/>
    <n v="21.5"/>
    <n v="86"/>
    <d v="2025-02-17T00:00:00"/>
    <d v="2025-02-20T00:00:00"/>
    <s v="M"/>
    <x v="1"/>
    <n v="4"/>
    <s v="California"/>
    <s v="Los Angeles County"/>
    <n v="3"/>
    <n v="8"/>
    <x v="1"/>
  </r>
  <r>
    <s v="TX501218"/>
    <s v="Sundresses"/>
    <n v="3"/>
    <n v="74.900000000000006"/>
    <n v="224.70000000000002"/>
    <d v="2025-02-17T00:00:00"/>
    <d v="2025-02-26T00:00:00"/>
    <s v="M"/>
    <x v="3"/>
    <n v="3"/>
    <s v="California"/>
    <s v="Los Angeles County"/>
    <n v="9"/>
    <n v="8"/>
    <x v="1"/>
  </r>
  <r>
    <s v="TX501219"/>
    <s v="Bikinis"/>
    <n v="6"/>
    <n v="45"/>
    <n v="270"/>
    <d v="2025-02-17T00:00:00"/>
    <d v="2025-02-22T00:00:00"/>
    <s v="F"/>
    <x v="2"/>
    <n v="4"/>
    <s v="California"/>
    <s v="Los Angeles County"/>
    <n v="5"/>
    <n v="8"/>
    <x v="2"/>
  </r>
  <r>
    <s v="TX501220"/>
    <s v="Hoodies &amp; Sweatshirts"/>
    <n v="34"/>
    <n v="37.9"/>
    <n v="1288.5999999999999"/>
    <d v="2025-02-17T00:00:00"/>
    <d v="2025-02-18T00:00:00"/>
    <s v="M"/>
    <x v="0"/>
    <n v="4"/>
    <s v="California"/>
    <s v="Los Angeles County"/>
    <n v="1"/>
    <n v="8"/>
    <x v="1"/>
  </r>
  <r>
    <s v="TX501221"/>
    <s v="Jeans"/>
    <n v="3"/>
    <n v="56.6"/>
    <n v="169.8"/>
    <d v="2025-02-17T00:00:00"/>
    <d v="2025-02-18T00:00:00"/>
    <s v="M"/>
    <x v="3"/>
    <n v="4"/>
    <s v="California"/>
    <s v="Los Angeles County"/>
    <n v="1"/>
    <n v="8"/>
    <x v="1"/>
  </r>
  <r>
    <s v="TX501222"/>
    <s v="Workout Tops"/>
    <n v="13"/>
    <n v="84.5"/>
    <n v="1098.5"/>
    <d v="2025-02-17T00:00:00"/>
    <d v="2025-02-20T00:00:00"/>
    <s v="F"/>
    <x v="1"/>
    <n v="2"/>
    <s v="California"/>
    <s v="Los Angeles County"/>
    <n v="3"/>
    <n v="8"/>
    <x v="2"/>
  </r>
  <r>
    <s v="TX501223"/>
    <s v="Sneakers"/>
    <n v="5"/>
    <n v="105.4"/>
    <n v="527"/>
    <d v="2025-02-17T00:00:00"/>
    <d v="2025-02-19T00:00:00"/>
    <s v="F"/>
    <x v="1"/>
    <n v="3"/>
    <s v="California"/>
    <s v="Los Angeles County"/>
    <n v="2"/>
    <n v="8"/>
    <x v="2"/>
  </r>
  <r>
    <s v="TX501224"/>
    <s v="Leggings"/>
    <n v="7"/>
    <n v="39.4"/>
    <n v="275.8"/>
    <d v="2025-02-18T00:00:00"/>
    <d v="2025-02-18T00:00:00"/>
    <s v="M"/>
    <x v="1"/>
    <n v="4"/>
    <s v="California"/>
    <s v="Madera County"/>
    <n v="0"/>
    <n v="8"/>
    <x v="1"/>
  </r>
  <r>
    <s v="TX501225"/>
    <s v="Jewelry"/>
    <n v="3"/>
    <n v="38"/>
    <n v="114"/>
    <d v="2025-02-18T00:00:00"/>
    <d v="2025-02-21T00:00:00"/>
    <s v="M"/>
    <x v="4"/>
    <n v="3"/>
    <s v="California"/>
    <s v="Sacramento County"/>
    <n v="3"/>
    <n v="8"/>
    <x v="1"/>
  </r>
  <r>
    <s v="TX501226"/>
    <s v="Pajama Sets"/>
    <n v="4"/>
    <n v="42.5"/>
    <n v="170"/>
    <d v="2025-02-18T00:00:00"/>
    <d v="2025-02-20T00:00:00"/>
    <s v=""/>
    <x v="0"/>
    <n v="4"/>
    <s v="California"/>
    <s v="Sacramento County"/>
    <n v="2"/>
    <n v="8"/>
    <x v="0"/>
  </r>
  <r>
    <s v="TX501227"/>
    <s v="Crop Tops"/>
    <n v="1"/>
    <n v="62.3"/>
    <n v="62.3"/>
    <d v="2025-02-18T00:00:00"/>
    <d v="2025-02-27T00:00:00"/>
    <s v="M"/>
    <x v="0"/>
    <n v="5"/>
    <s v="California"/>
    <s v="Sacramento County"/>
    <n v="9"/>
    <n v="8"/>
    <x v="1"/>
  </r>
  <r>
    <s v="TX501228"/>
    <s v="Jeans"/>
    <n v="5"/>
    <n v="49.1"/>
    <n v="245.5"/>
    <d v="2025-02-18T00:00:00"/>
    <d v="2025-02-20T00:00:00"/>
    <s v="F"/>
    <x v="1"/>
    <n v="5"/>
    <s v="California"/>
    <s v="San Bernardino County"/>
    <n v="2"/>
    <n v="8"/>
    <x v="2"/>
  </r>
  <r>
    <s v="TX501229"/>
    <s v="Workout Tops"/>
    <n v="2"/>
    <n v="30.5"/>
    <n v="61"/>
    <d v="2025-02-18T00:00:00"/>
    <d v="2025-02-21T00:00:00"/>
    <s v="M"/>
    <x v="0"/>
    <n v="5"/>
    <s v="California"/>
    <s v="San Diego County"/>
    <n v="3"/>
    <n v="8"/>
    <x v="1"/>
  </r>
  <r>
    <s v="TX501230"/>
    <s v="Sneakers"/>
    <n v="2"/>
    <n v="154.80000000000001"/>
    <n v="309.60000000000002"/>
    <d v="2025-02-18T00:00:00"/>
    <d v="2025-02-21T00:00:00"/>
    <s v="F"/>
    <x v="1"/>
    <n v="2"/>
    <s v="California"/>
    <s v="San Diego County"/>
    <n v="3"/>
    <n v="8"/>
    <x v="2"/>
  </r>
  <r>
    <s v="TX501231"/>
    <s v="Jeans"/>
    <n v="1"/>
    <n v="45"/>
    <n v="45"/>
    <d v="2025-02-18T00:00:00"/>
    <d v="2025-02-22T00:00:00"/>
    <s v="M"/>
    <x v="3"/>
    <n v="3"/>
    <s v="California"/>
    <s v="San Diego County"/>
    <n v="4"/>
    <n v="8"/>
    <x v="1"/>
  </r>
  <r>
    <s v="TX501232"/>
    <s v="Shorts"/>
    <n v="7"/>
    <n v="15.3"/>
    <n v="107.10000000000001"/>
    <d v="2025-02-18T00:00:00"/>
    <d v="2025-02-19T00:00:00"/>
    <s v="M"/>
    <x v="0"/>
    <n v="5"/>
    <s v="California"/>
    <s v="San Diego County"/>
    <n v="1"/>
    <n v="8"/>
    <x v="1"/>
  </r>
  <r>
    <s v="TX501233"/>
    <s v="Sneakers"/>
    <n v="11"/>
    <n v="88.6"/>
    <n v="974.59999999999991"/>
    <d v="2025-02-18T00:00:00"/>
    <d v="2025-02-21T00:00:00"/>
    <s v="F"/>
    <x v="0"/>
    <n v="2"/>
    <s v="California"/>
    <s v="San Francisco"/>
    <n v="3"/>
    <n v="8"/>
    <x v="2"/>
  </r>
  <r>
    <s v="TX501234"/>
    <s v="Sundresses"/>
    <n v="2"/>
    <n v="49.7"/>
    <n v="99.4"/>
    <d v="2025-02-18T00:00:00"/>
    <d v="2025-02-20T00:00:00"/>
    <s v="O"/>
    <x v="4"/>
    <n v="4"/>
    <s v="California"/>
    <s v="Santa Barbara County"/>
    <n v="2"/>
    <n v="8"/>
    <x v="3"/>
  </r>
  <r>
    <s v="TX501235"/>
    <s v="Bikinis"/>
    <n v="1"/>
    <n v="29"/>
    <n v="29"/>
    <d v="2025-02-18T00:00:00"/>
    <d v="2025-02-19T00:00:00"/>
    <s v="M"/>
    <x v="0"/>
    <n v="4"/>
    <s v="California"/>
    <s v="Santa Clara County"/>
    <n v="1"/>
    <n v="8"/>
    <x v="1"/>
  </r>
  <r>
    <s v="TX501236"/>
    <s v="Tank Tops"/>
    <n v="1"/>
    <n v="60.7"/>
    <n v="60.7"/>
    <d v="2025-02-18T00:00:00"/>
    <d v="2025-02-19T00:00:00"/>
    <s v="O"/>
    <x v="0"/>
    <n v="3"/>
    <s v="California"/>
    <s v="Santa Clara County"/>
    <n v="1"/>
    <n v="8"/>
    <x v="3"/>
  </r>
  <r>
    <s v="TX501237"/>
    <s v="Pajama Sets"/>
    <n v="4"/>
    <n v="87.4"/>
    <n v="349.6"/>
    <d v="2025-02-18T00:00:00"/>
    <d v="2025-02-20T00:00:00"/>
    <s v=""/>
    <x v="0"/>
    <n v="4"/>
    <s v="California"/>
    <s v="Santa Clara County"/>
    <n v="2"/>
    <n v="8"/>
    <x v="0"/>
  </r>
  <r>
    <s v="TX501238"/>
    <s v="Graphic Tees"/>
    <n v="7"/>
    <n v="44.5"/>
    <n v="311.5"/>
    <d v="2025-02-18T00:00:00"/>
    <d v="2025-02-22T00:00:00"/>
    <s v="F"/>
    <x v="2"/>
    <n v="5"/>
    <s v="California"/>
    <s v="Stanislaus County"/>
    <n v="4"/>
    <n v="8"/>
    <x v="2"/>
  </r>
  <r>
    <s v="TX501239"/>
    <s v="Sneakers"/>
    <n v="1"/>
    <n v="141"/>
    <n v="141"/>
    <d v="2025-02-18T00:00:00"/>
    <d v="2025-02-19T00:00:00"/>
    <s v="M"/>
    <x v="4"/>
    <n v="5"/>
    <s v="California"/>
    <s v="Stanislaus County"/>
    <n v="1"/>
    <n v="8"/>
    <x v="1"/>
  </r>
  <r>
    <s v="TX501240"/>
    <s v="Shorts"/>
    <n v="3"/>
    <n v="16.7"/>
    <n v="50.099999999999994"/>
    <d v="2025-02-18T00:00:00"/>
    <d v="2025-02-26T00:00:00"/>
    <s v="F"/>
    <x v="0"/>
    <n v="4"/>
    <s v="California"/>
    <s v="Tulare County"/>
    <n v="8"/>
    <n v="8"/>
    <x v="2"/>
  </r>
  <r>
    <s v="TX501241"/>
    <s v="Tank Tops"/>
    <n v="2"/>
    <n v="77.5"/>
    <n v="155"/>
    <d v="2025-02-18T00:00:00"/>
    <d v="2025-02-19T00:00:00"/>
    <s v=""/>
    <x v="2"/>
    <n v="5"/>
    <s v="California"/>
    <s v="Ventura County"/>
    <n v="1"/>
    <n v="8"/>
    <x v="0"/>
  </r>
  <r>
    <s v="TX501242"/>
    <s v="Sneakers"/>
    <n v="2"/>
    <n v="163"/>
    <n v="326"/>
    <d v="2025-02-18T00:00:00"/>
    <d v="2025-02-24T00:00:00"/>
    <s v="F"/>
    <x v="4"/>
    <n v="4"/>
    <s v="California"/>
    <s v="Alameda County"/>
    <n v="6"/>
    <n v="8"/>
    <x v="2"/>
  </r>
  <r>
    <s v="TX501243"/>
    <s v="Graphic Tees"/>
    <n v="9"/>
    <n v="21.4"/>
    <n v="192.6"/>
    <d v="2025-02-18T00:00:00"/>
    <d v="2025-02-21T00:00:00"/>
    <s v="F"/>
    <x v="0"/>
    <n v="4"/>
    <s v="California"/>
    <s v="Butte County"/>
    <n v="3"/>
    <n v="8"/>
    <x v="2"/>
  </r>
  <r>
    <s v="TX501244"/>
    <s v="Bikinis"/>
    <n v="11"/>
    <n v="31"/>
    <n v="341"/>
    <d v="2025-02-18T00:00:00"/>
    <d v="2025-02-20T00:00:00"/>
    <s v="F"/>
    <x v="3"/>
    <n v="5"/>
    <s v="California"/>
    <s v="Contra Costa County"/>
    <n v="2"/>
    <n v="8"/>
    <x v="2"/>
  </r>
  <r>
    <s v="TX501245"/>
    <s v="Hoodies &amp; Sweatshirts"/>
    <n v="2"/>
    <n v="34.299999999999997"/>
    <n v="68.599999999999994"/>
    <d v="2025-02-18T00:00:00"/>
    <d v="2025-02-20T00:00:00"/>
    <s v="F"/>
    <x v="0"/>
    <n v="1"/>
    <s v="California"/>
    <s v="Contra Costa County"/>
    <n v="2"/>
    <n v="8"/>
    <x v="2"/>
  </r>
  <r>
    <s v="TX501246"/>
    <s v="Pajama Sets"/>
    <n v="5"/>
    <n v="48.2"/>
    <n v="241"/>
    <d v="2025-02-18T00:00:00"/>
    <d v="2025-02-19T00:00:00"/>
    <s v="M"/>
    <x v="1"/>
    <n v="3"/>
    <s v="California"/>
    <s v="Fresno County"/>
    <n v="1"/>
    <n v="8"/>
    <x v="1"/>
  </r>
  <r>
    <s v="TX501247"/>
    <s v="Bikinis"/>
    <n v="1"/>
    <n v="51.4"/>
    <n v="51.4"/>
    <d v="2025-02-18T00:00:00"/>
    <d v="2025-02-19T00:00:00"/>
    <s v="M"/>
    <x v="0"/>
    <n v="4"/>
    <s v="California"/>
    <s v="Los Angeles County"/>
    <n v="1"/>
    <n v="8"/>
    <x v="1"/>
  </r>
  <r>
    <s v="TX501248"/>
    <s v="Sneakers"/>
    <n v="5"/>
    <n v="117.2"/>
    <n v="586"/>
    <d v="2025-02-18T00:00:00"/>
    <d v="2025-02-21T00:00:00"/>
    <s v="F"/>
    <x v="4"/>
    <n v="2"/>
    <s v="California"/>
    <s v="Los Angeles County"/>
    <n v="3"/>
    <n v="8"/>
    <x v="2"/>
  </r>
  <r>
    <s v="TX501249"/>
    <s v="T-Shirts"/>
    <n v="1"/>
    <n v="38.1"/>
    <n v="38.1"/>
    <d v="2025-02-18T00:00:00"/>
    <d v="2025-02-18T00:00:00"/>
    <s v="M"/>
    <x v="4"/>
    <n v="3"/>
    <s v="California"/>
    <s v="Los Angeles County"/>
    <n v="0"/>
    <n v="8"/>
    <x v="1"/>
  </r>
  <r>
    <s v="TX501250"/>
    <s v="Shorts"/>
    <n v="2"/>
    <n v="44.1"/>
    <n v="88.2"/>
    <d v="2025-02-18T00:00:00"/>
    <d v="2025-02-20T00:00:00"/>
    <s v="F"/>
    <x v="2"/>
    <n v="4"/>
    <s v="California"/>
    <s v="Los Angeles County"/>
    <n v="2"/>
    <n v="8"/>
    <x v="2"/>
  </r>
  <r>
    <s v="TX501251"/>
    <s v="Crop Tops"/>
    <n v="4"/>
    <n v="80.5"/>
    <n v="322"/>
    <d v="2025-02-18T00:00:00"/>
    <d v="2025-02-23T00:00:00"/>
    <s v="M"/>
    <x v="0"/>
    <n v="4"/>
    <s v="California"/>
    <s v="Los Angeles County"/>
    <n v="5"/>
    <n v="8"/>
    <x v="1"/>
  </r>
  <r>
    <s v="TX501252"/>
    <s v="Leggings"/>
    <n v="4"/>
    <n v="33.6"/>
    <n v="134.4"/>
    <d v="2025-02-18T00:00:00"/>
    <d v="2025-02-23T00:00:00"/>
    <s v=""/>
    <x v="0"/>
    <n v="5"/>
    <s v="California"/>
    <s v="Los Angeles County"/>
    <n v="5"/>
    <n v="8"/>
    <x v="0"/>
  </r>
  <r>
    <s v="TX501253"/>
    <s v="Sundresses"/>
    <n v="9"/>
    <n v="41.8"/>
    <n v="376.2"/>
    <d v="2025-02-18T00:00:00"/>
    <d v="2025-02-19T00:00:00"/>
    <s v="F"/>
    <x v="0"/>
    <n v="3"/>
    <s v="California"/>
    <s v="Los Angeles County"/>
    <n v="1"/>
    <n v="8"/>
    <x v="2"/>
  </r>
  <r>
    <s v="TX501254"/>
    <s v="Tank Tops"/>
    <n v="2"/>
    <n v="106.2"/>
    <n v="212.4"/>
    <d v="2025-02-18T00:00:00"/>
    <d v="2025-02-18T00:00:00"/>
    <s v="F"/>
    <x v="4"/>
    <n v="5"/>
    <s v="California"/>
    <s v="Los Angeles County"/>
    <n v="0"/>
    <n v="8"/>
    <x v="2"/>
  </r>
  <r>
    <s v="TX501255"/>
    <s v="Tank Tops"/>
    <n v="2"/>
    <n v="52.6"/>
    <n v="105.2"/>
    <d v="2025-02-18T00:00:00"/>
    <d v="2025-02-19T00:00:00"/>
    <s v="F"/>
    <x v="0"/>
    <n v="5"/>
    <s v="California"/>
    <s v="Placer County"/>
    <n v="1"/>
    <n v="8"/>
    <x v="2"/>
  </r>
  <r>
    <s v="TX501256"/>
    <s v="Maxi Dresses"/>
    <n v="7"/>
    <n v="68.5"/>
    <n v="479.5"/>
    <d v="2025-02-18T00:00:00"/>
    <d v="2025-02-19T00:00:00"/>
    <s v="F"/>
    <x v="1"/>
    <n v="4"/>
    <s v="California"/>
    <s v="Placer County"/>
    <n v="1"/>
    <n v="8"/>
    <x v="2"/>
  </r>
  <r>
    <s v="TX501257"/>
    <s v="Tank Tops"/>
    <n v="2"/>
    <n v="55.6"/>
    <n v="111.2"/>
    <d v="2025-02-18T00:00:00"/>
    <d v="2025-02-20T00:00:00"/>
    <s v="M"/>
    <x v="1"/>
    <n v="5"/>
    <s v="California"/>
    <s v="Sacramento County"/>
    <n v="2"/>
    <n v="8"/>
    <x v="1"/>
  </r>
  <r>
    <s v="TX501258"/>
    <s v="Sneakers"/>
    <n v="3"/>
    <n v="134.9"/>
    <n v="404.70000000000005"/>
    <d v="2025-02-18T00:00:00"/>
    <d v="2025-02-19T00:00:00"/>
    <s v="M"/>
    <x v="1"/>
    <n v="3"/>
    <s v="California"/>
    <s v="Sacramento County"/>
    <n v="1"/>
    <n v="8"/>
    <x v="1"/>
  </r>
  <r>
    <s v="TX501259"/>
    <s v="Bikinis"/>
    <n v="5"/>
    <n v="42.6"/>
    <n v="213"/>
    <d v="2025-02-18T00:00:00"/>
    <d v="2025-02-19T00:00:00"/>
    <s v="M"/>
    <x v="0"/>
    <n v="4"/>
    <s v="California"/>
    <s v="Sacramento County"/>
    <n v="1"/>
    <n v="8"/>
    <x v="1"/>
  </r>
  <r>
    <s v="TX501260"/>
    <s v="Hoodies &amp; Sweatshirts"/>
    <n v="5"/>
    <n v="60.6"/>
    <n v="303"/>
    <d v="2025-02-18T00:00:00"/>
    <d v="2025-02-20T00:00:00"/>
    <s v="M"/>
    <x v="4"/>
    <n v="4"/>
    <s v="California"/>
    <s v="Sacramento County"/>
    <n v="2"/>
    <n v="8"/>
    <x v="1"/>
  </r>
  <r>
    <s v="TX501261"/>
    <s v="T-Shirts"/>
    <n v="2"/>
    <n v="43.5"/>
    <n v="87"/>
    <d v="2025-02-18T00:00:00"/>
    <d v="2025-02-19T00:00:00"/>
    <s v="M"/>
    <x v="4"/>
    <n v="4"/>
    <s v="California"/>
    <s v="San Bernardino County"/>
    <n v="1"/>
    <n v="8"/>
    <x v="1"/>
  </r>
  <r>
    <s v="TX501262"/>
    <s v="Sneakers"/>
    <n v="2"/>
    <n v="187.1"/>
    <n v="374.2"/>
    <d v="2025-02-18T00:00:00"/>
    <d v="2025-02-19T00:00:00"/>
    <s v="M"/>
    <x v="1"/>
    <n v="5"/>
    <s v="California"/>
    <s v="San Diego County"/>
    <n v="1"/>
    <n v="8"/>
    <x v="1"/>
  </r>
  <r>
    <s v="TX501263"/>
    <s v="Sundresses"/>
    <n v="3"/>
    <n v="32"/>
    <n v="96"/>
    <d v="2025-02-18T00:00:00"/>
    <d v="2025-02-20T00:00:00"/>
    <s v="M"/>
    <x v="0"/>
    <n v="4"/>
    <s v="California"/>
    <s v="San Diego County"/>
    <n v="2"/>
    <n v="8"/>
    <x v="1"/>
  </r>
  <r>
    <s v="TX501264"/>
    <s v="Sundresses"/>
    <n v="2"/>
    <n v="110.8"/>
    <n v="221.6"/>
    <d v="2025-02-18T00:00:00"/>
    <d v="2025-02-18T00:00:00"/>
    <s v="M"/>
    <x v="0"/>
    <n v="5"/>
    <s v="California"/>
    <s v="San Diego County"/>
    <n v="0"/>
    <n v="8"/>
    <x v="1"/>
  </r>
  <r>
    <s v="TX501265"/>
    <s v="Bikinis"/>
    <n v="13"/>
    <n v="36.1"/>
    <n v="469.3"/>
    <d v="2025-02-18T00:00:00"/>
    <d v="2025-02-21T00:00:00"/>
    <s v="F"/>
    <x v="0"/>
    <n v="3"/>
    <s v="California"/>
    <s v="San Diego County"/>
    <n v="3"/>
    <n v="8"/>
    <x v="2"/>
  </r>
  <r>
    <s v="TX501266"/>
    <s v="Shorts"/>
    <n v="1"/>
    <n v="24.1"/>
    <n v="24.1"/>
    <d v="2025-02-18T00:00:00"/>
    <d v="2025-02-20T00:00:00"/>
    <s v="F"/>
    <x v="4"/>
    <n v="5"/>
    <s v="California"/>
    <s v="San Diego County"/>
    <n v="2"/>
    <n v="8"/>
    <x v="2"/>
  </r>
  <r>
    <s v="TX501267"/>
    <s v="Jewelry"/>
    <n v="3"/>
    <n v="30.5"/>
    <n v="91.5"/>
    <d v="2025-02-18T00:00:00"/>
    <d v="2025-02-20T00:00:00"/>
    <s v="M"/>
    <x v="1"/>
    <n v="4"/>
    <s v="California"/>
    <s v="San Diego County"/>
    <n v="2"/>
    <n v="8"/>
    <x v="1"/>
  </r>
  <r>
    <s v="TX501268"/>
    <s v="Leggings"/>
    <n v="6"/>
    <n v="68.3"/>
    <n v="409.79999999999995"/>
    <d v="2025-02-18T00:00:00"/>
    <d v="2025-02-21T00:00:00"/>
    <s v="M"/>
    <x v="0"/>
    <n v="4"/>
    <s v="California"/>
    <s v="San Diego County"/>
    <n v="3"/>
    <n v="8"/>
    <x v="1"/>
  </r>
  <r>
    <s v="TX501269"/>
    <s v="Hoodies &amp; Sweatshirts"/>
    <n v="3"/>
    <n v="43.3"/>
    <n v="129.89999999999998"/>
    <d v="2025-02-18T00:00:00"/>
    <d v="2025-02-22T00:00:00"/>
    <s v="F"/>
    <x v="0"/>
    <n v="4"/>
    <s v="California"/>
    <s v="San Francisco"/>
    <n v="4"/>
    <n v="8"/>
    <x v="2"/>
  </r>
  <r>
    <s v="TX501270"/>
    <s v="Workout Tops"/>
    <n v="1"/>
    <n v="101.7"/>
    <n v="101.7"/>
    <d v="2025-02-18T00:00:00"/>
    <d v="2025-02-21T00:00:00"/>
    <s v="F"/>
    <x v="0"/>
    <n v="3"/>
    <s v="California"/>
    <s v="San Francisco"/>
    <n v="3"/>
    <n v="8"/>
    <x v="2"/>
  </r>
  <r>
    <s v="TX501271"/>
    <s v="Maxi Dresses"/>
    <n v="2"/>
    <n v="54.2"/>
    <n v="108.4"/>
    <d v="2025-02-18T00:00:00"/>
    <d v="2025-02-19T00:00:00"/>
    <s v="F"/>
    <x v="0"/>
    <n v="3"/>
    <s v="California"/>
    <s v="San Francisco"/>
    <n v="1"/>
    <n v="8"/>
    <x v="2"/>
  </r>
  <r>
    <s v="TX501272"/>
    <s v="Sunglasses"/>
    <n v="2"/>
    <n v="51"/>
    <n v="102"/>
    <d v="2025-02-18T00:00:00"/>
    <d v="2025-02-18T00:00:00"/>
    <s v="M"/>
    <x v="1"/>
    <n v="4"/>
    <s v="California"/>
    <s v="San Joaquin County"/>
    <n v="0"/>
    <n v="8"/>
    <x v="1"/>
  </r>
  <r>
    <s v="TX501273"/>
    <s v="Graphic Tees"/>
    <n v="2"/>
    <n v="23.1"/>
    <n v="46.2"/>
    <d v="2025-02-18T00:00:00"/>
    <d v="2025-02-21T00:00:00"/>
    <s v="M"/>
    <x v="1"/>
    <n v="4"/>
    <s v="California"/>
    <s v="Santa Barbara County"/>
    <n v="3"/>
    <n v="8"/>
    <x v="1"/>
  </r>
  <r>
    <s v="TX501274"/>
    <s v="Casual Dresses"/>
    <n v="6"/>
    <n v="60.1"/>
    <n v="360.6"/>
    <d v="2025-02-18T00:00:00"/>
    <d v="2025-02-18T00:00:00"/>
    <s v="F"/>
    <x v="3"/>
    <n v="4"/>
    <s v="California"/>
    <s v="Santa Clara County"/>
    <n v="0"/>
    <n v="8"/>
    <x v="2"/>
  </r>
  <r>
    <s v="TX501275"/>
    <s v="Sneakers"/>
    <n v="7"/>
    <n v="87.5"/>
    <n v="612.5"/>
    <d v="2025-02-18T00:00:00"/>
    <d v="2025-02-20T00:00:00"/>
    <s v="F"/>
    <x v="0"/>
    <n v="3"/>
    <s v="California"/>
    <s v="Santa Clara County"/>
    <n v="2"/>
    <n v="8"/>
    <x v="2"/>
  </r>
  <r>
    <s v="TX501276"/>
    <s v="Tank Tops"/>
    <n v="3"/>
    <n v="51"/>
    <n v="153"/>
    <d v="2025-02-18T00:00:00"/>
    <d v="2025-02-19T00:00:00"/>
    <s v="F"/>
    <x v="1"/>
    <n v="4"/>
    <s v="California"/>
    <s v="Santa Clara County"/>
    <n v="1"/>
    <n v="8"/>
    <x v="2"/>
  </r>
  <r>
    <s v="TX501277"/>
    <s v="T-Shirts"/>
    <n v="4"/>
    <n v="19.2"/>
    <n v="76.8"/>
    <d v="2025-02-18T00:00:00"/>
    <d v="2025-02-20T00:00:00"/>
    <s v="F"/>
    <x v="0"/>
    <n v="4"/>
    <s v="California"/>
    <s v="Santa Clara County"/>
    <n v="2"/>
    <n v="8"/>
    <x v="2"/>
  </r>
  <r>
    <s v="TX501278"/>
    <s v="Sandals"/>
    <n v="8"/>
    <n v="26.5"/>
    <n v="212"/>
    <d v="2025-02-18T00:00:00"/>
    <d v="2025-02-19T00:00:00"/>
    <s v=""/>
    <x v="3"/>
    <n v="5"/>
    <s v="California"/>
    <s v="Santa Clara County"/>
    <n v="1"/>
    <n v="8"/>
    <x v="0"/>
  </r>
  <r>
    <s v="TX501279"/>
    <s v="Sneakers"/>
    <n v="2"/>
    <n v="220.3"/>
    <n v="440.6"/>
    <d v="2025-02-18T00:00:00"/>
    <d v="2025-02-19T00:00:00"/>
    <s v="F"/>
    <x v="1"/>
    <n v="2"/>
    <s v="California"/>
    <s v="Shasta County"/>
    <n v="1"/>
    <n v="8"/>
    <x v="2"/>
  </r>
  <r>
    <s v="TX501280"/>
    <s v="T-Shirts"/>
    <n v="3"/>
    <n v="45.7"/>
    <n v="137.10000000000002"/>
    <d v="2025-02-18T00:00:00"/>
    <d v="2025-02-19T00:00:00"/>
    <s v="F"/>
    <x v="4"/>
    <n v="4"/>
    <s v="California"/>
    <s v="Siskiyou County"/>
    <n v="1"/>
    <n v="8"/>
    <x v="2"/>
  </r>
  <r>
    <s v="TX501281"/>
    <s v="Sandals"/>
    <n v="5"/>
    <n v="47.1"/>
    <n v="235.5"/>
    <d v="2025-02-18T00:00:00"/>
    <d v="2025-02-22T00:00:00"/>
    <s v="F"/>
    <x v="3"/>
    <n v="4"/>
    <s v="California"/>
    <s v="Ventura County"/>
    <n v="4"/>
    <n v="8"/>
    <x v="2"/>
  </r>
  <r>
    <s v="TX501282"/>
    <s v="Tank Tops"/>
    <n v="5"/>
    <n v="81.7"/>
    <n v="408.5"/>
    <d v="2025-02-18T00:00:00"/>
    <d v="2025-02-19T00:00:00"/>
    <s v="F"/>
    <x v="0"/>
    <n v="5"/>
    <s v="California"/>
    <s v="Alameda County"/>
    <n v="1"/>
    <n v="8"/>
    <x v="2"/>
  </r>
  <r>
    <s v="TX501283"/>
    <s v="Jeans"/>
    <n v="10"/>
    <n v="97.8"/>
    <n v="978"/>
    <d v="2025-02-18T00:00:00"/>
    <d v="2025-02-18T00:00:00"/>
    <s v="M"/>
    <x v="1"/>
    <n v="3"/>
    <s v="California"/>
    <s v="Alameda County"/>
    <n v="0"/>
    <n v="8"/>
    <x v="1"/>
  </r>
  <r>
    <s v="TX501284"/>
    <s v="Jeans"/>
    <n v="3"/>
    <n v="42.4"/>
    <n v="127.19999999999999"/>
    <d v="2025-02-18T00:00:00"/>
    <d v="2025-02-19T00:00:00"/>
    <s v="F"/>
    <x v="0"/>
    <n v="5"/>
    <s v="California"/>
    <s v="Colusa County"/>
    <n v="1"/>
    <n v="8"/>
    <x v="2"/>
  </r>
  <r>
    <s v="TX501285"/>
    <s v="Sneakers"/>
    <n v="10"/>
    <n v="74.5"/>
    <n v="745"/>
    <d v="2025-02-18T00:00:00"/>
    <d v="2025-02-19T00:00:00"/>
    <s v="M"/>
    <x v="2"/>
    <n v="3"/>
    <s v="California"/>
    <s v="Contra Costa County"/>
    <n v="1"/>
    <n v="8"/>
    <x v="1"/>
  </r>
  <r>
    <s v="TX501286"/>
    <s v="Pajama Sets"/>
    <n v="6"/>
    <n v="47.4"/>
    <n v="284.39999999999998"/>
    <d v="2025-02-18T00:00:00"/>
    <d v="2025-02-19T00:00:00"/>
    <s v="M"/>
    <x v="1"/>
    <n v="4"/>
    <s v="California"/>
    <s v="Contra Costa County"/>
    <n v="1"/>
    <n v="8"/>
    <x v="1"/>
  </r>
  <r>
    <s v="TX501287"/>
    <s v="Baseball Caps"/>
    <n v="3"/>
    <n v="17.3"/>
    <n v="51.900000000000006"/>
    <d v="2025-02-19T00:00:00"/>
    <d v="2025-02-22T00:00:00"/>
    <s v="M"/>
    <x v="2"/>
    <n v="5"/>
    <s v="California"/>
    <s v="Contra Costa County"/>
    <n v="3"/>
    <n v="8"/>
    <x v="1"/>
  </r>
  <r>
    <s v="TX501288"/>
    <s v="Casual Dresses"/>
    <n v="4"/>
    <n v="77.900000000000006"/>
    <n v="311.60000000000002"/>
    <d v="2025-02-19T00:00:00"/>
    <d v="2025-02-20T00:00:00"/>
    <s v="M"/>
    <x v="1"/>
    <n v="4"/>
    <s v="California"/>
    <s v="Fresno County"/>
    <n v="1"/>
    <n v="8"/>
    <x v="1"/>
  </r>
  <r>
    <s v="TX501289"/>
    <s v="T-Shirts"/>
    <n v="1"/>
    <n v="29.1"/>
    <n v="29.1"/>
    <d v="2025-02-19T00:00:00"/>
    <d v="2025-02-22T00:00:00"/>
    <s v="M"/>
    <x v="0"/>
    <n v="5"/>
    <s v="California"/>
    <s v="Lake County"/>
    <n v="3"/>
    <n v="8"/>
    <x v="1"/>
  </r>
  <r>
    <s v="TX501290"/>
    <s v="T-Shirts"/>
    <n v="1"/>
    <n v="49"/>
    <n v="49"/>
    <d v="2025-02-19T00:00:00"/>
    <d v="2025-02-20T00:00:00"/>
    <s v="M"/>
    <x v="1"/>
    <n v="4"/>
    <s v="California"/>
    <s v="Los Angeles County"/>
    <n v="1"/>
    <n v="8"/>
    <x v="1"/>
  </r>
  <r>
    <s v="TX501291"/>
    <s v="T-Shirts"/>
    <n v="6"/>
    <n v="21.1"/>
    <n v="126.60000000000001"/>
    <d v="2025-02-19T00:00:00"/>
    <d v="2025-02-26T00:00:00"/>
    <s v="M"/>
    <x v="0"/>
    <n v="5"/>
    <s v="California"/>
    <s v="Los Angeles County"/>
    <n v="7"/>
    <n v="8"/>
    <x v="1"/>
  </r>
  <r>
    <s v="TX501292"/>
    <s v="Graphic Tees"/>
    <n v="19"/>
    <n v="36.9"/>
    <n v="701.1"/>
    <d v="2025-02-19T00:00:00"/>
    <d v="2025-02-19T00:00:00"/>
    <s v="F"/>
    <x v="0"/>
    <n v="4"/>
    <s v="California"/>
    <s v="Los Angeles County"/>
    <n v="0"/>
    <n v="8"/>
    <x v="2"/>
  </r>
  <r>
    <s v="TX501293"/>
    <s v="Tank Tops"/>
    <n v="10"/>
    <n v="92.6"/>
    <n v="926"/>
    <d v="2025-02-19T00:00:00"/>
    <d v="2025-02-24T00:00:00"/>
    <s v="M"/>
    <x v="4"/>
    <n v="5"/>
    <s v="California"/>
    <s v="Los Angeles County"/>
    <n v="5"/>
    <n v="8"/>
    <x v="1"/>
  </r>
  <r>
    <s v="TX501294"/>
    <s v="Bikinis"/>
    <n v="2"/>
    <n v="38"/>
    <n v="76"/>
    <d v="2025-02-19T00:00:00"/>
    <d v="2025-02-20T00:00:00"/>
    <s v="M"/>
    <x v="1"/>
    <n v="3"/>
    <s v="California"/>
    <s v="Los Angeles County"/>
    <n v="1"/>
    <n v="8"/>
    <x v="1"/>
  </r>
  <r>
    <s v="TX501295"/>
    <s v="Sandals"/>
    <n v="3"/>
    <n v="54.8"/>
    <n v="164.39999999999998"/>
    <d v="2025-02-19T00:00:00"/>
    <d v="2025-02-23T00:00:00"/>
    <s v=""/>
    <x v="0"/>
    <n v="3"/>
    <s v="California"/>
    <s v="Los Angeles County"/>
    <n v="4"/>
    <n v="8"/>
    <x v="0"/>
  </r>
  <r>
    <s v="TX501296"/>
    <s v="Bikinis"/>
    <n v="12"/>
    <n v="56.8"/>
    <n v="681.59999999999991"/>
    <d v="2025-02-19T00:00:00"/>
    <d v="2025-02-21T00:00:00"/>
    <s v="M"/>
    <x v="1"/>
    <n v="4"/>
    <s v="California"/>
    <s v="Los Angeles County"/>
    <n v="2"/>
    <n v="8"/>
    <x v="1"/>
  </r>
  <r>
    <s v="TX501297"/>
    <s v="Maxi Dresses"/>
    <n v="33"/>
    <n v="47.2"/>
    <n v="1557.6000000000001"/>
    <d v="2025-02-19T00:00:00"/>
    <d v="2025-02-22T00:00:00"/>
    <s v="F"/>
    <x v="1"/>
    <n v="4"/>
    <s v="California"/>
    <s v="Los Angeles County"/>
    <n v="3"/>
    <n v="8"/>
    <x v="2"/>
  </r>
  <r>
    <s v="TX501298"/>
    <s v="Hoodies &amp; Sweatshirts"/>
    <n v="6"/>
    <n v="45.1"/>
    <n v="270.60000000000002"/>
    <d v="2025-02-19T00:00:00"/>
    <d v="2025-02-20T00:00:00"/>
    <s v="F"/>
    <x v="2"/>
    <n v="4"/>
    <s v="California"/>
    <s v="Marin County"/>
    <n v="1"/>
    <n v="8"/>
    <x v="2"/>
  </r>
  <r>
    <s v="TX501299"/>
    <s v="Graphic Tees"/>
    <n v="12"/>
    <n v="25.2"/>
    <n v="302.39999999999998"/>
    <d v="2025-02-19T00:00:00"/>
    <d v="2025-02-24T00:00:00"/>
    <s v="F"/>
    <x v="2"/>
    <n v="4"/>
    <s v="California"/>
    <s v="Napa County"/>
    <n v="5"/>
    <n v="8"/>
    <x v="2"/>
  </r>
  <r>
    <s v="TX501300"/>
    <s v="T-Shirts"/>
    <n v="1"/>
    <n v="22"/>
    <n v="22"/>
    <d v="2025-02-19T00:00:00"/>
    <d v="2025-02-20T00:00:00"/>
    <s v="F"/>
    <x v="0"/>
    <n v="4"/>
    <s v="California"/>
    <s v="Placer County"/>
    <n v="1"/>
    <n v="8"/>
    <x v="2"/>
  </r>
  <r>
    <s v="TX501301"/>
    <s v="Jeans"/>
    <n v="2"/>
    <n v="42.2"/>
    <n v="84.4"/>
    <d v="2025-02-19T00:00:00"/>
    <d v="2025-02-20T00:00:00"/>
    <s v="F"/>
    <x v="1"/>
    <n v="3"/>
    <s v="California"/>
    <s v="Riverside County"/>
    <n v="1"/>
    <n v="8"/>
    <x v="2"/>
  </r>
  <r>
    <s v="TX501302"/>
    <s v="Tote Bags"/>
    <n v="3"/>
    <n v="20.5"/>
    <n v="61.5"/>
    <d v="2025-02-19T00:00:00"/>
    <d v="2025-02-20T00:00:00"/>
    <s v="M"/>
    <x v="0"/>
    <n v="3"/>
    <s v="California"/>
    <s v="Sacramento County"/>
    <n v="1"/>
    <n v="8"/>
    <x v="1"/>
  </r>
  <r>
    <s v="TX501303"/>
    <s v="Sneakers"/>
    <n v="1"/>
    <n v="190.4"/>
    <n v="190.4"/>
    <d v="2025-02-19T00:00:00"/>
    <d v="2025-02-24T00:00:00"/>
    <s v="M"/>
    <x v="1"/>
    <n v="2"/>
    <s v="California"/>
    <s v="Sacramento County"/>
    <n v="5"/>
    <n v="8"/>
    <x v="1"/>
  </r>
  <r>
    <s v="TX501304"/>
    <s v="Sneakers"/>
    <n v="1"/>
    <n v="121.9"/>
    <n v="121.9"/>
    <d v="2025-02-19T00:00:00"/>
    <d v="2025-02-21T00:00:00"/>
    <s v="F"/>
    <x v="1"/>
    <n v="5"/>
    <s v="California"/>
    <s v="Sacramento County"/>
    <n v="2"/>
    <n v="8"/>
    <x v="2"/>
  </r>
  <r>
    <s v="TX501305"/>
    <s v="Sneakers"/>
    <n v="6"/>
    <n v="149.19999999999999"/>
    <n v="895.19999999999993"/>
    <d v="2025-02-19T00:00:00"/>
    <d v="2025-02-20T00:00:00"/>
    <s v="F"/>
    <x v="2"/>
    <n v="5"/>
    <s v="California"/>
    <s v="San Bernardino County"/>
    <n v="1"/>
    <n v="8"/>
    <x v="2"/>
  </r>
  <r>
    <s v="TX501306"/>
    <s v="Sneakers"/>
    <n v="1"/>
    <n v="54.1"/>
    <n v="54.1"/>
    <d v="2025-02-19T00:00:00"/>
    <d v="2025-02-28T00:00:00"/>
    <s v="F"/>
    <x v="2"/>
    <n v="5"/>
    <s v="California"/>
    <s v="San Bernardino County"/>
    <n v="9"/>
    <n v="8"/>
    <x v="2"/>
  </r>
  <r>
    <s v="TX501307"/>
    <s v="Sandals"/>
    <n v="2"/>
    <n v="27.4"/>
    <n v="54.8"/>
    <d v="2025-02-19T00:00:00"/>
    <d v="2025-02-21T00:00:00"/>
    <s v="M"/>
    <x v="1"/>
    <n v="4"/>
    <s v="California"/>
    <s v="San Diego County"/>
    <n v="2"/>
    <n v="8"/>
    <x v="1"/>
  </r>
  <r>
    <s v="TX501308"/>
    <s v="Shorts"/>
    <n v="13"/>
    <n v="30.4"/>
    <n v="395.2"/>
    <d v="2025-02-19T00:00:00"/>
    <d v="2025-02-20T00:00:00"/>
    <s v="F"/>
    <x v="0"/>
    <n v="5"/>
    <s v="California"/>
    <s v="San Diego County"/>
    <n v="1"/>
    <n v="8"/>
    <x v="2"/>
  </r>
  <r>
    <s v="TX501309"/>
    <s v="Casual Dresses"/>
    <n v="3"/>
    <n v="46.2"/>
    <n v="138.60000000000002"/>
    <d v="2025-02-19T00:00:00"/>
    <d v="2025-02-21T00:00:00"/>
    <s v="M"/>
    <x v="2"/>
    <n v="3"/>
    <s v="California"/>
    <s v="San Francisco"/>
    <n v="2"/>
    <n v="8"/>
    <x v="1"/>
  </r>
  <r>
    <s v="TX501310"/>
    <s v="Hoodies &amp; Sweatshirts"/>
    <n v="8"/>
    <n v="78.599999999999994"/>
    <n v="628.79999999999995"/>
    <d v="2025-02-19T00:00:00"/>
    <d v="2025-02-23T00:00:00"/>
    <s v="M"/>
    <x v="3"/>
    <n v="4"/>
    <s v="California"/>
    <s v="San Francisco"/>
    <n v="4"/>
    <n v="8"/>
    <x v="1"/>
  </r>
  <r>
    <s v="TX501311"/>
    <s v="Pajama Sets"/>
    <n v="10"/>
    <n v="25.9"/>
    <n v="259"/>
    <d v="2025-02-19T00:00:00"/>
    <d v="2025-02-25T00:00:00"/>
    <s v="M"/>
    <x v="4"/>
    <n v="4"/>
    <s v="California"/>
    <s v="San Mateo County"/>
    <n v="6"/>
    <n v="8"/>
    <x v="1"/>
  </r>
  <r>
    <s v="TX501312"/>
    <s v="Jeans"/>
    <n v="1"/>
    <n v="134.80000000000001"/>
    <n v="134.80000000000001"/>
    <d v="2025-02-19T00:00:00"/>
    <d v="2025-02-21T00:00:00"/>
    <s v="M"/>
    <x v="2"/>
    <n v="5"/>
    <s v="California"/>
    <s v="San Mateo County"/>
    <n v="2"/>
    <n v="8"/>
    <x v="1"/>
  </r>
  <r>
    <s v="TX501313"/>
    <s v="Crop Tops"/>
    <n v="5"/>
    <n v="43.1"/>
    <n v="215.5"/>
    <d v="2025-02-19T00:00:00"/>
    <d v="2025-02-21T00:00:00"/>
    <s v="F"/>
    <x v="0"/>
    <n v="4"/>
    <s v="California"/>
    <s v="Santa Clara County"/>
    <n v="2"/>
    <n v="8"/>
    <x v="2"/>
  </r>
  <r>
    <s v="TX501314"/>
    <s v="Sneakers"/>
    <n v="2"/>
    <n v="215.6"/>
    <n v="431.2"/>
    <d v="2025-02-19T00:00:00"/>
    <d v="2025-02-20T00:00:00"/>
    <s v="F"/>
    <x v="2"/>
    <n v="4"/>
    <s v="California"/>
    <s v="Sonoma County"/>
    <n v="1"/>
    <n v="8"/>
    <x v="2"/>
  </r>
  <r>
    <s v="TX501315"/>
    <s v="Jeans"/>
    <n v="2"/>
    <n v="80.7"/>
    <n v="161.4"/>
    <d v="2025-02-19T00:00:00"/>
    <d v="2025-02-22T00:00:00"/>
    <s v="F"/>
    <x v="3"/>
    <n v="4"/>
    <s v="California"/>
    <s v="Sonoma County"/>
    <n v="3"/>
    <n v="8"/>
    <x v="2"/>
  </r>
  <r>
    <s v="TX501316"/>
    <s v="Bikinis"/>
    <n v="7"/>
    <n v="20.6"/>
    <n v="144.20000000000002"/>
    <d v="2025-02-19T00:00:00"/>
    <d v="2025-02-24T00:00:00"/>
    <s v=""/>
    <x v="2"/>
    <n v="3"/>
    <s v="California"/>
    <s v="Stanislaus County"/>
    <n v="5"/>
    <n v="8"/>
    <x v="0"/>
  </r>
  <r>
    <s v="TX501317"/>
    <s v="Casual Dresses"/>
    <n v="3"/>
    <n v="37.1"/>
    <n v="111.30000000000001"/>
    <d v="2025-02-19T00:00:00"/>
    <d v="2025-02-20T00:00:00"/>
    <s v="F"/>
    <x v="0"/>
    <n v="4"/>
    <s v="California"/>
    <s v="Tuolumne County"/>
    <n v="1"/>
    <n v="8"/>
    <x v="2"/>
  </r>
  <r>
    <s v="TX501318"/>
    <s v="Casual Dresses"/>
    <n v="1"/>
    <n v="104.8"/>
    <n v="104.8"/>
    <d v="2025-02-20T00:00:00"/>
    <d v="2025-02-22T00:00:00"/>
    <s v="F"/>
    <x v="0"/>
    <n v="4"/>
    <s v="California"/>
    <s v="Ventura County"/>
    <n v="2"/>
    <n v="8"/>
    <x v="2"/>
  </r>
  <r>
    <s v="TX501319"/>
    <s v="T-Shirts"/>
    <n v="2"/>
    <n v="59"/>
    <n v="118"/>
    <d v="2025-02-20T00:00:00"/>
    <d v="2025-02-21T00:00:00"/>
    <s v="M"/>
    <x v="1"/>
    <n v="4"/>
    <s v="California"/>
    <s v="Alameda County"/>
    <n v="1"/>
    <n v="8"/>
    <x v="1"/>
  </r>
  <r>
    <s v="TX501320"/>
    <s v="T-Shirts"/>
    <n v="2"/>
    <n v="32.299999999999997"/>
    <n v="64.599999999999994"/>
    <d v="2025-02-20T00:00:00"/>
    <d v="2025-02-21T00:00:00"/>
    <s v="M"/>
    <x v="0"/>
    <n v="5"/>
    <s v="California"/>
    <s v="Alameda County"/>
    <n v="1"/>
    <n v="8"/>
    <x v="1"/>
  </r>
  <r>
    <s v="TX501321"/>
    <s v="T-Shirts"/>
    <n v="4"/>
    <n v="28.9"/>
    <n v="115.6"/>
    <d v="2025-02-20T00:00:00"/>
    <d v="2025-02-27T00:00:00"/>
    <s v="M"/>
    <x v="0"/>
    <n v="4"/>
    <s v="California"/>
    <s v="Contra Costa County"/>
    <n v="7"/>
    <n v="8"/>
    <x v="1"/>
  </r>
  <r>
    <s v="TX501322"/>
    <s v="Shorts"/>
    <n v="2"/>
    <n v="29.6"/>
    <n v="59.2"/>
    <d v="2025-02-20T00:00:00"/>
    <d v="2025-02-22T00:00:00"/>
    <s v="M"/>
    <x v="0"/>
    <n v="4"/>
    <s v="California"/>
    <s v="Contra Costa County"/>
    <n v="2"/>
    <n v="8"/>
    <x v="1"/>
  </r>
  <r>
    <s v="TX501323"/>
    <s v="Shorts"/>
    <n v="5"/>
    <n v="29.4"/>
    <n v="147"/>
    <d v="2025-02-20T00:00:00"/>
    <d v="2025-02-23T00:00:00"/>
    <s v="F"/>
    <x v="0"/>
    <n v="4"/>
    <s v="California"/>
    <s v="Contra Costa County"/>
    <n v="3"/>
    <n v="8"/>
    <x v="2"/>
  </r>
  <r>
    <s v="TX501324"/>
    <s v="Tank Tops"/>
    <n v="2"/>
    <n v="40.6"/>
    <n v="81.2"/>
    <d v="2025-02-20T00:00:00"/>
    <d v="2025-02-21T00:00:00"/>
    <s v="M"/>
    <x v="0"/>
    <n v="2"/>
    <s v="California"/>
    <s v="Fresno County"/>
    <n v="1"/>
    <n v="8"/>
    <x v="1"/>
  </r>
  <r>
    <s v="TX501325"/>
    <s v="Shorts"/>
    <n v="3"/>
    <n v="32.5"/>
    <n v="97.5"/>
    <d v="2025-02-20T00:00:00"/>
    <d v="2025-02-21T00:00:00"/>
    <s v="M"/>
    <x v="3"/>
    <n v="5"/>
    <s v="California"/>
    <s v="Kern County"/>
    <n v="1"/>
    <n v="8"/>
    <x v="1"/>
  </r>
  <r>
    <s v="TX501326"/>
    <s v="Crop Tops"/>
    <n v="1"/>
    <n v="26.2"/>
    <n v="26.2"/>
    <d v="2025-02-20T00:00:00"/>
    <d v="2025-02-22T00:00:00"/>
    <s v="M"/>
    <x v="2"/>
    <n v="4"/>
    <s v="California"/>
    <s v="Lassen County"/>
    <n v="2"/>
    <n v="8"/>
    <x v="1"/>
  </r>
  <r>
    <s v="TX501327"/>
    <s v="Bikinis"/>
    <n v="30"/>
    <n v="44"/>
    <n v="1320"/>
    <d v="2025-02-20T00:00:00"/>
    <d v="2025-02-26T00:00:00"/>
    <s v="M"/>
    <x v="4"/>
    <n v="4"/>
    <s v="California"/>
    <s v="Los Angeles County"/>
    <n v="6"/>
    <n v="8"/>
    <x v="1"/>
  </r>
  <r>
    <s v="TX501328"/>
    <s v="Hoodies &amp; Sweatshirts"/>
    <n v="4"/>
    <n v="65.599999999999994"/>
    <n v="262.39999999999998"/>
    <d v="2025-02-20T00:00:00"/>
    <d v="2025-02-21T00:00:00"/>
    <s v="F"/>
    <x v="1"/>
    <n v="3"/>
    <s v="California"/>
    <s v="Los Angeles County"/>
    <n v="1"/>
    <n v="8"/>
    <x v="2"/>
  </r>
  <r>
    <s v="TX501329"/>
    <s v="Sandals"/>
    <n v="12"/>
    <n v="32.6"/>
    <n v="391.20000000000005"/>
    <d v="2025-02-20T00:00:00"/>
    <d v="2025-02-21T00:00:00"/>
    <s v="M"/>
    <x v="4"/>
    <n v="4"/>
    <s v="California"/>
    <s v="Los Angeles County"/>
    <n v="1"/>
    <n v="8"/>
    <x v="1"/>
  </r>
  <r>
    <s v="TX501330"/>
    <s v="Sunglasses"/>
    <n v="2"/>
    <n v="88.7"/>
    <n v="177.4"/>
    <d v="2025-02-20T00:00:00"/>
    <d v="2025-02-21T00:00:00"/>
    <s v=""/>
    <x v="3"/>
    <n v="5"/>
    <s v="California"/>
    <s v="Los Angeles County"/>
    <n v="1"/>
    <n v="8"/>
    <x v="0"/>
  </r>
  <r>
    <s v="TX501331"/>
    <s v="Graphic Tees"/>
    <n v="2"/>
    <n v="21.3"/>
    <n v="42.6"/>
    <d v="2025-02-20T00:00:00"/>
    <d v="2025-02-21T00:00:00"/>
    <s v="M"/>
    <x v="0"/>
    <n v="4"/>
    <s v="California"/>
    <s v="Los Angeles County"/>
    <n v="1"/>
    <n v="8"/>
    <x v="1"/>
  </r>
  <r>
    <s v="TX501332"/>
    <s v="Graphic Tees"/>
    <n v="6"/>
    <n v="50.6"/>
    <n v="303.60000000000002"/>
    <d v="2025-02-20T00:00:00"/>
    <d v="2025-02-24T00:00:00"/>
    <s v="F"/>
    <x v="2"/>
    <n v="4"/>
    <s v="California"/>
    <s v="Los Angeles County"/>
    <n v="4"/>
    <n v="8"/>
    <x v="2"/>
  </r>
  <r>
    <s v="TX501333"/>
    <s v="Sundresses"/>
    <n v="21"/>
    <n v="86.9"/>
    <n v="1824.9"/>
    <d v="2025-02-20T00:00:00"/>
    <d v="2025-02-23T00:00:00"/>
    <s v="F"/>
    <x v="0"/>
    <n v="3"/>
    <s v="California"/>
    <s v="Los Angeles County"/>
    <n v="3"/>
    <n v="8"/>
    <x v="2"/>
  </r>
  <r>
    <s v="TX501334"/>
    <s v="Maxi Dresses"/>
    <n v="3"/>
    <n v="31.8"/>
    <n v="95.4"/>
    <d v="2025-02-20T00:00:00"/>
    <d v="2025-02-22T00:00:00"/>
    <s v="M"/>
    <x v="0"/>
    <n v="5"/>
    <s v="California"/>
    <s v="Los Angeles County"/>
    <n v="2"/>
    <n v="8"/>
    <x v="1"/>
  </r>
  <r>
    <s v="TX501335"/>
    <s v="T-Shirts"/>
    <n v="1"/>
    <n v="19"/>
    <n v="19"/>
    <d v="2025-02-20T00:00:00"/>
    <d v="2025-02-21T00:00:00"/>
    <s v="F"/>
    <x v="0"/>
    <n v="5"/>
    <s v="California"/>
    <s v="Los Angeles County"/>
    <n v="1"/>
    <n v="8"/>
    <x v="2"/>
  </r>
  <r>
    <s v="TX501336"/>
    <s v="Sandals"/>
    <n v="1"/>
    <n v="54.5"/>
    <n v="54.5"/>
    <d v="2025-02-20T00:00:00"/>
    <d v="2025-02-22T00:00:00"/>
    <s v="M"/>
    <x v="0"/>
    <n v="4"/>
    <s v="California"/>
    <s v="Los Angeles County"/>
    <n v="2"/>
    <n v="8"/>
    <x v="1"/>
  </r>
  <r>
    <s v="TX501337"/>
    <s v="Sundresses"/>
    <n v="5"/>
    <n v="68.900000000000006"/>
    <n v="344.5"/>
    <d v="2025-02-20T00:00:00"/>
    <d v="2025-02-22T00:00:00"/>
    <s v="M"/>
    <x v="4"/>
    <n v="3"/>
    <s v="California"/>
    <s v="Los Angeles County"/>
    <n v="2"/>
    <n v="8"/>
    <x v="1"/>
  </r>
  <r>
    <s v="TX501338"/>
    <s v="Jeans"/>
    <n v="3"/>
    <n v="84"/>
    <n v="252"/>
    <d v="2025-02-20T00:00:00"/>
    <d v="2025-02-21T00:00:00"/>
    <s v="M"/>
    <x v="1"/>
    <n v="2"/>
    <s v="California"/>
    <s v="Napa County"/>
    <n v="1"/>
    <n v="8"/>
    <x v="1"/>
  </r>
  <r>
    <s v="TX501339"/>
    <s v="Crop Tops"/>
    <n v="8"/>
    <n v="23.1"/>
    <n v="184.8"/>
    <d v="2025-02-20T00:00:00"/>
    <d v="2025-02-25T00:00:00"/>
    <s v="M"/>
    <x v="0"/>
    <n v="5"/>
    <s v="California"/>
    <s v="Riverside County"/>
    <n v="5"/>
    <n v="8"/>
    <x v="1"/>
  </r>
  <r>
    <s v="TX501340"/>
    <s v="Hoodies &amp; Sweatshirts"/>
    <n v="2"/>
    <n v="62.4"/>
    <n v="124.8"/>
    <d v="2025-02-20T00:00:00"/>
    <d v="2025-02-21T00:00:00"/>
    <s v="F"/>
    <x v="0"/>
    <n v="3"/>
    <s v="California"/>
    <s v="Sacramento County"/>
    <n v="1"/>
    <n v="8"/>
    <x v="2"/>
  </r>
  <r>
    <s v="TX501341"/>
    <s v="Jeans"/>
    <n v="12"/>
    <n v="40.700000000000003"/>
    <n v="488.40000000000003"/>
    <d v="2025-02-20T00:00:00"/>
    <d v="2025-02-22T00:00:00"/>
    <s v="M"/>
    <x v="1"/>
    <n v="5"/>
    <s v="California"/>
    <s v="Sacramento County"/>
    <n v="2"/>
    <n v="8"/>
    <x v="1"/>
  </r>
  <r>
    <s v="TX501342"/>
    <s v="Jeans"/>
    <n v="1"/>
    <n v="49.6"/>
    <n v="49.6"/>
    <d v="2025-02-20T00:00:00"/>
    <d v="2025-02-23T00:00:00"/>
    <s v="M"/>
    <x v="2"/>
    <n v="4"/>
    <s v="California"/>
    <s v="San Bernardino County"/>
    <n v="3"/>
    <n v="8"/>
    <x v="1"/>
  </r>
  <r>
    <s v="TX501343"/>
    <s v="Hoodies &amp; Sweatshirts"/>
    <n v="45"/>
    <n v="66.599999999999994"/>
    <n v="2996.9999999999995"/>
    <d v="2025-02-20T00:00:00"/>
    <d v="2025-02-23T00:00:00"/>
    <s v="M"/>
    <x v="2"/>
    <n v="4"/>
    <s v="California"/>
    <s v="San Diego County"/>
    <n v="3"/>
    <n v="8"/>
    <x v="1"/>
  </r>
  <r>
    <s v="TX501344"/>
    <s v="T-Shirts"/>
    <n v="3"/>
    <n v="26.4"/>
    <n v="79.199999999999989"/>
    <d v="2025-02-20T00:00:00"/>
    <d v="2025-02-21T00:00:00"/>
    <s v="F"/>
    <x v="1"/>
    <n v="3"/>
    <s v="California"/>
    <s v="San Diego County"/>
    <n v="1"/>
    <n v="8"/>
    <x v="2"/>
  </r>
  <r>
    <s v="TX501345"/>
    <s v="Shorts"/>
    <n v="2"/>
    <n v="17.2"/>
    <n v="34.4"/>
    <d v="2025-02-20T00:00:00"/>
    <d v="2025-02-23T00:00:00"/>
    <s v="M"/>
    <x v="2"/>
    <n v="3"/>
    <s v="California"/>
    <s v="San Diego County"/>
    <n v="3"/>
    <n v="8"/>
    <x v="1"/>
  </r>
  <r>
    <s v="TX501346"/>
    <s v="Sandals"/>
    <n v="8"/>
    <n v="58.1"/>
    <n v="464.8"/>
    <d v="2025-02-20T00:00:00"/>
    <d v="2025-02-23T00:00:00"/>
    <s v="F"/>
    <x v="4"/>
    <n v="4"/>
    <s v="California"/>
    <s v="San Diego County"/>
    <n v="3"/>
    <n v="8"/>
    <x v="2"/>
  </r>
  <r>
    <s v="TX501347"/>
    <s v="Crop Tops"/>
    <n v="4"/>
    <n v="31.5"/>
    <n v="126"/>
    <d v="2025-02-20T00:00:00"/>
    <d v="2025-02-23T00:00:00"/>
    <s v="F"/>
    <x v="4"/>
    <n v="2"/>
    <s v="California"/>
    <s v="San Diego County"/>
    <n v="3"/>
    <n v="8"/>
    <x v="2"/>
  </r>
  <r>
    <s v="TX501348"/>
    <s v="Shorts"/>
    <n v="1"/>
    <n v="27.1"/>
    <n v="27.1"/>
    <d v="2025-02-20T00:00:00"/>
    <d v="2025-02-22T00:00:00"/>
    <s v="F"/>
    <x v="0"/>
    <n v="3"/>
    <s v="California"/>
    <s v="San Francisco"/>
    <n v="2"/>
    <n v="8"/>
    <x v="2"/>
  </r>
  <r>
    <s v="TX501349"/>
    <s v="Leggings"/>
    <n v="4"/>
    <n v="28.5"/>
    <n v="114"/>
    <d v="2025-02-20T00:00:00"/>
    <d v="2025-02-22T00:00:00"/>
    <s v="M"/>
    <x v="1"/>
    <n v="5"/>
    <s v="California"/>
    <s v="San Mateo County"/>
    <n v="2"/>
    <n v="8"/>
    <x v="1"/>
  </r>
  <r>
    <s v="TX501350"/>
    <s v="Bikinis"/>
    <n v="1"/>
    <n v="40.5"/>
    <n v="40.5"/>
    <d v="2025-02-21T00:00:00"/>
    <d v="2025-02-23T00:00:00"/>
    <s v="O"/>
    <x v="2"/>
    <n v="4"/>
    <s v="California"/>
    <s v="San Mateo County"/>
    <n v="2"/>
    <n v="8"/>
    <x v="3"/>
  </r>
  <r>
    <s v="TX501351"/>
    <s v="Sneakers"/>
    <n v="3"/>
    <n v="77.900000000000006"/>
    <n v="233.70000000000002"/>
    <d v="2025-02-21T00:00:00"/>
    <d v="2025-02-25T00:00:00"/>
    <s v="F"/>
    <x v="1"/>
    <n v="5"/>
    <s v="California"/>
    <s v="Stanislaus County"/>
    <n v="4"/>
    <n v="8"/>
    <x v="2"/>
  </r>
  <r>
    <s v="TX501352"/>
    <s v="Leggings"/>
    <n v="4"/>
    <n v="37.1"/>
    <n v="148.4"/>
    <d v="2025-02-21T00:00:00"/>
    <d v="2025-02-23T00:00:00"/>
    <s v="M"/>
    <x v="4"/>
    <n v="5"/>
    <s v="California"/>
    <s v="Stanislaus County"/>
    <n v="2"/>
    <n v="8"/>
    <x v="1"/>
  </r>
  <r>
    <s v="TX501353"/>
    <s v="Sunglasses"/>
    <n v="3"/>
    <n v="51.6"/>
    <n v="154.80000000000001"/>
    <d v="2025-02-21T00:00:00"/>
    <d v="2025-03-01T00:00:00"/>
    <s v="F"/>
    <x v="0"/>
    <n v="2"/>
    <s v="California"/>
    <s v="Stanislaus County"/>
    <n v="8"/>
    <n v="8"/>
    <x v="2"/>
  </r>
  <r>
    <s v="TX501354"/>
    <s v="Hoodies &amp; Sweatshirts"/>
    <n v="3"/>
    <n v="98"/>
    <n v="294"/>
    <d v="2025-02-21T00:00:00"/>
    <d v="2025-02-22T00:00:00"/>
    <s v="M"/>
    <x v="1"/>
    <n v="3"/>
    <s v="California"/>
    <s v="Stanislaus County"/>
    <n v="1"/>
    <n v="8"/>
    <x v="1"/>
  </r>
  <r>
    <s v="TX501355"/>
    <s v="Jeans"/>
    <n v="7"/>
    <n v="41.4"/>
    <n v="289.8"/>
    <d v="2025-02-21T00:00:00"/>
    <d v="2025-02-22T00:00:00"/>
    <s v="M"/>
    <x v="1"/>
    <n v="4"/>
    <s v="California"/>
    <s v="Tulare County"/>
    <n v="1"/>
    <n v="8"/>
    <x v="1"/>
  </r>
  <r>
    <s v="TX501356"/>
    <s v="Maxi Dresses"/>
    <n v="8"/>
    <n v="34"/>
    <n v="272"/>
    <d v="2025-02-21T00:00:00"/>
    <d v="2025-02-26T00:00:00"/>
    <s v="F"/>
    <x v="0"/>
    <n v="5"/>
    <s v="California"/>
    <s v="Tuolumne County"/>
    <n v="5"/>
    <n v="8"/>
    <x v="2"/>
  </r>
  <r>
    <s v="TX501357"/>
    <s v="Jeans"/>
    <n v="1"/>
    <n v="66.3"/>
    <n v="66.3"/>
    <d v="2025-02-21T00:00:00"/>
    <d v="2025-02-22T00:00:00"/>
    <s v="F"/>
    <x v="1"/>
    <n v="4"/>
    <s v="California"/>
    <s v="Ventura County"/>
    <n v="1"/>
    <n v="8"/>
    <x v="2"/>
  </r>
  <r>
    <s v="TX501358"/>
    <s v="Hoodies &amp; Sweatshirts"/>
    <n v="1"/>
    <n v="33.5"/>
    <n v="33.5"/>
    <d v="2025-02-21T00:00:00"/>
    <d v="2025-02-25T00:00:00"/>
    <s v="M"/>
    <x v="2"/>
    <n v="4"/>
    <s v="California"/>
    <s v="Ventura County"/>
    <n v="4"/>
    <n v="8"/>
    <x v="1"/>
  </r>
  <r>
    <s v="TX501359"/>
    <s v="Casual Dresses"/>
    <n v="2"/>
    <n v="70.8"/>
    <n v="141.6"/>
    <d v="2025-02-21T00:00:00"/>
    <d v="2025-02-22T00:00:00"/>
    <s v=""/>
    <x v="0"/>
    <n v="4"/>
    <s v="California"/>
    <s v="Yolo County"/>
    <n v="1"/>
    <n v="8"/>
    <x v="0"/>
  </r>
  <r>
    <s v="TX501360"/>
    <s v="Jeans"/>
    <n v="2"/>
    <n v="127.6"/>
    <n v="255.2"/>
    <d v="2025-02-21T00:00:00"/>
    <d v="2025-02-22T00:00:00"/>
    <s v="M"/>
    <x v="0"/>
    <n v="4"/>
    <s v="California"/>
    <s v="Alameda County"/>
    <n v="1"/>
    <n v="8"/>
    <x v="1"/>
  </r>
  <r>
    <s v="TX501361"/>
    <s v="Jeans"/>
    <n v="3"/>
    <n v="95.9"/>
    <n v="287.70000000000005"/>
    <d v="2025-02-21T00:00:00"/>
    <d v="2025-02-22T00:00:00"/>
    <s v="F"/>
    <x v="1"/>
    <n v="3"/>
    <s v="California"/>
    <s v="Alameda County"/>
    <n v="1"/>
    <n v="8"/>
    <x v="2"/>
  </r>
  <r>
    <s v="TX501362"/>
    <s v="Sneakers"/>
    <n v="2"/>
    <n v="78.099999999999994"/>
    <n v="156.19999999999999"/>
    <d v="2025-02-21T00:00:00"/>
    <d v="2025-02-22T00:00:00"/>
    <s v="M"/>
    <x v="0"/>
    <n v="4"/>
    <s v="California"/>
    <s v="Contra Costa County"/>
    <n v="1"/>
    <n v="8"/>
    <x v="1"/>
  </r>
  <r>
    <s v="TX501363"/>
    <s v="Tote Bags"/>
    <n v="2"/>
    <n v="43.2"/>
    <n v="86.4"/>
    <d v="2025-02-21T00:00:00"/>
    <d v="2025-02-22T00:00:00"/>
    <s v=""/>
    <x v="1"/>
    <n v="3"/>
    <s v="California"/>
    <s v="Contra Costa County"/>
    <n v="1"/>
    <n v="8"/>
    <x v="0"/>
  </r>
  <r>
    <s v="TX501364"/>
    <s v="T-Shirts"/>
    <n v="4"/>
    <n v="28.4"/>
    <n v="113.6"/>
    <d v="2025-02-21T00:00:00"/>
    <d v="2025-02-27T00:00:00"/>
    <s v="M"/>
    <x v="2"/>
    <n v="4"/>
    <s v="California"/>
    <s v="Los Angeles County"/>
    <n v="6"/>
    <n v="8"/>
    <x v="1"/>
  </r>
  <r>
    <s v="TX501365"/>
    <s v="Sneakers"/>
    <n v="2"/>
    <n v="81.7"/>
    <n v="163.4"/>
    <d v="2025-02-21T00:00:00"/>
    <d v="2025-02-21T00:00:00"/>
    <s v="M"/>
    <x v="0"/>
    <n v="4"/>
    <s v="California"/>
    <s v="Los Angeles County"/>
    <n v="0"/>
    <n v="8"/>
    <x v="1"/>
  </r>
  <r>
    <s v="TX501366"/>
    <s v="Leggings"/>
    <n v="2"/>
    <n v="56.7"/>
    <n v="113.4"/>
    <d v="2025-02-21T00:00:00"/>
    <d v="2025-02-23T00:00:00"/>
    <s v=""/>
    <x v="0"/>
    <n v="5"/>
    <s v="California"/>
    <s v="Los Angeles County"/>
    <n v="2"/>
    <n v="8"/>
    <x v="0"/>
  </r>
  <r>
    <s v="TX501367"/>
    <s v="Workout Tops"/>
    <n v="4"/>
    <n v="66.5"/>
    <n v="266"/>
    <d v="2025-02-21T00:00:00"/>
    <d v="2025-02-21T00:00:00"/>
    <s v="F"/>
    <x v="0"/>
    <n v="5"/>
    <s v="California"/>
    <s v="Los Angeles County"/>
    <n v="0"/>
    <n v="8"/>
    <x v="2"/>
  </r>
  <r>
    <s v="TX501368"/>
    <s v="Tank Tops"/>
    <n v="2"/>
    <n v="105.3"/>
    <n v="210.6"/>
    <d v="2025-02-21T00:00:00"/>
    <d v="2025-02-25T00:00:00"/>
    <s v="M"/>
    <x v="0"/>
    <n v="3"/>
    <s v="California"/>
    <s v="Los Angeles County"/>
    <n v="4"/>
    <n v="8"/>
    <x v="1"/>
  </r>
  <r>
    <s v="TX501369"/>
    <s v="Bikinis"/>
    <n v="5"/>
    <n v="33.799999999999997"/>
    <n v="169"/>
    <d v="2025-02-21T00:00:00"/>
    <d v="2025-02-26T00:00:00"/>
    <s v="M"/>
    <x v="0"/>
    <n v="4"/>
    <s v="California"/>
    <s v="Los Angeles County"/>
    <n v="5"/>
    <n v="8"/>
    <x v="1"/>
  </r>
  <r>
    <s v="TX501370"/>
    <s v="Jeans"/>
    <n v="3"/>
    <n v="63.4"/>
    <n v="190.2"/>
    <d v="2025-02-21T00:00:00"/>
    <d v="2025-02-26T00:00:00"/>
    <s v="M"/>
    <x v="3"/>
    <n v="3"/>
    <s v="California"/>
    <s v="Merced County"/>
    <n v="5"/>
    <n v="8"/>
    <x v="1"/>
  </r>
  <r>
    <s v="TX501371"/>
    <s v="Jeans"/>
    <n v="3"/>
    <n v="49"/>
    <n v="147"/>
    <d v="2025-02-21T00:00:00"/>
    <d v="2025-02-25T00:00:00"/>
    <s v="M"/>
    <x v="3"/>
    <n v="4"/>
    <s v="California"/>
    <s v="Monterey County"/>
    <n v="4"/>
    <n v="8"/>
    <x v="1"/>
  </r>
  <r>
    <s v="TX501372"/>
    <s v="Tank Tops"/>
    <n v="2"/>
    <n v="40"/>
    <n v="80"/>
    <d v="2025-02-21T00:00:00"/>
    <d v="2025-02-22T00:00:00"/>
    <s v="F"/>
    <x v="4"/>
    <n v="3"/>
    <s v="California"/>
    <s v="Riverside County"/>
    <n v="1"/>
    <n v="8"/>
    <x v="2"/>
  </r>
  <r>
    <s v="TX501373"/>
    <s v="Jeans"/>
    <n v="4"/>
    <n v="86.3"/>
    <n v="345.2"/>
    <d v="2025-02-21T00:00:00"/>
    <d v="2025-02-22T00:00:00"/>
    <s v="O"/>
    <x v="0"/>
    <n v="4"/>
    <s v="California"/>
    <s v="Sacramento County"/>
    <n v="1"/>
    <n v="8"/>
    <x v="3"/>
  </r>
  <r>
    <s v="TX501374"/>
    <s v="Jeans"/>
    <n v="1"/>
    <n v="51.6"/>
    <n v="51.6"/>
    <d v="2025-02-21T00:00:00"/>
    <d v="2025-02-23T00:00:00"/>
    <s v="F"/>
    <x v="2"/>
    <n v="5"/>
    <s v="California"/>
    <s v="Sacramento County"/>
    <n v="2"/>
    <n v="8"/>
    <x v="2"/>
  </r>
  <r>
    <s v="TX501375"/>
    <s v="Bikinis"/>
    <n v="3"/>
    <n v="26.7"/>
    <n v="80.099999999999994"/>
    <d v="2025-02-21T00:00:00"/>
    <d v="2025-02-26T00:00:00"/>
    <s v="F"/>
    <x v="2"/>
    <n v="3"/>
    <s v="California"/>
    <s v="Sacramento County"/>
    <n v="5"/>
    <n v="8"/>
    <x v="2"/>
  </r>
  <r>
    <s v="TX501376"/>
    <s v="Leggings"/>
    <n v="2"/>
    <n v="68.099999999999994"/>
    <n v="136.19999999999999"/>
    <d v="2025-02-21T00:00:00"/>
    <d v="2025-02-22T00:00:00"/>
    <s v="M"/>
    <x v="0"/>
    <n v="3"/>
    <s v="California"/>
    <s v="Sacramento County"/>
    <n v="1"/>
    <n v="8"/>
    <x v="1"/>
  </r>
  <r>
    <s v="TX501377"/>
    <s v="Tank Tops"/>
    <n v="1"/>
    <n v="81.7"/>
    <n v="81.7"/>
    <d v="2025-02-21T00:00:00"/>
    <d v="2025-02-22T00:00:00"/>
    <s v="M"/>
    <x v="0"/>
    <n v="4"/>
    <s v="California"/>
    <s v="San Bernardino County"/>
    <n v="1"/>
    <n v="8"/>
    <x v="1"/>
  </r>
  <r>
    <s v="TX501378"/>
    <s v="Leggings"/>
    <n v="10"/>
    <n v="25.1"/>
    <n v="251"/>
    <d v="2025-02-21T00:00:00"/>
    <d v="2025-02-24T00:00:00"/>
    <s v="M"/>
    <x v="3"/>
    <n v="3"/>
    <s v="California"/>
    <s v="San Diego County"/>
    <n v="3"/>
    <n v="8"/>
    <x v="1"/>
  </r>
  <r>
    <s v="TX501379"/>
    <s v="T-Shirts"/>
    <n v="1"/>
    <n v="20.2"/>
    <n v="20.2"/>
    <d v="2025-02-21T00:00:00"/>
    <d v="2025-02-25T00:00:00"/>
    <s v="F"/>
    <x v="0"/>
    <n v="4"/>
    <s v="California"/>
    <s v="San Diego County"/>
    <n v="4"/>
    <n v="8"/>
    <x v="2"/>
  </r>
  <r>
    <s v="TX501380"/>
    <s v="T-Shirts"/>
    <n v="3"/>
    <n v="15.4"/>
    <n v="46.2"/>
    <d v="2025-02-21T00:00:00"/>
    <d v="2025-02-22T00:00:00"/>
    <s v="M"/>
    <x v="1"/>
    <n v="5"/>
    <s v="California"/>
    <s v="San Diego County"/>
    <n v="1"/>
    <n v="8"/>
    <x v="1"/>
  </r>
  <r>
    <s v="TX501381"/>
    <s v="Bikinis"/>
    <n v="1"/>
    <n v="59.2"/>
    <n v="59.2"/>
    <d v="2025-02-21T00:00:00"/>
    <d v="2025-02-22T00:00:00"/>
    <s v="M"/>
    <x v="2"/>
    <n v="5"/>
    <s v="California"/>
    <s v="San Francisco"/>
    <n v="1"/>
    <n v="8"/>
    <x v="1"/>
  </r>
  <r>
    <s v="TX501382"/>
    <s v="Shorts"/>
    <n v="1"/>
    <n v="46.7"/>
    <n v="46.7"/>
    <d v="2025-02-21T00:00:00"/>
    <d v="2025-02-26T00:00:00"/>
    <s v="M"/>
    <x v="0"/>
    <n v="4"/>
    <s v="California"/>
    <s v="San Francisco"/>
    <n v="5"/>
    <n v="8"/>
    <x v="1"/>
  </r>
  <r>
    <s v="TX501383"/>
    <s v="Jeans"/>
    <n v="15"/>
    <n v="41.6"/>
    <n v="624"/>
    <d v="2025-02-21T00:00:00"/>
    <d v="2025-02-23T00:00:00"/>
    <s v="M"/>
    <x v="1"/>
    <n v="4"/>
    <s v="California"/>
    <s v="San Joaquin County"/>
    <n v="2"/>
    <n v="8"/>
    <x v="1"/>
  </r>
  <r>
    <s v="TX501384"/>
    <s v="T-Shirts"/>
    <n v="2"/>
    <n v="19.2"/>
    <n v="38.4"/>
    <d v="2025-02-21T00:00:00"/>
    <d v="2025-02-24T00:00:00"/>
    <s v="M"/>
    <x v="4"/>
    <n v="5"/>
    <s v="California"/>
    <s v="San Mateo County"/>
    <n v="3"/>
    <n v="8"/>
    <x v="1"/>
  </r>
  <r>
    <s v="TX501385"/>
    <s v="Pajama Sets"/>
    <n v="7"/>
    <n v="41.8"/>
    <n v="292.59999999999997"/>
    <d v="2025-02-21T00:00:00"/>
    <d v="2025-02-23T00:00:00"/>
    <s v="F"/>
    <x v="2"/>
    <n v="4"/>
    <s v="California"/>
    <s v="Santa Clara County"/>
    <n v="2"/>
    <n v="8"/>
    <x v="2"/>
  </r>
  <r>
    <s v="TX501386"/>
    <s v="T-Shirts"/>
    <n v="6"/>
    <n v="37.4"/>
    <n v="224.39999999999998"/>
    <d v="2025-02-21T00:00:00"/>
    <d v="2025-02-23T00:00:00"/>
    <s v="M"/>
    <x v="0"/>
    <n v="5"/>
    <s v="California"/>
    <s v="Santa Clara County"/>
    <n v="2"/>
    <n v="8"/>
    <x v="1"/>
  </r>
  <r>
    <s v="TX501387"/>
    <s v="Bikinis"/>
    <n v="3"/>
    <n v="60.2"/>
    <n v="180.60000000000002"/>
    <d v="2025-02-21T00:00:00"/>
    <d v="2025-02-24T00:00:00"/>
    <s v="M"/>
    <x v="4"/>
    <n v="3"/>
    <s v="California"/>
    <s v="Solano County"/>
    <n v="3"/>
    <n v="8"/>
    <x v="1"/>
  </r>
  <r>
    <s v="TX501388"/>
    <s v="Sundresses"/>
    <n v="2"/>
    <n v="91.5"/>
    <n v="183"/>
    <d v="2025-02-22T00:00:00"/>
    <d v="2025-02-23T00:00:00"/>
    <s v="M"/>
    <x v="0"/>
    <n v="4"/>
    <s v="California"/>
    <s v="Ventura County"/>
    <n v="1"/>
    <n v="8"/>
    <x v="1"/>
  </r>
  <r>
    <s v="TX501389"/>
    <s v="Workout Tops"/>
    <n v="5"/>
    <n v="55.7"/>
    <n v="278.5"/>
    <d v="2025-02-22T00:00:00"/>
    <d v="2025-02-24T00:00:00"/>
    <s v=""/>
    <x v="1"/>
    <n v="5"/>
    <s v="California"/>
    <s v="Alameda County"/>
    <n v="2"/>
    <n v="8"/>
    <x v="0"/>
  </r>
  <r>
    <s v="TX501390"/>
    <s v="Hoodies &amp; Sweatshirts"/>
    <n v="2"/>
    <n v="76.7"/>
    <n v="153.4"/>
    <d v="2025-02-22T00:00:00"/>
    <d v="2025-02-24T00:00:00"/>
    <s v="M"/>
    <x v="0"/>
    <n v="3"/>
    <s v="California"/>
    <s v="Alameda County"/>
    <n v="2"/>
    <n v="8"/>
    <x v="1"/>
  </r>
  <r>
    <s v="TX501391"/>
    <s v="T-Shirts"/>
    <n v="21"/>
    <n v="28.2"/>
    <n v="592.19999999999993"/>
    <d v="2025-02-22T00:00:00"/>
    <d v="2025-02-27T00:00:00"/>
    <s v="M"/>
    <x v="2"/>
    <n v="4"/>
    <s v="California"/>
    <s v="Contra Costa County"/>
    <n v="5"/>
    <n v="8"/>
    <x v="1"/>
  </r>
  <r>
    <s v="TX501392"/>
    <s v="Hoodies &amp; Sweatshirts"/>
    <n v="5"/>
    <n v="93.2"/>
    <n v="466"/>
    <d v="2025-02-22T00:00:00"/>
    <d v="2025-02-24T00:00:00"/>
    <s v="F"/>
    <x v="4"/>
    <n v="5"/>
    <s v="California"/>
    <s v="Contra Costa County"/>
    <n v="2"/>
    <n v="8"/>
    <x v="2"/>
  </r>
  <r>
    <s v="TX501393"/>
    <s v="Pajama Sets"/>
    <n v="1"/>
    <n v="33.299999999999997"/>
    <n v="33.299999999999997"/>
    <d v="2025-02-22T00:00:00"/>
    <d v="2025-02-23T00:00:00"/>
    <s v="M"/>
    <x v="4"/>
    <n v="4"/>
    <s v="California"/>
    <s v="Fresno County"/>
    <n v="1"/>
    <n v="8"/>
    <x v="1"/>
  </r>
  <r>
    <s v="TX501394"/>
    <s v="Bikinis"/>
    <n v="2"/>
    <n v="39.1"/>
    <n v="78.2"/>
    <d v="2025-02-22T00:00:00"/>
    <d v="2025-02-25T00:00:00"/>
    <s v="M"/>
    <x v="0"/>
    <n v="4"/>
    <s v="California"/>
    <s v="Humboldt County"/>
    <n v="3"/>
    <n v="8"/>
    <x v="1"/>
  </r>
  <r>
    <s v="TX501395"/>
    <s v="Hoodies &amp; Sweatshirts"/>
    <n v="12"/>
    <n v="45.3"/>
    <n v="543.59999999999991"/>
    <d v="2025-02-22T00:00:00"/>
    <d v="2025-02-23T00:00:00"/>
    <s v="M"/>
    <x v="2"/>
    <n v="4"/>
    <s v="California"/>
    <s v="Imperial County"/>
    <n v="1"/>
    <n v="8"/>
    <x v="1"/>
  </r>
  <r>
    <s v="TX501396"/>
    <s v="Sundresses"/>
    <n v="7"/>
    <n v="33.9"/>
    <n v="237.29999999999998"/>
    <d v="2025-02-22T00:00:00"/>
    <d v="2025-02-23T00:00:00"/>
    <s v="M"/>
    <x v="4"/>
    <n v="4"/>
    <s v="California"/>
    <s v="Imperial County"/>
    <n v="1"/>
    <n v="8"/>
    <x v="1"/>
  </r>
  <r>
    <s v="TX501397"/>
    <s v="T-Shirts"/>
    <n v="3"/>
    <n v="19"/>
    <n v="57"/>
    <d v="2025-02-22T00:00:00"/>
    <d v="2025-02-23T00:00:00"/>
    <s v="M"/>
    <x v="0"/>
    <n v="5"/>
    <s v="California"/>
    <s v="Inyo County"/>
    <n v="1"/>
    <n v="8"/>
    <x v="1"/>
  </r>
  <r>
    <s v="TX501398"/>
    <s v="Graphic Tees"/>
    <n v="1"/>
    <n v="41.9"/>
    <n v="41.9"/>
    <d v="2025-02-22T00:00:00"/>
    <d v="2025-02-25T00:00:00"/>
    <s v="F"/>
    <x v="2"/>
    <n v="4"/>
    <s v="California"/>
    <s v="Kern County"/>
    <n v="3"/>
    <n v="8"/>
    <x v="2"/>
  </r>
  <r>
    <s v="TX501399"/>
    <s v="Tank Tops"/>
    <n v="4"/>
    <n v="37.5"/>
    <n v="150"/>
    <d v="2025-02-22T00:00:00"/>
    <d v="2025-02-22T00:00:00"/>
    <s v="F"/>
    <x v="0"/>
    <n v="4"/>
    <s v="California"/>
    <s v="Los Angeles County"/>
    <n v="0"/>
    <n v="8"/>
    <x v="2"/>
  </r>
  <r>
    <s v="TX501400"/>
    <s v="Shorts"/>
    <n v="2"/>
    <n v="40.799999999999997"/>
    <n v="81.599999999999994"/>
    <d v="2025-02-22T00:00:00"/>
    <d v="2025-02-25T00:00:00"/>
    <s v="M"/>
    <x v="0"/>
    <n v="4"/>
    <s v="California"/>
    <s v="Los Angeles County"/>
    <n v="3"/>
    <n v="8"/>
    <x v="1"/>
  </r>
  <r>
    <s v="TX501401"/>
    <s v="Shorts"/>
    <n v="4"/>
    <n v="23.1"/>
    <n v="92.4"/>
    <d v="2025-02-22T00:00:00"/>
    <d v="2025-02-23T00:00:00"/>
    <s v="F"/>
    <x v="4"/>
    <n v="4"/>
    <s v="California"/>
    <s v="Los Angeles County"/>
    <n v="1"/>
    <n v="8"/>
    <x v="2"/>
  </r>
  <r>
    <s v="TX501402"/>
    <s v="T-Shirts"/>
    <n v="5"/>
    <n v="39.299999999999997"/>
    <n v="196.5"/>
    <d v="2025-02-22T00:00:00"/>
    <d v="2025-02-23T00:00:00"/>
    <s v="F"/>
    <x v="0"/>
    <n v="4"/>
    <s v="California"/>
    <s v="Los Angeles County"/>
    <n v="1"/>
    <n v="8"/>
    <x v="2"/>
  </r>
  <r>
    <s v="TX501403"/>
    <s v="Sneakers"/>
    <n v="4"/>
    <n v="85.2"/>
    <n v="340.8"/>
    <d v="2025-02-22T00:00:00"/>
    <d v="2025-02-27T00:00:00"/>
    <s v="M"/>
    <x v="2"/>
    <n v="4"/>
    <s v="California"/>
    <s v="Los Angeles County"/>
    <n v="5"/>
    <n v="8"/>
    <x v="1"/>
  </r>
  <r>
    <s v="TX501404"/>
    <s v="T-Shirts"/>
    <n v="6"/>
    <n v="16"/>
    <n v="96"/>
    <d v="2025-02-22T00:00:00"/>
    <d v="2025-02-25T00:00:00"/>
    <s v="M"/>
    <x v="1"/>
    <n v="4"/>
    <s v="California"/>
    <s v="Los Angeles County"/>
    <n v="3"/>
    <n v="8"/>
    <x v="1"/>
  </r>
  <r>
    <s v="TX501405"/>
    <s v="Tank Tops"/>
    <n v="2"/>
    <n v="33.799999999999997"/>
    <n v="67.599999999999994"/>
    <d v="2025-02-22T00:00:00"/>
    <d v="2025-02-26T00:00:00"/>
    <s v="F"/>
    <x v="1"/>
    <n v="4"/>
    <s v="California"/>
    <s v="Los Angeles County"/>
    <n v="4"/>
    <n v="8"/>
    <x v="2"/>
  </r>
  <r>
    <s v="TX501406"/>
    <s v="Workout Tops"/>
    <n v="1"/>
    <n v="70"/>
    <n v="70"/>
    <d v="2025-02-22T00:00:00"/>
    <d v="2025-02-23T00:00:00"/>
    <s v="F"/>
    <x v="0"/>
    <n v="4"/>
    <s v="California"/>
    <s v="Los Angeles County"/>
    <n v="1"/>
    <n v="8"/>
    <x v="2"/>
  </r>
  <r>
    <s v="TX501407"/>
    <s v="Sundresses"/>
    <n v="1"/>
    <n v="88"/>
    <n v="88"/>
    <d v="2025-02-22T00:00:00"/>
    <d v="2025-02-27T00:00:00"/>
    <s v="F"/>
    <x v="3"/>
    <n v="4"/>
    <s v="California"/>
    <s v="Los Angeles County"/>
    <n v="5"/>
    <n v="8"/>
    <x v="2"/>
  </r>
  <r>
    <s v="TX501408"/>
    <s v="Sneakers"/>
    <n v="3"/>
    <n v="74.099999999999994"/>
    <n v="222.29999999999998"/>
    <d v="2025-02-22T00:00:00"/>
    <d v="2025-02-22T00:00:00"/>
    <s v="M"/>
    <x v="4"/>
    <n v="3"/>
    <s v="California"/>
    <s v="Los Angeles County"/>
    <n v="0"/>
    <n v="8"/>
    <x v="1"/>
  </r>
  <r>
    <s v="TX501409"/>
    <s v="Sneakers"/>
    <n v="1"/>
    <n v="161.9"/>
    <n v="161.9"/>
    <d v="2025-02-22T00:00:00"/>
    <d v="2025-02-24T00:00:00"/>
    <s v="M"/>
    <x v="2"/>
    <n v="4"/>
    <s v="California"/>
    <s v="Los Angeles County"/>
    <n v="2"/>
    <n v="8"/>
    <x v="1"/>
  </r>
  <r>
    <s v="TX501410"/>
    <s v="Graphic Tees"/>
    <n v="2"/>
    <n v="44"/>
    <n v="88"/>
    <d v="2025-02-22T00:00:00"/>
    <d v="2025-02-23T00:00:00"/>
    <s v="O"/>
    <x v="4"/>
    <n v="3"/>
    <s v="California"/>
    <s v="Los Angeles County"/>
    <n v="1"/>
    <n v="8"/>
    <x v="3"/>
  </r>
  <r>
    <s v="TX501411"/>
    <s v="Maxi Dresses"/>
    <n v="1"/>
    <n v="32.1"/>
    <n v="32.1"/>
    <d v="2025-02-22T00:00:00"/>
    <d v="2025-02-22T00:00:00"/>
    <s v="F"/>
    <x v="3"/>
    <n v="1"/>
    <s v="California"/>
    <s v="Los Angeles County"/>
    <n v="0"/>
    <n v="8"/>
    <x v="2"/>
  </r>
  <r>
    <s v="TX501412"/>
    <s v="Sneakers"/>
    <n v="4"/>
    <n v="104.8"/>
    <n v="419.2"/>
    <d v="2025-02-23T00:00:00"/>
    <d v="2025-02-25T00:00:00"/>
    <s v="O"/>
    <x v="0"/>
    <n v="4"/>
    <s v="California"/>
    <s v="Los Angeles County"/>
    <n v="2"/>
    <n v="9"/>
    <x v="3"/>
  </r>
  <r>
    <s v="TX501413"/>
    <s v="Sundresses"/>
    <n v="6"/>
    <n v="67.400000000000006"/>
    <n v="404.40000000000003"/>
    <d v="2025-02-23T00:00:00"/>
    <d v="2025-02-24T00:00:00"/>
    <s v="F"/>
    <x v="3"/>
    <n v="4"/>
    <s v="California"/>
    <s v="Los Angeles County"/>
    <n v="1"/>
    <n v="9"/>
    <x v="2"/>
  </r>
  <r>
    <s v="TX501414"/>
    <s v="Jeans"/>
    <n v="2"/>
    <n v="115.2"/>
    <n v="230.4"/>
    <d v="2025-02-23T00:00:00"/>
    <d v="2025-02-24T00:00:00"/>
    <s v="F"/>
    <x v="1"/>
    <n v="4"/>
    <s v="California"/>
    <s v="Nevada County"/>
    <n v="1"/>
    <n v="9"/>
    <x v="2"/>
  </r>
  <r>
    <s v="TX501415"/>
    <s v="T-Shirts"/>
    <n v="29"/>
    <n v="15.5"/>
    <n v="449.5"/>
    <d v="2025-02-23T00:00:00"/>
    <d v="2025-02-25T00:00:00"/>
    <s v="F"/>
    <x v="0"/>
    <n v="3"/>
    <s v="California"/>
    <s v="Riverside County"/>
    <n v="2"/>
    <n v="9"/>
    <x v="2"/>
  </r>
  <r>
    <s v="TX501416"/>
    <s v="Jeans"/>
    <n v="11"/>
    <n v="66.400000000000006"/>
    <n v="730.40000000000009"/>
    <d v="2025-02-23T00:00:00"/>
    <d v="2025-02-25T00:00:00"/>
    <s v="F"/>
    <x v="0"/>
    <n v="4"/>
    <s v="California"/>
    <s v="Sacramento County"/>
    <n v="2"/>
    <n v="9"/>
    <x v="2"/>
  </r>
  <r>
    <s v="TX501417"/>
    <s v="Sundresses"/>
    <n v="12"/>
    <n v="68.099999999999994"/>
    <n v="817.19999999999993"/>
    <d v="2025-02-23T00:00:00"/>
    <d v="2025-02-24T00:00:00"/>
    <s v="F"/>
    <x v="2"/>
    <n v="4"/>
    <s v="California"/>
    <s v="San Diego County"/>
    <n v="1"/>
    <n v="9"/>
    <x v="2"/>
  </r>
  <r>
    <s v="TX501418"/>
    <s v="T-Shirts"/>
    <n v="5"/>
    <n v="32.5"/>
    <n v="162.5"/>
    <d v="2025-02-23T00:00:00"/>
    <d v="2025-02-27T00:00:00"/>
    <s v="M"/>
    <x v="2"/>
    <n v="3"/>
    <s v="California"/>
    <s v="San Diego County"/>
    <n v="4"/>
    <n v="9"/>
    <x v="1"/>
  </r>
  <r>
    <s v="TX501419"/>
    <s v="Crop Tops"/>
    <n v="3"/>
    <n v="61.2"/>
    <n v="183.60000000000002"/>
    <d v="2025-02-23T00:00:00"/>
    <d v="2025-02-25T00:00:00"/>
    <s v="F"/>
    <x v="1"/>
    <n v="3"/>
    <s v="California"/>
    <s v="San Diego County"/>
    <n v="2"/>
    <n v="9"/>
    <x v="2"/>
  </r>
  <r>
    <s v="TX501420"/>
    <s v="Sundresses"/>
    <n v="2"/>
    <n v="54.2"/>
    <n v="108.4"/>
    <d v="2025-02-23T00:00:00"/>
    <d v="2025-02-24T00:00:00"/>
    <s v="F"/>
    <x v="1"/>
    <n v="4"/>
    <s v="California"/>
    <s v="San Diego County"/>
    <n v="1"/>
    <n v="9"/>
    <x v="2"/>
  </r>
  <r>
    <s v="TX501421"/>
    <s v="Maxi Dresses"/>
    <n v="8"/>
    <n v="28.7"/>
    <n v="229.6"/>
    <d v="2025-02-23T00:00:00"/>
    <d v="2025-02-25T00:00:00"/>
    <s v="M"/>
    <x v="1"/>
    <n v="4"/>
    <s v="California"/>
    <s v="San Mateo County"/>
    <n v="2"/>
    <n v="9"/>
    <x v="1"/>
  </r>
  <r>
    <s v="TX501422"/>
    <s v="Casual Dresses"/>
    <n v="6"/>
    <n v="38.200000000000003"/>
    <n v="229.20000000000002"/>
    <d v="2025-02-23T00:00:00"/>
    <d v="2025-02-27T00:00:00"/>
    <s v="F"/>
    <x v="0"/>
    <n v="3"/>
    <s v="California"/>
    <s v="San Mateo County"/>
    <n v="4"/>
    <n v="9"/>
    <x v="2"/>
  </r>
  <r>
    <s v="TX501423"/>
    <s v="T-Shirts"/>
    <n v="12"/>
    <n v="17.600000000000001"/>
    <n v="211.20000000000002"/>
    <d v="2025-02-23T00:00:00"/>
    <d v="2025-02-24T00:00:00"/>
    <s v="F"/>
    <x v="2"/>
    <n v="3"/>
    <s v="California"/>
    <s v="San Mateo County"/>
    <n v="1"/>
    <n v="9"/>
    <x v="2"/>
  </r>
  <r>
    <s v="TX501424"/>
    <s v="Bikinis"/>
    <n v="3"/>
    <n v="74.599999999999994"/>
    <n v="223.79999999999998"/>
    <d v="2025-02-23T00:00:00"/>
    <d v="2025-02-23T00:00:00"/>
    <s v="F"/>
    <x v="2"/>
    <n v="4"/>
    <s v="California"/>
    <s v="Santa Clara County"/>
    <n v="0"/>
    <n v="9"/>
    <x v="2"/>
  </r>
  <r>
    <s v="TX501425"/>
    <s v="Sunglasses"/>
    <n v="15"/>
    <n v="72.599999999999994"/>
    <n v="1089"/>
    <d v="2025-02-23T00:00:00"/>
    <d v="2025-02-23T00:00:00"/>
    <s v=""/>
    <x v="1"/>
    <n v="3"/>
    <s v="California"/>
    <s v="Santa Clara County"/>
    <n v="0"/>
    <n v="9"/>
    <x v="0"/>
  </r>
  <r>
    <s v="TX501426"/>
    <s v="Hoodies &amp; Sweatshirts"/>
    <n v="1"/>
    <n v="62.3"/>
    <n v="62.3"/>
    <d v="2025-02-23T00:00:00"/>
    <d v="2025-02-24T00:00:00"/>
    <s v="F"/>
    <x v="1"/>
    <n v="4"/>
    <s v="California"/>
    <s v="Santa Clara County"/>
    <n v="1"/>
    <n v="9"/>
    <x v="2"/>
  </r>
  <r>
    <s v="TX501427"/>
    <s v="Workout Tops"/>
    <n v="3"/>
    <n v="33.799999999999997"/>
    <n v="101.39999999999999"/>
    <d v="2025-02-23T00:00:00"/>
    <d v="2025-02-25T00:00:00"/>
    <s v="M"/>
    <x v="0"/>
    <n v="5"/>
    <s v="California"/>
    <s v="Tulare County"/>
    <n v="2"/>
    <n v="9"/>
    <x v="1"/>
  </r>
  <r>
    <s v="TX501428"/>
    <s v="Sundresses"/>
    <n v="1"/>
    <n v="85.7"/>
    <n v="85.7"/>
    <d v="2025-02-23T00:00:00"/>
    <d v="2025-02-26T00:00:00"/>
    <s v="M"/>
    <x v="3"/>
    <n v="3"/>
    <s v="California"/>
    <s v="Alameda County"/>
    <n v="3"/>
    <n v="9"/>
    <x v="1"/>
  </r>
  <r>
    <s v="TX501429"/>
    <s v="Jeans"/>
    <n v="2"/>
    <n v="92.1"/>
    <n v="184.2"/>
    <d v="2025-02-23T00:00:00"/>
    <d v="2025-02-25T00:00:00"/>
    <s v="M"/>
    <x v="1"/>
    <n v="4"/>
    <s v="California"/>
    <s v="Alameda County"/>
    <n v="2"/>
    <n v="9"/>
    <x v="1"/>
  </r>
  <r>
    <s v="TX501430"/>
    <s v="Sunglasses"/>
    <n v="3"/>
    <n v="65.099999999999994"/>
    <n v="195.29999999999998"/>
    <d v="2025-02-23T00:00:00"/>
    <d v="2025-02-26T00:00:00"/>
    <s v="M"/>
    <x v="0"/>
    <n v="4"/>
    <s v="California"/>
    <s v="Contra Costa County"/>
    <n v="3"/>
    <n v="9"/>
    <x v="1"/>
  </r>
  <r>
    <s v="TX501431"/>
    <s v="Sundresses"/>
    <n v="7"/>
    <n v="20.3"/>
    <n v="142.1"/>
    <d v="2025-02-23T00:00:00"/>
    <d v="2025-02-24T00:00:00"/>
    <s v="F"/>
    <x v="2"/>
    <n v="5"/>
    <s v="California"/>
    <s v="Fresno County"/>
    <n v="1"/>
    <n v="9"/>
    <x v="2"/>
  </r>
  <r>
    <s v="TX501432"/>
    <s v="Jewelry"/>
    <n v="2"/>
    <n v="29.8"/>
    <n v="59.6"/>
    <d v="2025-02-23T00:00:00"/>
    <d v="2025-02-25T00:00:00"/>
    <s v="F"/>
    <x v="1"/>
    <n v="5"/>
    <s v="California"/>
    <s v="Kings County"/>
    <n v="2"/>
    <n v="9"/>
    <x v="2"/>
  </r>
  <r>
    <s v="TX501433"/>
    <s v="Shorts"/>
    <n v="2"/>
    <n v="24.2"/>
    <n v="48.4"/>
    <d v="2025-02-23T00:00:00"/>
    <d v="2025-02-25T00:00:00"/>
    <s v="F"/>
    <x v="3"/>
    <n v="5"/>
    <s v="California"/>
    <s v="Los Angeles County"/>
    <n v="2"/>
    <n v="9"/>
    <x v="2"/>
  </r>
  <r>
    <s v="TX501434"/>
    <s v="Workout Tops"/>
    <n v="1"/>
    <n v="57.3"/>
    <n v="57.3"/>
    <d v="2025-02-23T00:00:00"/>
    <d v="2025-02-25T00:00:00"/>
    <s v="M"/>
    <x v="0"/>
    <n v="4"/>
    <s v="California"/>
    <s v="Los Angeles County"/>
    <n v="2"/>
    <n v="9"/>
    <x v="1"/>
  </r>
  <r>
    <s v="TX501435"/>
    <s v="Sneakers"/>
    <n v="1"/>
    <n v="108.9"/>
    <n v="108.9"/>
    <d v="2025-02-23T00:00:00"/>
    <d v="2025-02-25T00:00:00"/>
    <s v="F"/>
    <x v="1"/>
    <n v="4"/>
    <s v="California"/>
    <s v="Los Angeles County"/>
    <n v="2"/>
    <n v="9"/>
    <x v="2"/>
  </r>
  <r>
    <s v="TX501436"/>
    <s v="Hoodies &amp; Sweatshirts"/>
    <n v="5"/>
    <n v="50.7"/>
    <n v="253.5"/>
    <d v="2025-02-23T00:00:00"/>
    <d v="2025-02-24T00:00:00"/>
    <s v="F"/>
    <x v="0"/>
    <n v="4"/>
    <s v="California"/>
    <s v="Los Angeles County"/>
    <n v="1"/>
    <n v="9"/>
    <x v="2"/>
  </r>
  <r>
    <s v="TX501437"/>
    <s v="Hoodies &amp; Sweatshirts"/>
    <n v="9"/>
    <n v="66.099999999999994"/>
    <n v="594.9"/>
    <d v="2025-02-23T00:00:00"/>
    <d v="2025-03-09T00:00:00"/>
    <s v="F"/>
    <x v="1"/>
    <n v="4"/>
    <s v="California"/>
    <s v="Los Angeles County"/>
    <n v="14"/>
    <n v="9"/>
    <x v="2"/>
  </r>
  <r>
    <s v="TX501438"/>
    <s v="Casual Dresses"/>
    <n v="5"/>
    <n v="36.700000000000003"/>
    <n v="183.5"/>
    <d v="2025-02-23T00:00:00"/>
    <d v="2025-02-27T00:00:00"/>
    <s v="F"/>
    <x v="4"/>
    <n v="4"/>
    <s v="California"/>
    <s v="Los Angeles County"/>
    <n v="4"/>
    <n v="9"/>
    <x v="2"/>
  </r>
  <r>
    <s v="TX501439"/>
    <s v="T-Shirts"/>
    <n v="17"/>
    <n v="19.3"/>
    <n v="328.1"/>
    <d v="2025-02-23T00:00:00"/>
    <d v="2025-02-25T00:00:00"/>
    <s v="M"/>
    <x v="0"/>
    <n v="4"/>
    <s v="California"/>
    <s v="Marin County"/>
    <n v="2"/>
    <n v="9"/>
    <x v="1"/>
  </r>
  <r>
    <s v="TX501440"/>
    <s v="T-Shirts"/>
    <n v="4"/>
    <n v="20.7"/>
    <n v="82.8"/>
    <d v="2025-02-23T00:00:00"/>
    <d v="2025-02-24T00:00:00"/>
    <s v="M"/>
    <x v="1"/>
    <n v="5"/>
    <s v="California"/>
    <s v="Sacramento County"/>
    <n v="1"/>
    <n v="9"/>
    <x v="1"/>
  </r>
  <r>
    <s v="TX501441"/>
    <s v="Sandals"/>
    <n v="3"/>
    <n v="54.7"/>
    <n v="164.10000000000002"/>
    <d v="2025-02-23T00:00:00"/>
    <d v="2025-02-23T00:00:00"/>
    <s v="O"/>
    <x v="1"/>
    <n v="2"/>
    <s v="California"/>
    <s v="Sacramento County"/>
    <n v="0"/>
    <n v="9"/>
    <x v="3"/>
  </r>
  <r>
    <s v="TX501442"/>
    <s v="Graphic Tees"/>
    <n v="2"/>
    <n v="19.8"/>
    <n v="39.6"/>
    <d v="2025-02-23T00:00:00"/>
    <d v="2025-02-27T00:00:00"/>
    <s v="F"/>
    <x v="4"/>
    <n v="3"/>
    <s v="California"/>
    <s v="San Diego County"/>
    <n v="4"/>
    <n v="9"/>
    <x v="2"/>
  </r>
  <r>
    <s v="TX501443"/>
    <s v="Hoodies &amp; Sweatshirts"/>
    <n v="1"/>
    <n v="41.1"/>
    <n v="41.1"/>
    <d v="2025-02-23T00:00:00"/>
    <d v="2025-02-25T00:00:00"/>
    <s v="F"/>
    <x v="0"/>
    <n v="5"/>
    <s v="California"/>
    <s v="San Diego County"/>
    <n v="2"/>
    <n v="9"/>
    <x v="2"/>
  </r>
  <r>
    <s v="TX501444"/>
    <s v="Maxi Dresses"/>
    <n v="8"/>
    <n v="43.5"/>
    <n v="348"/>
    <d v="2025-02-23T00:00:00"/>
    <d v="2025-02-27T00:00:00"/>
    <s v="F"/>
    <x v="3"/>
    <n v="4"/>
    <s v="California"/>
    <s v="San Diego County"/>
    <n v="4"/>
    <n v="9"/>
    <x v="2"/>
  </r>
  <r>
    <s v="TX501445"/>
    <s v="T-Shirts"/>
    <n v="14"/>
    <n v="19"/>
    <n v="266"/>
    <d v="2025-02-23T00:00:00"/>
    <d v="2025-02-24T00:00:00"/>
    <s v="M"/>
    <x v="0"/>
    <n v="4"/>
    <s v="California"/>
    <s v="San Joaquin County"/>
    <n v="1"/>
    <n v="9"/>
    <x v="1"/>
  </r>
  <r>
    <s v="TX501446"/>
    <s v="Sneakers"/>
    <n v="4"/>
    <n v="51.4"/>
    <n v="205.6"/>
    <d v="2025-02-23T00:00:00"/>
    <d v="2025-02-23T00:00:00"/>
    <s v="F"/>
    <x v="0"/>
    <n v="4"/>
    <s v="California"/>
    <s v="San Joaquin County"/>
    <n v="0"/>
    <n v="9"/>
    <x v="2"/>
  </r>
  <r>
    <s v="TX501447"/>
    <s v="Bikinis"/>
    <n v="2"/>
    <n v="39.799999999999997"/>
    <n v="79.599999999999994"/>
    <d v="2025-02-23T00:00:00"/>
    <d v="2025-02-26T00:00:00"/>
    <s v="M"/>
    <x v="3"/>
    <n v="3"/>
    <s v="California"/>
    <s v="Ventura County"/>
    <n v="3"/>
    <n v="9"/>
    <x v="1"/>
  </r>
  <r>
    <s v="TX501448"/>
    <s v="Jeans"/>
    <n v="5"/>
    <n v="61"/>
    <n v="305"/>
    <d v="2025-02-23T00:00:00"/>
    <d v="2025-02-24T00:00:00"/>
    <s v=""/>
    <x v="0"/>
    <n v="5"/>
    <s v="California"/>
    <s v="Alameda County"/>
    <n v="1"/>
    <n v="9"/>
    <x v="0"/>
  </r>
  <r>
    <s v="TX501449"/>
    <s v="T-Shirts"/>
    <n v="11"/>
    <n v="15.1"/>
    <n v="166.1"/>
    <d v="2025-02-24T00:00:00"/>
    <d v="2025-03-01T00:00:00"/>
    <s v="M"/>
    <x v="3"/>
    <n v="5"/>
    <s v="California"/>
    <s v="Fresno County"/>
    <n v="5"/>
    <n v="9"/>
    <x v="1"/>
  </r>
  <r>
    <s v="TX501450"/>
    <s v="Tank Tops"/>
    <n v="7"/>
    <n v="71.3"/>
    <n v="499.09999999999997"/>
    <d v="2025-02-24T00:00:00"/>
    <d v="2025-02-25T00:00:00"/>
    <s v="M"/>
    <x v="4"/>
    <n v="4"/>
    <s v="California"/>
    <s v="Los Angeles County"/>
    <n v="1"/>
    <n v="9"/>
    <x v="1"/>
  </r>
  <r>
    <s v="TX501451"/>
    <s v="Bikinis"/>
    <n v="1"/>
    <n v="25.8"/>
    <n v="25.8"/>
    <d v="2025-02-24T00:00:00"/>
    <d v="2025-02-26T00:00:00"/>
    <s v="F"/>
    <x v="0"/>
    <n v="5"/>
    <s v="California"/>
    <s v="Los Angeles County"/>
    <n v="2"/>
    <n v="9"/>
    <x v="2"/>
  </r>
  <r>
    <s v="TX501452"/>
    <s v="T-Shirts"/>
    <n v="5"/>
    <n v="39.6"/>
    <n v="198"/>
    <d v="2025-02-24T00:00:00"/>
    <d v="2025-02-26T00:00:00"/>
    <s v="M"/>
    <x v="1"/>
    <n v="5"/>
    <s v="California"/>
    <s v="Los Angeles County"/>
    <n v="2"/>
    <n v="9"/>
    <x v="1"/>
  </r>
  <r>
    <s v="TX501453"/>
    <s v="Sandals"/>
    <n v="2"/>
    <n v="64"/>
    <n v="128"/>
    <d v="2025-02-24T00:00:00"/>
    <d v="2025-02-24T00:00:00"/>
    <s v="M"/>
    <x v="1"/>
    <n v="3"/>
    <s v="California"/>
    <s v="Los Angeles County"/>
    <n v="0"/>
    <n v="9"/>
    <x v="1"/>
  </r>
  <r>
    <s v="TX501454"/>
    <s v="T-Shirts"/>
    <n v="2"/>
    <n v="30.6"/>
    <n v="61.2"/>
    <d v="2025-02-24T00:00:00"/>
    <d v="2025-02-27T00:00:00"/>
    <s v="M"/>
    <x v="0"/>
    <n v="5"/>
    <s v="California"/>
    <s v="Los Angeles County"/>
    <n v="3"/>
    <n v="9"/>
    <x v="1"/>
  </r>
  <r>
    <s v="TX501455"/>
    <s v="T-Shirts"/>
    <n v="2"/>
    <n v="21.3"/>
    <n v="42.6"/>
    <d v="2025-02-24T00:00:00"/>
    <d v="2025-02-25T00:00:00"/>
    <s v="M"/>
    <x v="0"/>
    <n v="3"/>
    <s v="California"/>
    <s v="Los Angeles County"/>
    <n v="1"/>
    <n v="9"/>
    <x v="1"/>
  </r>
  <r>
    <s v="TX501456"/>
    <s v="Hoodies &amp; Sweatshirts"/>
    <n v="1"/>
    <n v="40.799999999999997"/>
    <n v="40.799999999999997"/>
    <d v="2025-02-24T00:00:00"/>
    <d v="2025-02-26T00:00:00"/>
    <s v="F"/>
    <x v="4"/>
    <n v="4"/>
    <s v="California"/>
    <s v="Los Angeles County"/>
    <n v="2"/>
    <n v="9"/>
    <x v="2"/>
  </r>
  <r>
    <s v="TX501457"/>
    <s v="Sundresses"/>
    <n v="4"/>
    <n v="27.7"/>
    <n v="110.8"/>
    <d v="2025-02-24T00:00:00"/>
    <d v="2025-02-25T00:00:00"/>
    <s v="F"/>
    <x v="0"/>
    <n v="3"/>
    <s v="California"/>
    <s v="Los Angeles County"/>
    <n v="1"/>
    <n v="9"/>
    <x v="2"/>
  </r>
  <r>
    <s v="TX501458"/>
    <s v="Jeans"/>
    <n v="2"/>
    <n v="64.599999999999994"/>
    <n v="129.19999999999999"/>
    <d v="2025-02-24T00:00:00"/>
    <d v="2025-02-25T00:00:00"/>
    <s v="M"/>
    <x v="0"/>
    <n v="3"/>
    <s v="California"/>
    <s v="Los Angeles County"/>
    <n v="1"/>
    <n v="9"/>
    <x v="1"/>
  </r>
  <r>
    <s v="TX501459"/>
    <s v="Jeans"/>
    <n v="16"/>
    <n v="91.1"/>
    <n v="1457.6"/>
    <d v="2025-02-24T00:00:00"/>
    <d v="2025-02-25T00:00:00"/>
    <s v="F"/>
    <x v="1"/>
    <n v="5"/>
    <s v="California"/>
    <s v="Los Angeles County"/>
    <n v="1"/>
    <n v="9"/>
    <x v="2"/>
  </r>
  <r>
    <s v="TX501460"/>
    <s v="Tank Tops"/>
    <n v="1"/>
    <n v="39.5"/>
    <n v="39.5"/>
    <d v="2025-02-24T00:00:00"/>
    <d v="2025-03-04T00:00:00"/>
    <s v="F"/>
    <x v="0"/>
    <n v="4"/>
    <s v="California"/>
    <s v="Los Angeles County"/>
    <n v="8"/>
    <n v="9"/>
    <x v="2"/>
  </r>
  <r>
    <s v="TX501461"/>
    <s v="Sundresses"/>
    <n v="2"/>
    <n v="21.8"/>
    <n v="43.6"/>
    <d v="2025-02-24T00:00:00"/>
    <d v="2025-02-28T00:00:00"/>
    <s v="M"/>
    <x v="4"/>
    <n v="5"/>
    <s v="California"/>
    <s v="Los Angeles County"/>
    <n v="4"/>
    <n v="9"/>
    <x v="1"/>
  </r>
  <r>
    <s v="TX501462"/>
    <s v="T-Shirts"/>
    <n v="2"/>
    <n v="51"/>
    <n v="102"/>
    <d v="2025-02-24T00:00:00"/>
    <d v="2025-02-27T00:00:00"/>
    <s v="M"/>
    <x v="3"/>
    <n v="5"/>
    <s v="California"/>
    <s v="Los Angeles County"/>
    <n v="3"/>
    <n v="9"/>
    <x v="1"/>
  </r>
  <r>
    <s v="TX501463"/>
    <s v="Sneakers"/>
    <n v="1"/>
    <n v="92.6"/>
    <n v="92.6"/>
    <d v="2025-02-24T00:00:00"/>
    <d v="2025-02-27T00:00:00"/>
    <s v="F"/>
    <x v="0"/>
    <n v="5"/>
    <s v="California"/>
    <s v="Plumas County"/>
    <n v="3"/>
    <n v="9"/>
    <x v="2"/>
  </r>
  <r>
    <s v="TX501464"/>
    <s v="Sundresses"/>
    <n v="2"/>
    <n v="31.1"/>
    <n v="62.2"/>
    <d v="2025-02-24T00:00:00"/>
    <d v="2025-03-01T00:00:00"/>
    <s v=""/>
    <x v="1"/>
    <n v="1"/>
    <s v="California"/>
    <s v="Riverside County"/>
    <n v="5"/>
    <n v="9"/>
    <x v="0"/>
  </r>
  <r>
    <s v="TX501465"/>
    <s v="Sandals"/>
    <n v="3"/>
    <n v="56.4"/>
    <n v="169.2"/>
    <d v="2025-02-24T00:00:00"/>
    <d v="2025-02-25T00:00:00"/>
    <s v=""/>
    <x v="1"/>
    <n v="4"/>
    <s v="California"/>
    <s v="Sacramento County"/>
    <n v="1"/>
    <n v="9"/>
    <x v="0"/>
  </r>
  <r>
    <s v="TX501466"/>
    <s v="Sundresses"/>
    <n v="1"/>
    <n v="41.9"/>
    <n v="41.9"/>
    <d v="2025-02-24T00:00:00"/>
    <d v="2025-02-24T00:00:00"/>
    <s v="M"/>
    <x v="1"/>
    <n v="4"/>
    <s v="California"/>
    <s v="Sacramento County"/>
    <n v="0"/>
    <n v="9"/>
    <x v="1"/>
  </r>
  <r>
    <s v="TX501467"/>
    <s v="Bikinis"/>
    <n v="7"/>
    <n v="45.9"/>
    <n v="321.3"/>
    <d v="2025-02-24T00:00:00"/>
    <d v="2025-02-25T00:00:00"/>
    <s v="M"/>
    <x v="3"/>
    <n v="5"/>
    <s v="California"/>
    <s v="San Diego County"/>
    <n v="1"/>
    <n v="9"/>
    <x v="1"/>
  </r>
  <r>
    <s v="TX501468"/>
    <s v="Baseball Caps"/>
    <n v="9"/>
    <n v="24.4"/>
    <n v="219.6"/>
    <d v="2025-02-24T00:00:00"/>
    <d v="2025-02-28T00:00:00"/>
    <s v="M"/>
    <x v="3"/>
    <n v="5"/>
    <s v="California"/>
    <s v="San Diego County"/>
    <n v="4"/>
    <n v="9"/>
    <x v="1"/>
  </r>
  <r>
    <s v="TX501469"/>
    <s v="T-Shirts"/>
    <n v="1"/>
    <n v="18.2"/>
    <n v="18.2"/>
    <d v="2025-02-24T00:00:00"/>
    <d v="2025-02-25T00:00:00"/>
    <s v="F"/>
    <x v="2"/>
    <n v="5"/>
    <s v="California"/>
    <s v="San Diego County"/>
    <n v="1"/>
    <n v="9"/>
    <x v="2"/>
  </r>
  <r>
    <s v="TX501470"/>
    <s v="T-Shirts"/>
    <n v="4"/>
    <n v="51.2"/>
    <n v="204.8"/>
    <d v="2025-02-24T00:00:00"/>
    <d v="2025-02-25T00:00:00"/>
    <s v="F"/>
    <x v="0"/>
    <n v="4"/>
    <s v="California"/>
    <s v="San Diego County"/>
    <n v="1"/>
    <n v="9"/>
    <x v="2"/>
  </r>
  <r>
    <s v="TX501471"/>
    <s v="Jeans"/>
    <n v="1"/>
    <n v="59.7"/>
    <n v="59.7"/>
    <d v="2025-02-24T00:00:00"/>
    <d v="2025-02-27T00:00:00"/>
    <s v="M"/>
    <x v="0"/>
    <n v="5"/>
    <s v="California"/>
    <s v="San Diego County"/>
    <n v="3"/>
    <n v="9"/>
    <x v="1"/>
  </r>
  <r>
    <s v="TX501472"/>
    <s v="Graphic Tees"/>
    <n v="2"/>
    <n v="33.6"/>
    <n v="67.2"/>
    <d v="2025-02-24T00:00:00"/>
    <d v="2025-02-26T00:00:00"/>
    <s v="F"/>
    <x v="0"/>
    <n v="4"/>
    <s v="California"/>
    <s v="San Francisco"/>
    <n v="2"/>
    <n v="9"/>
    <x v="2"/>
  </r>
  <r>
    <s v="TX501473"/>
    <s v="Casual Dresses"/>
    <n v="1"/>
    <n v="90.4"/>
    <n v="90.4"/>
    <d v="2025-02-24T00:00:00"/>
    <d v="2025-02-28T00:00:00"/>
    <s v="M"/>
    <x v="1"/>
    <n v="5"/>
    <s v="California"/>
    <s v="Santa Barbara County"/>
    <n v="4"/>
    <n v="9"/>
    <x v="1"/>
  </r>
  <r>
    <s v="TX501474"/>
    <s v="Maxi Dresses"/>
    <n v="3"/>
    <n v="70.3"/>
    <n v="210.89999999999998"/>
    <d v="2025-02-24T00:00:00"/>
    <d v="2025-02-24T00:00:00"/>
    <s v="M"/>
    <x v="1"/>
    <n v="5"/>
    <s v="California"/>
    <s v="Santa Clara County"/>
    <n v="0"/>
    <n v="9"/>
    <x v="1"/>
  </r>
  <r>
    <s v="TX501475"/>
    <s v="Graphic Tees"/>
    <n v="2"/>
    <n v="20.5"/>
    <n v="41"/>
    <d v="2025-02-24T00:00:00"/>
    <d v="2025-02-27T00:00:00"/>
    <s v="F"/>
    <x v="0"/>
    <n v="3"/>
    <s v="California"/>
    <s v="Santa Clara County"/>
    <n v="3"/>
    <n v="9"/>
    <x v="2"/>
  </r>
  <r>
    <s v="TX501476"/>
    <s v="Sandals"/>
    <n v="11"/>
    <n v="37.6"/>
    <n v="413.6"/>
    <d v="2025-02-24T00:00:00"/>
    <d v="2025-02-25T00:00:00"/>
    <s v="M"/>
    <x v="0"/>
    <n v="4"/>
    <s v="California"/>
    <s v="Solano County"/>
    <n v="1"/>
    <n v="9"/>
    <x v="1"/>
  </r>
  <r>
    <s v="TX501477"/>
    <s v="Sandals"/>
    <n v="4"/>
    <n v="61.5"/>
    <n v="246"/>
    <d v="2025-02-24T00:00:00"/>
    <d v="2025-03-03T00:00:00"/>
    <s v="F"/>
    <x v="1"/>
    <n v="2"/>
    <s v="California"/>
    <s v="Ventura County"/>
    <n v="7"/>
    <n v="9"/>
    <x v="2"/>
  </r>
  <r>
    <s v="TX501478"/>
    <s v="Sundresses"/>
    <n v="1"/>
    <n v="33.5"/>
    <n v="33.5"/>
    <d v="2025-02-25T00:00:00"/>
    <d v="2025-03-01T00:00:00"/>
    <s v="M"/>
    <x v="4"/>
    <n v="3"/>
    <s v="California"/>
    <s v="Alameda County"/>
    <n v="4"/>
    <n v="9"/>
    <x v="1"/>
  </r>
  <r>
    <s v="TX501479"/>
    <s v="Graphic Tees"/>
    <n v="3"/>
    <n v="29.3"/>
    <n v="87.9"/>
    <d v="2025-02-25T00:00:00"/>
    <d v="2025-02-27T00:00:00"/>
    <s v="F"/>
    <x v="1"/>
    <n v="5"/>
    <s v="California"/>
    <s v="Contra Costa County"/>
    <n v="2"/>
    <n v="9"/>
    <x v="2"/>
  </r>
  <r>
    <s v="TX501480"/>
    <s v="Sneakers"/>
    <n v="2"/>
    <n v="125.9"/>
    <n v="251.8"/>
    <d v="2025-02-25T00:00:00"/>
    <d v="2025-03-02T00:00:00"/>
    <s v="F"/>
    <x v="4"/>
    <n v="3"/>
    <s v="California"/>
    <s v="Contra Costa County"/>
    <n v="5"/>
    <n v="9"/>
    <x v="2"/>
  </r>
  <r>
    <s v="TX501481"/>
    <s v="Sandals"/>
    <n v="5"/>
    <n v="29.3"/>
    <n v="146.5"/>
    <d v="2025-02-25T00:00:00"/>
    <d v="2025-02-25T00:00:00"/>
    <s v="M"/>
    <x v="2"/>
    <n v="4"/>
    <s v="California"/>
    <s v="Humboldt County"/>
    <n v="0"/>
    <n v="9"/>
    <x v="1"/>
  </r>
  <r>
    <s v="TX501482"/>
    <s v="Sundresses"/>
    <n v="1"/>
    <n v="37.799999999999997"/>
    <n v="37.799999999999997"/>
    <d v="2025-02-25T00:00:00"/>
    <d v="2025-02-28T00:00:00"/>
    <s v="F"/>
    <x v="0"/>
    <n v="5"/>
    <s v="California"/>
    <s v="Los Angeles County"/>
    <n v="3"/>
    <n v="9"/>
    <x v="2"/>
  </r>
  <r>
    <s v="TX501483"/>
    <s v="Shorts"/>
    <n v="4"/>
    <n v="31.7"/>
    <n v="126.8"/>
    <d v="2025-02-25T00:00:00"/>
    <d v="2025-02-26T00:00:00"/>
    <s v="M"/>
    <x v="2"/>
    <n v="5"/>
    <s v="California"/>
    <s v="Los Angeles County"/>
    <n v="1"/>
    <n v="9"/>
    <x v="1"/>
  </r>
  <r>
    <s v="TX501484"/>
    <s v="T-Shirts"/>
    <n v="5"/>
    <n v="26.3"/>
    <n v="131.5"/>
    <d v="2025-02-25T00:00:00"/>
    <d v="2025-02-26T00:00:00"/>
    <s v="F"/>
    <x v="3"/>
    <n v="5"/>
    <s v="California"/>
    <s v="Los Angeles County"/>
    <n v="1"/>
    <n v="9"/>
    <x v="2"/>
  </r>
  <r>
    <s v="TX501485"/>
    <s v="T-Shirts"/>
    <n v="3"/>
    <n v="23.1"/>
    <n v="69.300000000000011"/>
    <d v="2025-02-25T00:00:00"/>
    <d v="2025-02-26T00:00:00"/>
    <s v="O"/>
    <x v="2"/>
    <n v="3"/>
    <s v="California"/>
    <s v="Los Angeles County"/>
    <n v="1"/>
    <n v="9"/>
    <x v="3"/>
  </r>
  <r>
    <s v="TX501486"/>
    <s v="Graphic Tees"/>
    <n v="1"/>
    <n v="22.3"/>
    <n v="22.3"/>
    <d v="2025-02-25T00:00:00"/>
    <d v="2025-02-27T00:00:00"/>
    <s v="F"/>
    <x v="2"/>
    <n v="4"/>
    <s v="California"/>
    <s v="Los Angeles County"/>
    <n v="2"/>
    <n v="9"/>
    <x v="2"/>
  </r>
  <r>
    <s v="TX501487"/>
    <s v="Casual Dresses"/>
    <n v="2"/>
    <n v="99.5"/>
    <n v="199"/>
    <d v="2025-02-25T00:00:00"/>
    <d v="2025-02-27T00:00:00"/>
    <s v="F"/>
    <x v="2"/>
    <n v="4"/>
    <s v="California"/>
    <s v="Los Angeles County"/>
    <n v="2"/>
    <n v="9"/>
    <x v="2"/>
  </r>
  <r>
    <s v="TX501488"/>
    <s v="Casual Dresses"/>
    <n v="4"/>
    <n v="47.4"/>
    <n v="189.6"/>
    <d v="2025-02-25T00:00:00"/>
    <d v="2025-02-28T00:00:00"/>
    <s v="F"/>
    <x v="1"/>
    <n v="4"/>
    <s v="California"/>
    <s v="Los Angeles County"/>
    <n v="3"/>
    <n v="9"/>
    <x v="2"/>
  </r>
  <r>
    <s v="TX501489"/>
    <s v="Shorts"/>
    <n v="11"/>
    <n v="37.5"/>
    <n v="412.5"/>
    <d v="2025-02-25T00:00:00"/>
    <d v="2025-02-27T00:00:00"/>
    <s v="F"/>
    <x v="0"/>
    <n v="1"/>
    <s v="California"/>
    <s v="Los Angeles County"/>
    <n v="2"/>
    <n v="9"/>
    <x v="2"/>
  </r>
  <r>
    <s v="TX501490"/>
    <s v="Bikinis"/>
    <n v="1"/>
    <n v="45.1"/>
    <n v="45.1"/>
    <d v="2025-02-25T00:00:00"/>
    <d v="2025-03-02T00:00:00"/>
    <s v="M"/>
    <x v="3"/>
    <n v="5"/>
    <s v="California"/>
    <s v="Merced County"/>
    <n v="5"/>
    <n v="9"/>
    <x v="1"/>
  </r>
  <r>
    <s v="TX501491"/>
    <s v="Sandals"/>
    <n v="10"/>
    <n v="34.4"/>
    <n v="344"/>
    <d v="2025-02-25T00:00:00"/>
    <d v="2025-02-28T00:00:00"/>
    <s v="M"/>
    <x v="2"/>
    <n v="4"/>
    <s v="California"/>
    <s v="Napa County"/>
    <n v="3"/>
    <n v="9"/>
    <x v="1"/>
  </r>
  <r>
    <s v="TX501492"/>
    <s v="Graphic Tees"/>
    <n v="2"/>
    <n v="38"/>
    <n v="76"/>
    <d v="2025-02-25T00:00:00"/>
    <d v="2025-02-27T00:00:00"/>
    <s v="F"/>
    <x v="1"/>
    <n v="4"/>
    <s v="California"/>
    <s v="Placer County"/>
    <n v="2"/>
    <n v="9"/>
    <x v="2"/>
  </r>
  <r>
    <s v="TX501493"/>
    <s v="Workout Tops"/>
    <n v="14"/>
    <n v="32.4"/>
    <n v="453.59999999999997"/>
    <d v="2025-02-25T00:00:00"/>
    <d v="2025-02-28T00:00:00"/>
    <s v="M"/>
    <x v="4"/>
    <n v="4"/>
    <s v="California"/>
    <s v="Sacramento County"/>
    <n v="3"/>
    <n v="9"/>
    <x v="1"/>
  </r>
  <r>
    <s v="TX501494"/>
    <s v="Jeans"/>
    <n v="3"/>
    <n v="40.9"/>
    <n v="122.69999999999999"/>
    <d v="2025-02-25T00:00:00"/>
    <d v="2025-02-25T00:00:00"/>
    <s v=""/>
    <x v="1"/>
    <n v="4"/>
    <s v="California"/>
    <s v="San Diego County"/>
    <n v="0"/>
    <n v="9"/>
    <x v="0"/>
  </r>
  <r>
    <s v="TX501495"/>
    <s v="Hoodies &amp; Sweatshirts"/>
    <n v="7"/>
    <n v="76.2"/>
    <n v="533.4"/>
    <d v="2025-02-25T00:00:00"/>
    <d v="2025-02-27T00:00:00"/>
    <s v="F"/>
    <x v="2"/>
    <n v="3"/>
    <s v="California"/>
    <s v="San Diego County"/>
    <n v="2"/>
    <n v="9"/>
    <x v="2"/>
  </r>
  <r>
    <s v="TX501496"/>
    <s v="Sneakers"/>
    <n v="1"/>
    <n v="85.6"/>
    <n v="85.6"/>
    <d v="2025-02-25T00:00:00"/>
    <d v="2025-02-27T00:00:00"/>
    <s v="M"/>
    <x v="2"/>
    <n v="4"/>
    <s v="California"/>
    <s v="San Diego County"/>
    <n v="2"/>
    <n v="9"/>
    <x v="1"/>
  </r>
  <r>
    <s v="TX501497"/>
    <s v="Graphic Tees"/>
    <n v="4"/>
    <n v="25"/>
    <n v="100"/>
    <d v="2025-02-25T00:00:00"/>
    <d v="2025-02-27T00:00:00"/>
    <s v="F"/>
    <x v="2"/>
    <n v="5"/>
    <s v="California"/>
    <s v="San Diego County"/>
    <n v="2"/>
    <n v="9"/>
    <x v="2"/>
  </r>
  <r>
    <s v="TX501498"/>
    <s v="Sneakers"/>
    <n v="5"/>
    <n v="150.69999999999999"/>
    <n v="753.5"/>
    <d v="2025-02-25T00:00:00"/>
    <d v="2025-02-26T00:00:00"/>
    <s v=""/>
    <x v="0"/>
    <n v="5"/>
    <s v="California"/>
    <s v="San Diego County"/>
    <n v="1"/>
    <n v="9"/>
    <x v="0"/>
  </r>
  <r>
    <s v="TX501499"/>
    <s v="T-Shirts"/>
    <n v="1"/>
    <n v="19.600000000000001"/>
    <n v="19.600000000000001"/>
    <d v="2025-02-25T00:00:00"/>
    <d v="2025-02-26T00:00:00"/>
    <s v="M"/>
    <x v="1"/>
    <n v="2"/>
    <s v="California"/>
    <s v="San Diego County"/>
    <n v="1"/>
    <n v="9"/>
    <x v="1"/>
  </r>
  <r>
    <s v="TX501500"/>
    <s v="Tote Bags"/>
    <n v="2"/>
    <n v="37.5"/>
    <n v="75"/>
    <d v="2025-02-25T00:00:00"/>
    <d v="2025-02-28T00:00:00"/>
    <s v="F"/>
    <x v="1"/>
    <n v="5"/>
    <s v="California"/>
    <s v="San Francisco"/>
    <n v="3"/>
    <n v="9"/>
    <x v="2"/>
  </r>
  <r>
    <s v="TX501501"/>
    <s v="Sundresses"/>
    <n v="3"/>
    <n v="51.9"/>
    <n v="155.69999999999999"/>
    <d v="2025-02-25T00:00:00"/>
    <d v="2025-03-03T00:00:00"/>
    <s v="F"/>
    <x v="0"/>
    <n v="2"/>
    <s v="California"/>
    <s v="Santa Clara County"/>
    <n v="6"/>
    <n v="9"/>
    <x v="2"/>
  </r>
  <r>
    <s v="TX501502"/>
    <s v="Tank Tops"/>
    <n v="2"/>
    <n v="30.9"/>
    <n v="61.8"/>
    <d v="2025-02-25T00:00:00"/>
    <d v="2025-02-27T00:00:00"/>
    <s v="F"/>
    <x v="1"/>
    <n v="4"/>
    <s v="California"/>
    <s v="Sonoma County"/>
    <n v="2"/>
    <n v="9"/>
    <x v="2"/>
  </r>
  <r>
    <s v="TX501503"/>
    <s v="Graphic Tees"/>
    <n v="3"/>
    <n v="21.2"/>
    <n v="63.599999999999994"/>
    <d v="2025-02-25T00:00:00"/>
    <d v="2025-02-28T00:00:00"/>
    <s v="F"/>
    <x v="1"/>
    <n v="4"/>
    <s v="California"/>
    <s v="Stanislaus County"/>
    <n v="3"/>
    <n v="9"/>
    <x v="2"/>
  </r>
  <r>
    <s v="TX501504"/>
    <s v="Tote Bags"/>
    <n v="17"/>
    <n v="17.5"/>
    <n v="297.5"/>
    <d v="2025-02-25T00:00:00"/>
    <d v="2025-02-26T00:00:00"/>
    <s v="M"/>
    <x v="1"/>
    <n v="3"/>
    <s v="California"/>
    <s v="Ventura County"/>
    <n v="1"/>
    <n v="9"/>
    <x v="1"/>
  </r>
  <r>
    <s v="TX501505"/>
    <s v="Casual Dresses"/>
    <n v="2"/>
    <n v="53.8"/>
    <n v="107.6"/>
    <d v="2025-02-25T00:00:00"/>
    <d v="2025-03-02T00:00:00"/>
    <s v="F"/>
    <x v="0"/>
    <n v="5"/>
    <s v="California"/>
    <s v="Alameda County"/>
    <n v="5"/>
    <n v="9"/>
    <x v="2"/>
  </r>
  <r>
    <s v="TX501506"/>
    <s v="Jewelry"/>
    <n v="2"/>
    <n v="17"/>
    <n v="34"/>
    <d v="2025-02-25T00:00:00"/>
    <d v="2025-02-26T00:00:00"/>
    <s v="M"/>
    <x v="3"/>
    <n v="4"/>
    <s v="California"/>
    <s v="Alameda County"/>
    <n v="1"/>
    <n v="9"/>
    <x v="1"/>
  </r>
  <r>
    <s v="TX501507"/>
    <s v="Jeans"/>
    <n v="1"/>
    <n v="103.2"/>
    <n v="103.2"/>
    <d v="2025-02-25T00:00:00"/>
    <d v="2025-03-05T00:00:00"/>
    <s v="M"/>
    <x v="2"/>
    <n v="3"/>
    <s v="California"/>
    <s v="Contra Costa County"/>
    <n v="8"/>
    <n v="9"/>
    <x v="1"/>
  </r>
  <r>
    <s v="TX501508"/>
    <s v="Jeans"/>
    <n v="4"/>
    <n v="70.3"/>
    <n v="281.2"/>
    <d v="2025-02-25T00:00:00"/>
    <d v="2025-02-26T00:00:00"/>
    <s v="M"/>
    <x v="0"/>
    <n v="4"/>
    <s v="California"/>
    <s v="Los Angeles County"/>
    <n v="1"/>
    <n v="9"/>
    <x v="1"/>
  </r>
  <r>
    <s v="TX501509"/>
    <s v="Sneakers"/>
    <n v="2"/>
    <n v="73.8"/>
    <n v="147.6"/>
    <d v="2025-02-25T00:00:00"/>
    <d v="2025-02-25T00:00:00"/>
    <s v="M"/>
    <x v="3"/>
    <n v="5"/>
    <s v="California"/>
    <s v="Los Angeles County"/>
    <n v="0"/>
    <n v="9"/>
    <x v="1"/>
  </r>
  <r>
    <s v="TX501510"/>
    <s v="Tank Tops"/>
    <n v="12"/>
    <n v="67.7"/>
    <n v="812.40000000000009"/>
    <d v="2025-02-25T00:00:00"/>
    <d v="2025-03-01T00:00:00"/>
    <s v="M"/>
    <x v="1"/>
    <n v="3"/>
    <s v="California"/>
    <s v="Los Angeles County"/>
    <n v="4"/>
    <n v="9"/>
    <x v="1"/>
  </r>
  <r>
    <s v="TX501511"/>
    <s v="Tote Bags"/>
    <n v="7"/>
    <n v="43.8"/>
    <n v="306.59999999999997"/>
    <d v="2025-02-25T00:00:00"/>
    <d v="2025-02-27T00:00:00"/>
    <s v="M"/>
    <x v="1"/>
    <n v="4"/>
    <s v="California"/>
    <s v="Los Angeles County"/>
    <n v="2"/>
    <n v="9"/>
    <x v="1"/>
  </r>
  <r>
    <s v="TX501512"/>
    <s v="Pajama Sets"/>
    <n v="6"/>
    <n v="71.900000000000006"/>
    <n v="431.40000000000003"/>
    <d v="2025-02-25T00:00:00"/>
    <d v="2025-02-26T00:00:00"/>
    <s v="F"/>
    <x v="2"/>
    <n v="4"/>
    <s v="California"/>
    <s v="Los Angeles County"/>
    <n v="1"/>
    <n v="9"/>
    <x v="2"/>
  </r>
  <r>
    <s v="TX501513"/>
    <s v="T-Shirts"/>
    <n v="2"/>
    <n v="26.3"/>
    <n v="52.6"/>
    <d v="2025-02-26T00:00:00"/>
    <d v="2025-02-28T00:00:00"/>
    <s v="F"/>
    <x v="0"/>
    <n v="3"/>
    <s v="California"/>
    <s v="Los Angeles County"/>
    <n v="2"/>
    <n v="9"/>
    <x v="2"/>
  </r>
  <r>
    <s v="TX501514"/>
    <s v="Jeans"/>
    <n v="4"/>
    <n v="52.6"/>
    <n v="210.4"/>
    <d v="2025-02-26T00:00:00"/>
    <d v="2025-02-28T00:00:00"/>
    <s v="F"/>
    <x v="2"/>
    <n v="3"/>
    <s v="California"/>
    <s v="Los Angeles County"/>
    <n v="2"/>
    <n v="9"/>
    <x v="2"/>
  </r>
  <r>
    <s v="TX501515"/>
    <s v="Bikinis"/>
    <n v="1"/>
    <n v="32.700000000000003"/>
    <n v="32.700000000000003"/>
    <d v="2025-02-26T00:00:00"/>
    <d v="2025-03-05T00:00:00"/>
    <s v="F"/>
    <x v="0"/>
    <n v="5"/>
    <s v="California"/>
    <s v="Los Angeles County"/>
    <n v="7"/>
    <n v="9"/>
    <x v="2"/>
  </r>
  <r>
    <s v="TX501516"/>
    <s v="Sandals"/>
    <n v="4"/>
    <n v="38.9"/>
    <n v="155.6"/>
    <d v="2025-02-26T00:00:00"/>
    <d v="2025-02-27T00:00:00"/>
    <s v="F"/>
    <x v="0"/>
    <n v="4"/>
    <s v="California"/>
    <s v="Los Angeles County"/>
    <n v="1"/>
    <n v="9"/>
    <x v="2"/>
  </r>
  <r>
    <s v="TX501517"/>
    <s v="Sundresses"/>
    <n v="5"/>
    <n v="35"/>
    <n v="175"/>
    <d v="2025-02-26T00:00:00"/>
    <d v="2025-02-28T00:00:00"/>
    <s v="M"/>
    <x v="0"/>
    <n v="4"/>
    <s v="California"/>
    <s v="Los Angeles County"/>
    <n v="2"/>
    <n v="9"/>
    <x v="1"/>
  </r>
  <r>
    <s v="TX501518"/>
    <s v="Sneakers"/>
    <n v="2"/>
    <n v="121"/>
    <n v="242"/>
    <d v="2025-02-26T00:00:00"/>
    <d v="2025-02-27T00:00:00"/>
    <s v="F"/>
    <x v="1"/>
    <n v="3"/>
    <s v="California"/>
    <s v="Los Angeles County"/>
    <n v="1"/>
    <n v="9"/>
    <x v="2"/>
  </r>
  <r>
    <s v="TX501519"/>
    <s v="Jeans"/>
    <n v="3"/>
    <n v="65.099999999999994"/>
    <n v="195.29999999999998"/>
    <d v="2025-02-26T00:00:00"/>
    <d v="2025-03-02T00:00:00"/>
    <s v="M"/>
    <x v="2"/>
    <n v="4"/>
    <s v="California"/>
    <s v="San Benito County"/>
    <n v="4"/>
    <n v="9"/>
    <x v="1"/>
  </r>
  <r>
    <s v="TX501520"/>
    <s v="Tank Tops"/>
    <n v="21"/>
    <n v="63.8"/>
    <n v="1339.8"/>
    <d v="2025-02-26T00:00:00"/>
    <d v="2025-02-28T00:00:00"/>
    <s v="F"/>
    <x v="0"/>
    <n v="4"/>
    <s v="California"/>
    <s v="San Diego County"/>
    <n v="2"/>
    <n v="9"/>
    <x v="2"/>
  </r>
  <r>
    <s v="TX501521"/>
    <s v="Hoodies &amp; Sweatshirts"/>
    <n v="1"/>
    <n v="77.7"/>
    <n v="77.7"/>
    <d v="2025-02-26T00:00:00"/>
    <d v="2025-02-28T00:00:00"/>
    <s v="M"/>
    <x v="0"/>
    <n v="4"/>
    <s v="California"/>
    <s v="San Diego County"/>
    <n v="2"/>
    <n v="9"/>
    <x v="1"/>
  </r>
  <r>
    <s v="TX501522"/>
    <s v="Sandals"/>
    <n v="4"/>
    <n v="60.3"/>
    <n v="241.2"/>
    <d v="2025-02-26T00:00:00"/>
    <d v="2025-02-26T00:00:00"/>
    <s v="M"/>
    <x v="0"/>
    <n v="5"/>
    <s v="California"/>
    <s v="San Diego County"/>
    <n v="0"/>
    <n v="9"/>
    <x v="1"/>
  </r>
  <r>
    <s v="TX501523"/>
    <s v="Sandals"/>
    <n v="2"/>
    <n v="124.1"/>
    <n v="248.2"/>
    <d v="2025-02-26T00:00:00"/>
    <d v="2025-03-01T00:00:00"/>
    <s v="F"/>
    <x v="0"/>
    <n v="5"/>
    <s v="California"/>
    <s v="San Diego County"/>
    <n v="3"/>
    <n v="9"/>
    <x v="2"/>
  </r>
  <r>
    <s v="TX501524"/>
    <s v="Sunglasses"/>
    <n v="7"/>
    <n v="66"/>
    <n v="462"/>
    <d v="2025-02-26T00:00:00"/>
    <d v="2025-02-26T00:00:00"/>
    <s v=""/>
    <x v="3"/>
    <n v="4"/>
    <s v="California"/>
    <s v="San Francisco"/>
    <n v="0"/>
    <n v="9"/>
    <x v="0"/>
  </r>
  <r>
    <s v="TX501525"/>
    <s v="Sneakers"/>
    <n v="63"/>
    <n v="118.2"/>
    <n v="7446.6"/>
    <d v="2025-02-26T00:00:00"/>
    <d v="2025-03-03T00:00:00"/>
    <s v=""/>
    <x v="0"/>
    <n v="4"/>
    <s v="California"/>
    <s v="San Francisco"/>
    <n v="5"/>
    <n v="9"/>
    <x v="0"/>
  </r>
  <r>
    <s v="TX501526"/>
    <s v="Sandals"/>
    <n v="5"/>
    <n v="64.3"/>
    <n v="321.5"/>
    <d v="2025-02-26T00:00:00"/>
    <d v="2025-02-27T00:00:00"/>
    <s v="M"/>
    <x v="4"/>
    <n v="2"/>
    <s v="California"/>
    <s v="San Joaquin County"/>
    <n v="1"/>
    <n v="9"/>
    <x v="1"/>
  </r>
  <r>
    <s v="TX501527"/>
    <s v="Tank Tops"/>
    <n v="2"/>
    <n v="54.8"/>
    <n v="109.6"/>
    <d v="2025-02-26T00:00:00"/>
    <d v="2025-02-26T00:00:00"/>
    <s v="M"/>
    <x v="0"/>
    <n v="3"/>
    <s v="California"/>
    <s v="San Joaquin County"/>
    <n v="0"/>
    <n v="9"/>
    <x v="1"/>
  </r>
  <r>
    <s v="TX501528"/>
    <s v="Hoodies &amp; Sweatshirts"/>
    <n v="2"/>
    <n v="78.599999999999994"/>
    <n v="157.19999999999999"/>
    <d v="2025-02-26T00:00:00"/>
    <d v="2025-02-27T00:00:00"/>
    <s v="M"/>
    <x v="0"/>
    <n v="5"/>
    <s v="California"/>
    <s v="San Mateo County"/>
    <n v="1"/>
    <n v="9"/>
    <x v="1"/>
  </r>
  <r>
    <s v="TX501529"/>
    <s v="Sneakers"/>
    <n v="5"/>
    <n v="158.5"/>
    <n v="792.5"/>
    <d v="2025-02-26T00:00:00"/>
    <d v="2025-02-28T00:00:00"/>
    <s v=""/>
    <x v="2"/>
    <n v="5"/>
    <s v="California"/>
    <s v="San Mateo County"/>
    <n v="2"/>
    <n v="9"/>
    <x v="0"/>
  </r>
  <r>
    <s v="TX501530"/>
    <s v="Graphic Tees"/>
    <n v="10"/>
    <n v="23.5"/>
    <n v="235"/>
    <d v="2025-02-26T00:00:00"/>
    <d v="2025-03-01T00:00:00"/>
    <s v="M"/>
    <x v="0"/>
    <n v="2"/>
    <s v="California"/>
    <s v="Santa Barbara County"/>
    <n v="3"/>
    <n v="9"/>
    <x v="1"/>
  </r>
  <r>
    <s v="TX501531"/>
    <s v="Sandals"/>
    <n v="2"/>
    <n v="32.1"/>
    <n v="64.2"/>
    <d v="2025-02-26T00:00:00"/>
    <d v="2025-02-28T00:00:00"/>
    <s v=""/>
    <x v="3"/>
    <n v="4"/>
    <s v="California"/>
    <s v="Santa Barbara County"/>
    <n v="2"/>
    <n v="9"/>
    <x v="0"/>
  </r>
  <r>
    <s v="TX501532"/>
    <s v="Pajama Sets"/>
    <n v="4"/>
    <n v="71.900000000000006"/>
    <n v="287.60000000000002"/>
    <d v="2025-02-26T00:00:00"/>
    <d v="2025-02-26T00:00:00"/>
    <s v="M"/>
    <x v="2"/>
    <n v="4"/>
    <s v="California"/>
    <s v="Stanislaus County"/>
    <n v="0"/>
    <n v="9"/>
    <x v="1"/>
  </r>
  <r>
    <s v="TX501533"/>
    <s v="Graphic Tees"/>
    <n v="6"/>
    <n v="22.3"/>
    <n v="133.80000000000001"/>
    <d v="2025-02-26T00:00:00"/>
    <d v="2025-02-27T00:00:00"/>
    <s v=""/>
    <x v="3"/>
    <n v="5"/>
    <s v="California"/>
    <s v="Ventura County"/>
    <n v="1"/>
    <n v="9"/>
    <x v="0"/>
  </r>
  <r>
    <s v="TX501534"/>
    <s v="Maxi Dresses"/>
    <n v="2"/>
    <n v="29.5"/>
    <n v="59"/>
    <d v="2025-02-26T00:00:00"/>
    <d v="2025-02-27T00:00:00"/>
    <s v="F"/>
    <x v="0"/>
    <n v="5"/>
    <s v="California"/>
    <s v="Ventura County"/>
    <n v="1"/>
    <n v="9"/>
    <x v="2"/>
  </r>
  <r>
    <s v="TX501535"/>
    <s v="Jeans"/>
    <n v="4"/>
    <n v="41.9"/>
    <n v="167.6"/>
    <d v="2025-02-26T00:00:00"/>
    <d v="2025-03-02T00:00:00"/>
    <s v="F"/>
    <x v="0"/>
    <n v="3"/>
    <s v="California"/>
    <s v="Alameda County"/>
    <n v="4"/>
    <n v="9"/>
    <x v="2"/>
  </r>
  <r>
    <s v="TX501536"/>
    <s v="Jeans"/>
    <n v="3"/>
    <n v="107.8"/>
    <n v="323.39999999999998"/>
    <d v="2025-02-26T00:00:00"/>
    <d v="2025-02-27T00:00:00"/>
    <s v="M"/>
    <x v="1"/>
    <n v="5"/>
    <s v="California"/>
    <s v="Amador County"/>
    <n v="1"/>
    <n v="9"/>
    <x v="1"/>
  </r>
  <r>
    <s v="TX501537"/>
    <s v="Graphic Tees"/>
    <n v="5"/>
    <n v="18.100000000000001"/>
    <n v="90.5"/>
    <d v="2025-02-26T00:00:00"/>
    <d v="2025-03-01T00:00:00"/>
    <s v="M"/>
    <x v="0"/>
    <n v="5"/>
    <s v="California"/>
    <s v="Fresno County"/>
    <n v="3"/>
    <n v="9"/>
    <x v="1"/>
  </r>
  <r>
    <s v="TX501538"/>
    <s v="Casual Dresses"/>
    <n v="9"/>
    <n v="79.8"/>
    <n v="718.19999999999993"/>
    <d v="2025-02-26T00:00:00"/>
    <d v="2025-02-27T00:00:00"/>
    <s v="F"/>
    <x v="1"/>
    <n v="3"/>
    <s v="California"/>
    <s v="Kern County"/>
    <n v="1"/>
    <n v="9"/>
    <x v="2"/>
  </r>
  <r>
    <s v="TX501539"/>
    <s v="Shorts"/>
    <n v="3"/>
    <n v="22.3"/>
    <n v="66.900000000000006"/>
    <d v="2025-02-26T00:00:00"/>
    <d v="2025-03-01T00:00:00"/>
    <s v="F"/>
    <x v="0"/>
    <n v="5"/>
    <s v="California"/>
    <s v="Kern County"/>
    <n v="3"/>
    <n v="9"/>
    <x v="2"/>
  </r>
  <r>
    <s v="TX501540"/>
    <s v="T-Shirts"/>
    <n v="1"/>
    <n v="22.9"/>
    <n v="22.9"/>
    <d v="2025-02-26T00:00:00"/>
    <d v="2025-02-26T00:00:00"/>
    <s v="F"/>
    <x v="1"/>
    <n v="4"/>
    <s v="California"/>
    <s v="Kern County"/>
    <n v="0"/>
    <n v="9"/>
    <x v="2"/>
  </r>
  <r>
    <s v="TX501541"/>
    <s v="Shorts"/>
    <n v="3"/>
    <n v="16.2"/>
    <n v="48.599999999999994"/>
    <d v="2025-02-27T00:00:00"/>
    <d v="2025-02-27T00:00:00"/>
    <s v="M"/>
    <x v="4"/>
    <n v="5"/>
    <s v="California"/>
    <s v="Los Angeles County"/>
    <n v="0"/>
    <n v="9"/>
    <x v="1"/>
  </r>
  <r>
    <s v="TX501542"/>
    <s v="Bikinis"/>
    <n v="4"/>
    <n v="59.5"/>
    <n v="238"/>
    <d v="2025-02-27T00:00:00"/>
    <d v="2025-02-28T00:00:00"/>
    <s v="M"/>
    <x v="1"/>
    <n v="5"/>
    <s v="California"/>
    <s v="Los Angeles County"/>
    <n v="1"/>
    <n v="9"/>
    <x v="1"/>
  </r>
  <r>
    <s v="TX501543"/>
    <s v="Leggings"/>
    <n v="5"/>
    <n v="26.2"/>
    <n v="131"/>
    <d v="2025-02-27T00:00:00"/>
    <d v="2025-03-02T00:00:00"/>
    <s v="M"/>
    <x v="3"/>
    <n v="2"/>
    <s v="California"/>
    <s v="Los Angeles County"/>
    <n v="3"/>
    <n v="9"/>
    <x v="1"/>
  </r>
  <r>
    <s v="TX501544"/>
    <s v="Workout Tops"/>
    <n v="1"/>
    <n v="44.2"/>
    <n v="44.2"/>
    <d v="2025-02-27T00:00:00"/>
    <d v="2025-03-02T00:00:00"/>
    <s v="F"/>
    <x v="1"/>
    <n v="4"/>
    <s v="California"/>
    <s v="Los Angeles County"/>
    <n v="3"/>
    <n v="9"/>
    <x v="2"/>
  </r>
  <r>
    <s v="TX501545"/>
    <s v="Sundresses"/>
    <n v="2"/>
    <n v="59.2"/>
    <n v="118.4"/>
    <d v="2025-02-27T00:00:00"/>
    <d v="2025-02-27T00:00:00"/>
    <s v="F"/>
    <x v="1"/>
    <n v="2"/>
    <s v="California"/>
    <s v="Los Angeles County"/>
    <n v="0"/>
    <n v="9"/>
    <x v="2"/>
  </r>
  <r>
    <s v="TX501546"/>
    <s v="Crop Tops"/>
    <n v="4"/>
    <n v="41.5"/>
    <n v="166"/>
    <d v="2025-02-27T00:00:00"/>
    <d v="2025-03-01T00:00:00"/>
    <s v="F"/>
    <x v="0"/>
    <n v="4"/>
    <s v="California"/>
    <s v="Napa County"/>
    <n v="2"/>
    <n v="9"/>
    <x v="2"/>
  </r>
  <r>
    <s v="TX501547"/>
    <s v="Jeans"/>
    <n v="12"/>
    <n v="67.099999999999994"/>
    <n v="805.19999999999993"/>
    <d v="2025-02-27T00:00:00"/>
    <d v="2025-03-13T00:00:00"/>
    <s v="F"/>
    <x v="0"/>
    <n v="5"/>
    <s v="California"/>
    <s v="Riverside County"/>
    <n v="14"/>
    <n v="9"/>
    <x v="2"/>
  </r>
  <r>
    <s v="TX501548"/>
    <s v="T-Shirts"/>
    <n v="2"/>
    <n v="28.7"/>
    <n v="57.4"/>
    <d v="2025-02-27T00:00:00"/>
    <d v="2025-03-03T00:00:00"/>
    <s v="F"/>
    <x v="1"/>
    <n v="4"/>
    <s v="California"/>
    <s v="Sacramento County"/>
    <n v="4"/>
    <n v="9"/>
    <x v="2"/>
  </r>
  <r>
    <s v="TX501549"/>
    <s v="Sneakers"/>
    <n v="4"/>
    <n v="132.1"/>
    <n v="528.4"/>
    <d v="2025-02-27T00:00:00"/>
    <d v="2025-02-28T00:00:00"/>
    <s v="F"/>
    <x v="0"/>
    <n v="3"/>
    <s v="California"/>
    <s v="Sacramento County"/>
    <n v="1"/>
    <n v="9"/>
    <x v="2"/>
  </r>
  <r>
    <s v="TX501550"/>
    <s v="Leggings"/>
    <n v="2"/>
    <n v="47"/>
    <n v="94"/>
    <d v="2025-02-27T00:00:00"/>
    <d v="2025-03-01T00:00:00"/>
    <s v="M"/>
    <x v="4"/>
    <n v="4"/>
    <s v="California"/>
    <s v="San Diego County"/>
    <n v="2"/>
    <n v="9"/>
    <x v="1"/>
  </r>
  <r>
    <s v="TX501551"/>
    <s v="T-Shirts"/>
    <n v="2"/>
    <n v="41.6"/>
    <n v="83.2"/>
    <d v="2025-02-27T00:00:00"/>
    <d v="2025-03-03T00:00:00"/>
    <s v="M"/>
    <x v="1"/>
    <n v="5"/>
    <s v="California"/>
    <s v="San Diego County"/>
    <n v="4"/>
    <n v="9"/>
    <x v="1"/>
  </r>
  <r>
    <s v="TX501552"/>
    <s v="T-Shirts"/>
    <n v="38"/>
    <n v="17.3"/>
    <n v="657.4"/>
    <d v="2025-02-27T00:00:00"/>
    <d v="2025-03-01T00:00:00"/>
    <s v="M"/>
    <x v="2"/>
    <n v="5"/>
    <s v="California"/>
    <s v="San Diego County"/>
    <n v="2"/>
    <n v="9"/>
    <x v="1"/>
  </r>
  <r>
    <s v="TX501553"/>
    <s v="Tote Bags"/>
    <n v="3"/>
    <n v="41.8"/>
    <n v="125.39999999999999"/>
    <d v="2025-02-27T00:00:00"/>
    <d v="2025-03-02T00:00:00"/>
    <s v="M"/>
    <x v="0"/>
    <n v="5"/>
    <s v="California"/>
    <s v="San Diego County"/>
    <n v="3"/>
    <n v="9"/>
    <x v="1"/>
  </r>
  <r>
    <s v="TX501554"/>
    <s v="Bikinis"/>
    <n v="1"/>
    <n v="24"/>
    <n v="24"/>
    <d v="2025-02-27T00:00:00"/>
    <d v="2025-02-28T00:00:00"/>
    <s v="F"/>
    <x v="0"/>
    <n v="4"/>
    <s v="California"/>
    <s v="San Francisco"/>
    <n v="1"/>
    <n v="9"/>
    <x v="2"/>
  </r>
  <r>
    <s v="TX501555"/>
    <s v="Baseball Caps"/>
    <n v="9"/>
    <n v="18.5"/>
    <n v="166.5"/>
    <d v="2025-02-27T00:00:00"/>
    <d v="2025-03-01T00:00:00"/>
    <s v="F"/>
    <x v="0"/>
    <n v="4"/>
    <s v="California"/>
    <s v="San Mateo County"/>
    <n v="2"/>
    <n v="9"/>
    <x v="2"/>
  </r>
  <r>
    <s v="TX501556"/>
    <s v="Workout Tops"/>
    <n v="12"/>
    <n v="66.7"/>
    <n v="800.40000000000009"/>
    <d v="2025-02-27T00:00:00"/>
    <d v="2025-03-02T00:00:00"/>
    <s v=""/>
    <x v="0"/>
    <n v="5"/>
    <s v="California"/>
    <s v="Santa Clara County"/>
    <n v="3"/>
    <n v="9"/>
    <x v="0"/>
  </r>
  <r>
    <s v="TX501557"/>
    <s v="Tank Tops"/>
    <n v="4"/>
    <n v="33.1"/>
    <n v="132.4"/>
    <d v="2025-02-27T00:00:00"/>
    <d v="2025-03-04T00:00:00"/>
    <s v="M"/>
    <x v="3"/>
    <n v="4"/>
    <s v="California"/>
    <s v="Santa Clara County"/>
    <n v="5"/>
    <n v="9"/>
    <x v="1"/>
  </r>
  <r>
    <s v="TX501558"/>
    <s v="Jewelry"/>
    <n v="9"/>
    <n v="42.1"/>
    <n v="378.90000000000003"/>
    <d v="2025-02-27T00:00:00"/>
    <d v="2025-03-10T00:00:00"/>
    <s v="M"/>
    <x v="1"/>
    <n v="4"/>
    <s v="California"/>
    <s v="Sonoma County"/>
    <n v="11"/>
    <n v="9"/>
    <x v="1"/>
  </r>
  <r>
    <s v="TX501559"/>
    <s v="Leggings"/>
    <n v="7"/>
    <n v="58.7"/>
    <n v="410.90000000000003"/>
    <d v="2025-02-27T00:00:00"/>
    <d v="2025-02-27T00:00:00"/>
    <s v="O"/>
    <x v="3"/>
    <n v="4"/>
    <s v="California"/>
    <s v="Sutter County"/>
    <n v="0"/>
    <n v="9"/>
    <x v="3"/>
  </r>
  <r>
    <s v="TX501560"/>
    <s v="Jeans"/>
    <n v="4"/>
    <n v="54"/>
    <n v="216"/>
    <d v="2025-02-27T00:00:00"/>
    <d v="2025-03-01T00:00:00"/>
    <s v="F"/>
    <x v="1"/>
    <n v="4"/>
    <s v="California"/>
    <s v="Contra Costa County"/>
    <n v="2"/>
    <n v="9"/>
    <x v="2"/>
  </r>
  <r>
    <s v="TX501561"/>
    <s v="T-Shirts"/>
    <n v="1"/>
    <n v="52.1"/>
    <n v="52.1"/>
    <d v="2025-02-27T00:00:00"/>
    <d v="2025-02-28T00:00:00"/>
    <s v="F"/>
    <x v="2"/>
    <n v="5"/>
    <s v="California"/>
    <s v="Fresno County"/>
    <n v="1"/>
    <n v="9"/>
    <x v="2"/>
  </r>
  <r>
    <s v="TX501562"/>
    <s v="Jewelry"/>
    <n v="2"/>
    <n v="27"/>
    <n v="54"/>
    <d v="2025-02-27T00:00:00"/>
    <d v="2025-03-02T00:00:00"/>
    <s v="O"/>
    <x v="2"/>
    <n v="4"/>
    <s v="California"/>
    <s v="Kern County"/>
    <n v="3"/>
    <n v="9"/>
    <x v="3"/>
  </r>
  <r>
    <s v="TX501563"/>
    <s v="Casual Dresses"/>
    <n v="10"/>
    <n v="31"/>
    <n v="310"/>
    <d v="2025-02-28T00:00:00"/>
    <d v="2025-03-01T00:00:00"/>
    <s v="F"/>
    <x v="3"/>
    <n v="5"/>
    <s v="California"/>
    <s v="Kern County"/>
    <n v="1"/>
    <n v="9"/>
    <x v="2"/>
  </r>
  <r>
    <s v="TX501564"/>
    <s v="Bikinis"/>
    <n v="2"/>
    <n v="46.7"/>
    <n v="93.4"/>
    <d v="2025-02-28T00:00:00"/>
    <d v="2025-02-28T00:00:00"/>
    <s v="F"/>
    <x v="0"/>
    <n v="4"/>
    <s v="California"/>
    <s v="Kings County"/>
    <n v="0"/>
    <n v="9"/>
    <x v="2"/>
  </r>
  <r>
    <s v="TX501565"/>
    <s v="Jeans"/>
    <n v="1"/>
    <n v="144.69999999999999"/>
    <n v="144.69999999999999"/>
    <d v="2025-02-28T00:00:00"/>
    <d v="2025-03-03T00:00:00"/>
    <s v="M"/>
    <x v="0"/>
    <n v="5"/>
    <s v="California"/>
    <s v="Los Angeles County"/>
    <n v="3"/>
    <n v="9"/>
    <x v="1"/>
  </r>
  <r>
    <s v="TX501566"/>
    <s v="Sneakers"/>
    <n v="9"/>
    <n v="90.9"/>
    <n v="818.1"/>
    <d v="2025-02-28T00:00:00"/>
    <d v="2025-03-01T00:00:00"/>
    <s v="M"/>
    <x v="0"/>
    <n v="5"/>
    <s v="California"/>
    <s v="Los Angeles County"/>
    <n v="1"/>
    <n v="9"/>
    <x v="1"/>
  </r>
  <r>
    <s v="TX501567"/>
    <s v="Tank Tops"/>
    <n v="2"/>
    <n v="75.8"/>
    <n v="151.6"/>
    <d v="2025-02-28T00:00:00"/>
    <d v="2025-03-01T00:00:00"/>
    <s v="F"/>
    <x v="2"/>
    <n v="3"/>
    <s v="California"/>
    <s v="Los Angeles County"/>
    <n v="1"/>
    <n v="9"/>
    <x v="2"/>
  </r>
  <r>
    <s v="TX501568"/>
    <s v="Hoodies &amp; Sweatshirts"/>
    <n v="5"/>
    <n v="57.9"/>
    <n v="289.5"/>
    <d v="2025-02-28T00:00:00"/>
    <d v="2025-03-02T00:00:00"/>
    <s v="M"/>
    <x v="2"/>
    <n v="5"/>
    <s v="California"/>
    <s v="Los Angeles County"/>
    <n v="2"/>
    <n v="9"/>
    <x v="1"/>
  </r>
  <r>
    <s v="TX501569"/>
    <s v="T-Shirts"/>
    <n v="5"/>
    <n v="44.8"/>
    <n v="224"/>
    <d v="2025-02-28T00:00:00"/>
    <d v="2025-03-01T00:00:00"/>
    <s v="F"/>
    <x v="3"/>
    <n v="5"/>
    <s v="California"/>
    <s v="Los Angeles County"/>
    <n v="1"/>
    <n v="9"/>
    <x v="2"/>
  </r>
  <r>
    <s v="TX501570"/>
    <s v="Sundresses"/>
    <n v="3"/>
    <n v="44.2"/>
    <n v="132.60000000000002"/>
    <d v="2025-02-28T00:00:00"/>
    <d v="2025-03-04T00:00:00"/>
    <s v="M"/>
    <x v="2"/>
    <n v="5"/>
    <s v="California"/>
    <s v="Los Angeles County"/>
    <n v="4"/>
    <n v="9"/>
    <x v="1"/>
  </r>
  <r>
    <s v="TX501571"/>
    <s v="Sandals"/>
    <n v="5"/>
    <n v="53.5"/>
    <n v="267.5"/>
    <d v="2025-02-28T00:00:00"/>
    <d v="2025-03-02T00:00:00"/>
    <s v="M"/>
    <x v="0"/>
    <n v="4"/>
    <s v="California"/>
    <s v="Madera County"/>
    <n v="2"/>
    <n v="9"/>
    <x v="1"/>
  </r>
  <r>
    <s v="TX501572"/>
    <s v="Jeans"/>
    <n v="2"/>
    <n v="72.2"/>
    <n v="144.4"/>
    <d v="2025-02-28T00:00:00"/>
    <d v="2025-03-01T00:00:00"/>
    <s v="M"/>
    <x v="0"/>
    <n v="5"/>
    <s v="California"/>
    <s v="Orange County"/>
    <n v="1"/>
    <n v="9"/>
    <x v="1"/>
  </r>
  <r>
    <s v="TX501573"/>
    <s v="Jeans"/>
    <n v="4"/>
    <n v="62.4"/>
    <n v="249.6"/>
    <d v="2025-02-28T00:00:00"/>
    <d v="2025-03-03T00:00:00"/>
    <s v="F"/>
    <x v="0"/>
    <n v="3"/>
    <s v="California"/>
    <s v="Riverside County"/>
    <n v="3"/>
    <n v="9"/>
    <x v="2"/>
  </r>
  <r>
    <s v="TX501574"/>
    <s v="Bikinis"/>
    <n v="5"/>
    <n v="24.7"/>
    <n v="123.5"/>
    <d v="2025-02-28T00:00:00"/>
    <d v="2025-03-01T00:00:00"/>
    <s v="F"/>
    <x v="0"/>
    <n v="4"/>
    <s v="California"/>
    <s v="Sacramento County"/>
    <n v="1"/>
    <n v="9"/>
    <x v="2"/>
  </r>
  <r>
    <s v="TX501575"/>
    <s v="Tank Tops"/>
    <n v="5"/>
    <n v="61.7"/>
    <n v="308.5"/>
    <d v="2025-02-28T00:00:00"/>
    <d v="2025-03-02T00:00:00"/>
    <s v="F"/>
    <x v="2"/>
    <n v="4"/>
    <s v="California"/>
    <s v="San Diego County"/>
    <n v="2"/>
    <n v="9"/>
    <x v="2"/>
  </r>
  <r>
    <s v="TX501576"/>
    <s v="T-Shirts"/>
    <n v="5"/>
    <n v="18.2"/>
    <n v="91"/>
    <d v="2025-02-28T00:00:00"/>
    <d v="2025-03-02T00:00:00"/>
    <s v="F"/>
    <x v="3"/>
    <n v="4"/>
    <s v="California"/>
    <s v="San Diego County"/>
    <n v="2"/>
    <n v="9"/>
    <x v="2"/>
  </r>
  <r>
    <s v="TX501577"/>
    <s v="Bikinis"/>
    <n v="4"/>
    <n v="37.200000000000003"/>
    <n v="148.80000000000001"/>
    <d v="2025-02-28T00:00:00"/>
    <d v="2025-03-06T00:00:00"/>
    <s v="F"/>
    <x v="0"/>
    <n v="4"/>
    <s v="California"/>
    <s v="San Diego County"/>
    <n v="6"/>
    <n v="9"/>
    <x v="2"/>
  </r>
  <r>
    <s v="TX501578"/>
    <s v="Sundresses"/>
    <n v="3"/>
    <n v="53.5"/>
    <n v="160.5"/>
    <d v="2025-02-28T00:00:00"/>
    <d v="2025-03-02T00:00:00"/>
    <s v="F"/>
    <x v="1"/>
    <n v="5"/>
    <s v="California"/>
    <s v="San Mateo County"/>
    <n v="2"/>
    <n v="9"/>
    <x v="2"/>
  </r>
  <r>
    <s v="TX501579"/>
    <s v="T-Shirts"/>
    <n v="3"/>
    <n v="43.6"/>
    <n v="130.80000000000001"/>
    <d v="2025-02-28T00:00:00"/>
    <d v="2025-02-28T00:00:00"/>
    <s v="F"/>
    <x v="0"/>
    <n v="4"/>
    <s v="California"/>
    <s v="San Mateo County"/>
    <n v="0"/>
    <n v="9"/>
    <x v="2"/>
  </r>
  <r>
    <s v="TX501580"/>
    <s v="Tank Tops"/>
    <n v="10"/>
    <n v="135"/>
    <n v="1350"/>
    <d v="2025-02-28T00:00:00"/>
    <d v="2025-03-02T00:00:00"/>
    <s v="F"/>
    <x v="0"/>
    <n v="5"/>
    <s v="California"/>
    <s v="San Mateo County"/>
    <n v="2"/>
    <n v="9"/>
    <x v="2"/>
  </r>
  <r>
    <s v="TX501581"/>
    <s v="T-Shirts"/>
    <n v="5"/>
    <n v="38.5"/>
    <n v="192.5"/>
    <d v="2025-02-28T00:00:00"/>
    <d v="2025-02-28T00:00:00"/>
    <s v="M"/>
    <x v="4"/>
    <n v="5"/>
    <s v="California"/>
    <s v="Santa Barbara County"/>
    <n v="0"/>
    <n v="9"/>
    <x v="1"/>
  </r>
  <r>
    <s v="TX501582"/>
    <s v="Sundresses"/>
    <n v="2"/>
    <n v="24"/>
    <n v="48"/>
    <d v="2025-02-28T00:00:00"/>
    <d v="2025-03-05T00:00:00"/>
    <s v="F"/>
    <x v="0"/>
    <n v="4"/>
    <s v="California"/>
    <s v="Santa Clara County"/>
    <n v="5"/>
    <n v="9"/>
    <x v="2"/>
  </r>
  <r>
    <s v="TX501583"/>
    <s v="Graphic Tees"/>
    <n v="3"/>
    <n v="28.2"/>
    <n v="84.6"/>
    <d v="2025-02-28T00:00:00"/>
    <d v="2025-03-02T00:00:00"/>
    <s v="M"/>
    <x v="0"/>
    <n v="1"/>
    <s v="California"/>
    <s v="Sonoma County"/>
    <n v="2"/>
    <n v="9"/>
    <x v="1"/>
  </r>
  <r>
    <s v="TX501584"/>
    <s v="Hoodies &amp; Sweatshirts"/>
    <n v="3"/>
    <n v="37.4"/>
    <n v="112.19999999999999"/>
    <d v="2025-02-28T00:00:00"/>
    <d v="2025-03-01T00:00:00"/>
    <s v="F"/>
    <x v="3"/>
    <n v="4"/>
    <s v="California"/>
    <s v="Contra Costa County"/>
    <n v="1"/>
    <n v="9"/>
    <x v="2"/>
  </r>
  <r>
    <s v="TX501585"/>
    <s v="Jeans"/>
    <n v="3"/>
    <n v="53.5"/>
    <n v="160.5"/>
    <d v="2025-02-28T00:00:00"/>
    <d v="2025-03-03T00:00:00"/>
    <s v=""/>
    <x v="4"/>
    <n v="2"/>
    <s v="California"/>
    <s v="Contra Costa County"/>
    <n v="3"/>
    <n v="9"/>
    <x v="0"/>
  </r>
  <r>
    <s v="TX501586"/>
    <s v="Maxi Dresses"/>
    <n v="5"/>
    <n v="36.200000000000003"/>
    <n v="181"/>
    <d v="2025-02-28T00:00:00"/>
    <d v="2025-03-01T00:00:00"/>
    <s v="M"/>
    <x v="1"/>
    <n v="5"/>
    <s v="California"/>
    <s v="Imperial County"/>
    <n v="1"/>
    <n v="9"/>
    <x v="1"/>
  </r>
  <r>
    <s v="TX501587"/>
    <s v="Shorts"/>
    <n v="8"/>
    <n v="31.9"/>
    <n v="255.2"/>
    <d v="2025-02-28T00:00:00"/>
    <d v="2025-03-01T00:00:00"/>
    <s v="F"/>
    <x v="4"/>
    <n v="4"/>
    <s v="California"/>
    <s v="Los Angeles County"/>
    <n v="1"/>
    <n v="9"/>
    <x v="2"/>
  </r>
  <r>
    <s v="TX501588"/>
    <s v="T-Shirts"/>
    <n v="3"/>
    <n v="21.3"/>
    <n v="63.900000000000006"/>
    <d v="2025-02-28T00:00:00"/>
    <d v="2025-03-01T00:00:00"/>
    <s v="M"/>
    <x v="0"/>
    <n v="5"/>
    <s v="California"/>
    <s v="Los Angeles County"/>
    <n v="1"/>
    <n v="9"/>
    <x v="1"/>
  </r>
  <r>
    <s v="TX501589"/>
    <s v="T-Shirts"/>
    <n v="1"/>
    <n v="36.299999999999997"/>
    <n v="36.299999999999997"/>
    <d v="2025-02-28T00:00:00"/>
    <d v="2025-03-02T00:00:00"/>
    <s v="O"/>
    <x v="4"/>
    <n v="4"/>
    <s v="California"/>
    <s v="Los Angeles County"/>
    <n v="2"/>
    <n v="9"/>
    <x v="3"/>
  </r>
  <r>
    <s v="TX501590"/>
    <s v="Jeans"/>
    <n v="3"/>
    <n v="110.5"/>
    <n v="331.5"/>
    <d v="2025-02-28T00:00:00"/>
    <d v="2025-03-01T00:00:00"/>
    <s v="F"/>
    <x v="0"/>
    <n v="1"/>
    <s v="California"/>
    <s v="Los Angeles County"/>
    <n v="1"/>
    <n v="9"/>
    <x v="2"/>
  </r>
  <r>
    <s v="TX501591"/>
    <s v="Bikinis"/>
    <n v="7"/>
    <n v="32.6"/>
    <n v="228.20000000000002"/>
    <d v="2025-02-28T00:00:00"/>
    <d v="2025-03-02T00:00:00"/>
    <s v="F"/>
    <x v="0"/>
    <n v="3"/>
    <s v="California"/>
    <s v="Los Angeles County"/>
    <n v="2"/>
    <n v="9"/>
    <x v="2"/>
  </r>
  <r>
    <s v="TX501592"/>
    <s v="Sandals"/>
    <n v="3"/>
    <n v="55.6"/>
    <n v="166.8"/>
    <d v="2025-03-01T00:00:00"/>
    <d v="2025-03-14T00:00:00"/>
    <s v="F"/>
    <x v="0"/>
    <n v="4"/>
    <s v="California"/>
    <s v="Los Angeles County"/>
    <n v="13"/>
    <n v="9"/>
    <x v="2"/>
  </r>
  <r>
    <s v="TX501593"/>
    <s v="Tank Tops"/>
    <n v="4"/>
    <n v="38"/>
    <n v="152"/>
    <d v="2025-03-01T00:00:00"/>
    <d v="2025-03-02T00:00:00"/>
    <s v="F"/>
    <x v="3"/>
    <n v="5"/>
    <s v="California"/>
    <s v="Placer County"/>
    <n v="1"/>
    <n v="9"/>
    <x v="2"/>
  </r>
  <r>
    <s v="TX501594"/>
    <s v="Bikinis"/>
    <n v="2"/>
    <n v="51.8"/>
    <n v="103.6"/>
    <d v="2025-03-01T00:00:00"/>
    <d v="2025-03-07T00:00:00"/>
    <s v="M"/>
    <x v="1"/>
    <n v="2"/>
    <s v="California"/>
    <s v="Sacramento County"/>
    <n v="6"/>
    <n v="9"/>
    <x v="1"/>
  </r>
  <r>
    <s v="TX501595"/>
    <s v="Maxi Dresses"/>
    <n v="8"/>
    <n v="28.7"/>
    <n v="229.6"/>
    <d v="2025-03-01T00:00:00"/>
    <d v="2025-03-06T00:00:00"/>
    <s v="F"/>
    <x v="0"/>
    <n v="4"/>
    <s v="California"/>
    <s v="Sacramento County"/>
    <n v="5"/>
    <n v="9"/>
    <x v="2"/>
  </r>
  <r>
    <s v="TX501596"/>
    <s v="Jeans"/>
    <n v="12"/>
    <n v="52.2"/>
    <n v="626.40000000000009"/>
    <d v="2025-03-01T00:00:00"/>
    <d v="2025-03-01T00:00:00"/>
    <s v="M"/>
    <x v="0"/>
    <n v="3"/>
    <s v="California"/>
    <s v="Sacramento County"/>
    <n v="0"/>
    <n v="9"/>
    <x v="1"/>
  </r>
  <r>
    <s v="TX501597"/>
    <s v="Tank Tops"/>
    <n v="2"/>
    <n v="68.2"/>
    <n v="136.4"/>
    <d v="2025-03-01T00:00:00"/>
    <d v="2025-03-02T00:00:00"/>
    <s v=""/>
    <x v="2"/>
    <n v="4"/>
    <s v="California"/>
    <s v="San Bernardino County"/>
    <n v="1"/>
    <n v="9"/>
    <x v="0"/>
  </r>
  <r>
    <s v="TX501598"/>
    <s v="Shorts"/>
    <n v="3"/>
    <n v="34"/>
    <n v="102"/>
    <d v="2025-03-01T00:00:00"/>
    <d v="2025-03-05T00:00:00"/>
    <s v="F"/>
    <x v="0"/>
    <n v="4"/>
    <s v="California"/>
    <s v="San Diego County"/>
    <n v="4"/>
    <n v="9"/>
    <x v="2"/>
  </r>
  <r>
    <s v="TX501599"/>
    <s v="T-Shirts"/>
    <n v="3"/>
    <n v="19.100000000000001"/>
    <n v="57.300000000000004"/>
    <d v="2025-03-01T00:00:00"/>
    <d v="2025-03-02T00:00:00"/>
    <s v="F"/>
    <x v="4"/>
    <n v="4"/>
    <s v="California"/>
    <s v="San Diego County"/>
    <n v="1"/>
    <n v="9"/>
    <x v="2"/>
  </r>
  <r>
    <s v="TX501600"/>
    <s v="Sandals"/>
    <n v="8"/>
    <n v="34"/>
    <n v="272"/>
    <d v="2025-03-01T00:00:00"/>
    <d v="2025-03-09T00:00:00"/>
    <s v="F"/>
    <x v="4"/>
    <n v="4"/>
    <s v="California"/>
    <s v="San Diego County"/>
    <n v="8"/>
    <n v="9"/>
    <x v="2"/>
  </r>
  <r>
    <s v="TX501601"/>
    <s v="Casual Dresses"/>
    <n v="2"/>
    <n v="109.1"/>
    <n v="218.2"/>
    <d v="2025-03-01T00:00:00"/>
    <d v="2025-03-03T00:00:00"/>
    <s v="M"/>
    <x v="0"/>
    <n v="5"/>
    <s v="California"/>
    <s v="San Diego County"/>
    <n v="2"/>
    <n v="9"/>
    <x v="1"/>
  </r>
  <r>
    <s v="TX501602"/>
    <s v="Leggings"/>
    <n v="2"/>
    <n v="64.8"/>
    <n v="129.6"/>
    <d v="2025-03-01T00:00:00"/>
    <d v="2025-03-03T00:00:00"/>
    <s v="M"/>
    <x v="0"/>
    <n v="5"/>
    <s v="California"/>
    <s v="San Diego County"/>
    <n v="2"/>
    <n v="9"/>
    <x v="1"/>
  </r>
  <r>
    <s v="TX501603"/>
    <s v="Bikinis"/>
    <n v="2"/>
    <n v="21.1"/>
    <n v="42.2"/>
    <d v="2025-03-01T00:00:00"/>
    <d v="2025-03-01T00:00:00"/>
    <s v="F"/>
    <x v="1"/>
    <n v="4"/>
    <s v="California"/>
    <s v="Santa Clara County"/>
    <n v="0"/>
    <n v="9"/>
    <x v="2"/>
  </r>
  <r>
    <s v="TX501604"/>
    <s v="Shorts"/>
    <n v="8"/>
    <n v="21.3"/>
    <n v="170.4"/>
    <d v="2025-03-01T00:00:00"/>
    <d v="2025-03-03T00:00:00"/>
    <s v="M"/>
    <x v="3"/>
    <n v="3"/>
    <s v="California"/>
    <s v="Sonoma County"/>
    <n v="2"/>
    <n v="9"/>
    <x v="1"/>
  </r>
  <r>
    <s v="TX501605"/>
    <s v="Sundresses"/>
    <n v="3"/>
    <n v="24.3"/>
    <n v="72.900000000000006"/>
    <d v="2025-03-01T00:00:00"/>
    <d v="2025-03-02T00:00:00"/>
    <s v="M"/>
    <x v="1"/>
    <n v="4"/>
    <s v="California"/>
    <s v="Stanislaus County"/>
    <n v="1"/>
    <n v="9"/>
    <x v="1"/>
  </r>
  <r>
    <s v="TX501606"/>
    <s v="T-Shirts"/>
    <n v="1"/>
    <n v="43.3"/>
    <n v="43.3"/>
    <d v="2025-03-01T00:00:00"/>
    <d v="2025-03-05T00:00:00"/>
    <s v="M"/>
    <x v="1"/>
    <n v="3"/>
    <s v="California"/>
    <s v="Ventura County"/>
    <n v="4"/>
    <n v="9"/>
    <x v="1"/>
  </r>
  <r>
    <s v="TX501607"/>
    <s v="Sundresses"/>
    <n v="3"/>
    <n v="41"/>
    <n v="123"/>
    <d v="2025-03-01T00:00:00"/>
    <d v="2025-03-02T00:00:00"/>
    <s v="F"/>
    <x v="3"/>
    <n v="2"/>
    <s v="California"/>
    <s v="Alameda County"/>
    <n v="1"/>
    <n v="9"/>
    <x v="2"/>
  </r>
  <r>
    <s v="TX501608"/>
    <s v="Sunglasses"/>
    <n v="3"/>
    <n v="54.1"/>
    <n v="162.30000000000001"/>
    <d v="2025-03-01T00:00:00"/>
    <d v="2025-03-03T00:00:00"/>
    <s v="F"/>
    <x v="4"/>
    <n v="4"/>
    <s v="California"/>
    <s v="Alameda County"/>
    <n v="2"/>
    <n v="9"/>
    <x v="2"/>
  </r>
  <r>
    <s v="TX501609"/>
    <s v="Maxi Dresses"/>
    <n v="2"/>
    <n v="39"/>
    <n v="78"/>
    <d v="2025-03-01T00:00:00"/>
    <d v="2025-03-02T00:00:00"/>
    <s v="M"/>
    <x v="1"/>
    <n v="5"/>
    <s v="California"/>
    <s v="Contra Costa County"/>
    <n v="1"/>
    <n v="9"/>
    <x v="1"/>
  </r>
  <r>
    <s v="TX501610"/>
    <s v="T-Shirts"/>
    <n v="2"/>
    <n v="40.299999999999997"/>
    <n v="80.599999999999994"/>
    <d v="2025-03-01T00:00:00"/>
    <d v="2025-03-03T00:00:00"/>
    <s v="M"/>
    <x v="3"/>
    <n v="4"/>
    <s v="California"/>
    <s v="Glenn County"/>
    <n v="2"/>
    <n v="9"/>
    <x v="1"/>
  </r>
  <r>
    <s v="TX501611"/>
    <s v="T-Shirts"/>
    <n v="3"/>
    <n v="24.1"/>
    <n v="72.300000000000011"/>
    <d v="2025-03-01T00:00:00"/>
    <d v="2025-03-02T00:00:00"/>
    <s v="M"/>
    <x v="0"/>
    <n v="5"/>
    <s v="California"/>
    <s v="Kings County"/>
    <n v="1"/>
    <n v="9"/>
    <x v="1"/>
  </r>
  <r>
    <s v="TX501612"/>
    <s v="Jeans"/>
    <n v="5"/>
    <n v="52.3"/>
    <n v="261.5"/>
    <d v="2025-03-01T00:00:00"/>
    <d v="2025-03-02T00:00:00"/>
    <s v="M"/>
    <x v="2"/>
    <n v="4"/>
    <s v="California"/>
    <s v="Los Angeles County"/>
    <n v="1"/>
    <n v="9"/>
    <x v="1"/>
  </r>
  <r>
    <s v="TX501613"/>
    <s v="Casual Dresses"/>
    <n v="4"/>
    <n v="68.8"/>
    <n v="275.2"/>
    <d v="2025-03-01T00:00:00"/>
    <d v="2025-03-05T00:00:00"/>
    <s v="F"/>
    <x v="4"/>
    <n v="5"/>
    <s v="California"/>
    <s v="Los Angeles County"/>
    <n v="4"/>
    <n v="9"/>
    <x v="2"/>
  </r>
  <r>
    <s v="TX501614"/>
    <s v="Sneakers"/>
    <n v="2"/>
    <n v="128.80000000000001"/>
    <n v="257.60000000000002"/>
    <d v="2025-03-02T00:00:00"/>
    <d v="2025-03-05T00:00:00"/>
    <s v="F"/>
    <x v="1"/>
    <n v="3"/>
    <s v="California"/>
    <s v="Los Angeles County"/>
    <n v="3"/>
    <n v="10"/>
    <x v="2"/>
  </r>
  <r>
    <s v="TX501615"/>
    <s v="Crop Tops"/>
    <n v="5"/>
    <n v="48.2"/>
    <n v="241"/>
    <d v="2025-03-02T00:00:00"/>
    <d v="2025-03-04T00:00:00"/>
    <s v="F"/>
    <x v="3"/>
    <n v="4"/>
    <s v="California"/>
    <s v="Los Angeles County"/>
    <n v="2"/>
    <n v="10"/>
    <x v="2"/>
  </r>
  <r>
    <s v="TX501616"/>
    <s v="Bikinis"/>
    <n v="1"/>
    <n v="39.700000000000003"/>
    <n v="39.700000000000003"/>
    <d v="2025-03-02T00:00:00"/>
    <d v="2025-03-04T00:00:00"/>
    <s v="F"/>
    <x v="0"/>
    <n v="3"/>
    <s v="California"/>
    <s v="Los Angeles County"/>
    <n v="2"/>
    <n v="10"/>
    <x v="2"/>
  </r>
  <r>
    <s v="TX501617"/>
    <s v="Sundresses"/>
    <n v="1"/>
    <n v="59.7"/>
    <n v="59.7"/>
    <d v="2025-03-02T00:00:00"/>
    <d v="2025-03-05T00:00:00"/>
    <s v="F"/>
    <x v="4"/>
    <n v="4"/>
    <s v="California"/>
    <s v="Los Angeles County"/>
    <n v="3"/>
    <n v="10"/>
    <x v="2"/>
  </r>
  <r>
    <s v="TX501618"/>
    <s v="Jeans"/>
    <n v="1"/>
    <n v="48.3"/>
    <n v="48.3"/>
    <d v="2025-03-02T00:00:00"/>
    <d v="2025-03-16T00:00:00"/>
    <s v="O"/>
    <x v="0"/>
    <n v="5"/>
    <s v="California"/>
    <s v="Los Angeles County"/>
    <n v="14"/>
    <n v="10"/>
    <x v="3"/>
  </r>
  <r>
    <s v="TX501619"/>
    <s v="T-Shirts"/>
    <n v="3"/>
    <n v="45.5"/>
    <n v="136.5"/>
    <d v="2025-03-02T00:00:00"/>
    <d v="2025-03-04T00:00:00"/>
    <s v="M"/>
    <x v="2"/>
    <n v="3"/>
    <s v="California"/>
    <s v="Los Angeles County"/>
    <n v="2"/>
    <n v="10"/>
    <x v="1"/>
  </r>
  <r>
    <s v="TX501620"/>
    <s v="Sundresses"/>
    <n v="27"/>
    <n v="51"/>
    <n v="1377"/>
    <d v="2025-03-02T00:00:00"/>
    <d v="2025-03-02T00:00:00"/>
    <s v="F"/>
    <x v="2"/>
    <n v="4"/>
    <s v="California"/>
    <s v="Los Angeles County"/>
    <n v="0"/>
    <n v="10"/>
    <x v="2"/>
  </r>
  <r>
    <s v="TX501621"/>
    <s v="Graphic Tees"/>
    <n v="6"/>
    <n v="20.399999999999999"/>
    <n v="122.39999999999999"/>
    <d v="2025-03-02T00:00:00"/>
    <d v="2025-03-03T00:00:00"/>
    <s v="M"/>
    <x v="2"/>
    <n v="4"/>
    <s v="California"/>
    <s v="Los Angeles County"/>
    <n v="1"/>
    <n v="10"/>
    <x v="1"/>
  </r>
  <r>
    <s v="TX501622"/>
    <s v="Bikinis"/>
    <n v="2"/>
    <n v="30.4"/>
    <n v="60.8"/>
    <d v="2025-03-02T00:00:00"/>
    <d v="2025-03-04T00:00:00"/>
    <s v="M"/>
    <x v="2"/>
    <n v="4"/>
    <s v="California"/>
    <s v="Los Angeles County"/>
    <n v="2"/>
    <n v="10"/>
    <x v="1"/>
  </r>
  <r>
    <s v="TX501623"/>
    <s v="Hoodies &amp; Sweatshirts"/>
    <n v="2"/>
    <n v="71.5"/>
    <n v="143"/>
    <d v="2025-03-02T00:00:00"/>
    <d v="2025-03-06T00:00:00"/>
    <s v="F"/>
    <x v="0"/>
    <n v="4"/>
    <s v="California"/>
    <s v="Los Angeles County"/>
    <n v="4"/>
    <n v="10"/>
    <x v="2"/>
  </r>
  <r>
    <s v="TX501624"/>
    <s v="T-Shirts"/>
    <n v="6"/>
    <n v="18"/>
    <n v="108"/>
    <d v="2025-03-02T00:00:00"/>
    <d v="2025-03-03T00:00:00"/>
    <s v="O"/>
    <x v="1"/>
    <n v="5"/>
    <s v="California"/>
    <s v="Sacramento County"/>
    <n v="1"/>
    <n v="10"/>
    <x v="3"/>
  </r>
  <r>
    <s v="TX501625"/>
    <s v="Crop Tops"/>
    <n v="11"/>
    <n v="45.6"/>
    <n v="501.6"/>
    <d v="2025-03-02T00:00:00"/>
    <d v="2025-03-03T00:00:00"/>
    <s v="O"/>
    <x v="1"/>
    <n v="3"/>
    <s v="California"/>
    <s v="San Bernardino County"/>
    <n v="1"/>
    <n v="10"/>
    <x v="3"/>
  </r>
  <r>
    <s v="TX501626"/>
    <s v="Sundresses"/>
    <n v="1"/>
    <n v="31.8"/>
    <n v="31.8"/>
    <d v="2025-03-02T00:00:00"/>
    <d v="2025-03-06T00:00:00"/>
    <s v="F"/>
    <x v="0"/>
    <n v="5"/>
    <s v="California"/>
    <s v="San Bernardino County"/>
    <n v="4"/>
    <n v="10"/>
    <x v="2"/>
  </r>
  <r>
    <s v="TX501627"/>
    <s v="T-Shirts"/>
    <n v="5"/>
    <n v="19.899999999999999"/>
    <n v="99.5"/>
    <d v="2025-03-02T00:00:00"/>
    <d v="2025-03-03T00:00:00"/>
    <s v="F"/>
    <x v="1"/>
    <n v="4"/>
    <s v="California"/>
    <s v="San Bernardino County"/>
    <n v="1"/>
    <n v="10"/>
    <x v="2"/>
  </r>
  <r>
    <s v="TX501628"/>
    <s v="Casual Dresses"/>
    <n v="9"/>
    <n v="52.1"/>
    <n v="468.90000000000003"/>
    <d v="2025-03-02T00:00:00"/>
    <d v="2025-03-04T00:00:00"/>
    <s v="M"/>
    <x v="0"/>
    <n v="4"/>
    <s v="California"/>
    <s v="San Diego County"/>
    <n v="2"/>
    <n v="10"/>
    <x v="1"/>
  </r>
  <r>
    <s v="TX501629"/>
    <s v="Tank Tops"/>
    <n v="7"/>
    <n v="45.9"/>
    <n v="321.3"/>
    <d v="2025-03-02T00:00:00"/>
    <d v="2025-03-03T00:00:00"/>
    <s v="M"/>
    <x v="0"/>
    <n v="3"/>
    <s v="California"/>
    <s v="San Diego County"/>
    <n v="1"/>
    <n v="10"/>
    <x v="1"/>
  </r>
  <r>
    <s v="TX501630"/>
    <s v="Tank Tops"/>
    <n v="10"/>
    <n v="115.9"/>
    <n v="1159"/>
    <d v="2025-03-02T00:00:00"/>
    <d v="2025-03-05T00:00:00"/>
    <s v="F"/>
    <x v="1"/>
    <n v="4"/>
    <s v="California"/>
    <s v="San Diego County"/>
    <n v="3"/>
    <n v="10"/>
    <x v="2"/>
  </r>
  <r>
    <s v="TX501631"/>
    <s v="Jeans"/>
    <n v="9"/>
    <n v="86"/>
    <n v="774"/>
    <d v="2025-03-02T00:00:00"/>
    <d v="2025-03-07T00:00:00"/>
    <s v="F"/>
    <x v="0"/>
    <n v="3"/>
    <s v="California"/>
    <s v="San Diego County"/>
    <n v="5"/>
    <n v="10"/>
    <x v="2"/>
  </r>
  <r>
    <s v="TX501632"/>
    <s v="Hoodies &amp; Sweatshirts"/>
    <n v="7"/>
    <n v="73.599999999999994"/>
    <n v="515.19999999999993"/>
    <d v="2025-03-02T00:00:00"/>
    <d v="2025-03-04T00:00:00"/>
    <s v="F"/>
    <x v="0"/>
    <n v="4"/>
    <s v="California"/>
    <s v="San Francisco"/>
    <n v="2"/>
    <n v="10"/>
    <x v="2"/>
  </r>
  <r>
    <s v="TX501633"/>
    <s v="Bikinis"/>
    <n v="3"/>
    <n v="26.7"/>
    <n v="80.099999999999994"/>
    <d v="2025-03-02T00:00:00"/>
    <d v="2025-03-06T00:00:00"/>
    <s v="F"/>
    <x v="0"/>
    <n v="4"/>
    <s v="California"/>
    <s v="Santa Clara County"/>
    <n v="4"/>
    <n v="10"/>
    <x v="2"/>
  </r>
  <r>
    <s v="TX501634"/>
    <s v="T-Shirts"/>
    <n v="7"/>
    <n v="46.6"/>
    <n v="326.2"/>
    <d v="2025-03-02T00:00:00"/>
    <d v="2025-03-04T00:00:00"/>
    <s v=""/>
    <x v="3"/>
    <n v="4"/>
    <s v="California"/>
    <s v="Santa Clara County"/>
    <n v="2"/>
    <n v="10"/>
    <x v="0"/>
  </r>
  <r>
    <s v="TX501635"/>
    <s v="Workout Tops"/>
    <n v="3"/>
    <n v="84.6"/>
    <n v="253.79999999999998"/>
    <d v="2025-03-02T00:00:00"/>
    <d v="2025-03-04T00:00:00"/>
    <s v="M"/>
    <x v="4"/>
    <n v="4"/>
    <s v="California"/>
    <s v="Santa Clara County"/>
    <n v="2"/>
    <n v="10"/>
    <x v="1"/>
  </r>
  <r>
    <s v="TX501636"/>
    <s v="Hoodies &amp; Sweatshirts"/>
    <n v="14"/>
    <n v="41.5"/>
    <n v="581"/>
    <d v="2025-03-02T00:00:00"/>
    <d v="2025-03-16T00:00:00"/>
    <s v="M"/>
    <x v="1"/>
    <n v="4"/>
    <s v="California"/>
    <s v="Shasta County"/>
    <n v="14"/>
    <n v="10"/>
    <x v="1"/>
  </r>
  <r>
    <s v="TX501637"/>
    <s v="T-Shirts"/>
    <n v="1"/>
    <n v="32.799999999999997"/>
    <n v="32.799999999999997"/>
    <d v="2025-03-02T00:00:00"/>
    <d v="2025-03-05T00:00:00"/>
    <s v="M"/>
    <x v="0"/>
    <n v="5"/>
    <s v="California"/>
    <s v="Siskiyou County"/>
    <n v="3"/>
    <n v="10"/>
    <x v="1"/>
  </r>
  <r>
    <s v="TX501638"/>
    <s v="Graphic Tees"/>
    <n v="7"/>
    <n v="46.7"/>
    <n v="326.90000000000003"/>
    <d v="2025-03-02T00:00:00"/>
    <d v="2025-03-04T00:00:00"/>
    <s v="O"/>
    <x v="0"/>
    <n v="5"/>
    <s v="California"/>
    <s v="Sonoma County"/>
    <n v="2"/>
    <n v="10"/>
    <x v="3"/>
  </r>
  <r>
    <s v="TX501639"/>
    <s v="Crop Tops"/>
    <n v="7"/>
    <n v="21"/>
    <n v="147"/>
    <d v="2025-03-02T00:00:00"/>
    <d v="2025-03-05T00:00:00"/>
    <s v="M"/>
    <x v="2"/>
    <n v="3"/>
    <s v="California"/>
    <s v="Alameda County"/>
    <n v="3"/>
    <n v="10"/>
    <x v="1"/>
  </r>
  <r>
    <s v="TX501640"/>
    <s v="Sandals"/>
    <n v="7"/>
    <n v="29.4"/>
    <n v="205.79999999999998"/>
    <d v="2025-03-02T00:00:00"/>
    <d v="2025-03-02T00:00:00"/>
    <s v="M"/>
    <x v="3"/>
    <n v="5"/>
    <s v="California"/>
    <s v="Alameda County"/>
    <n v="0"/>
    <n v="10"/>
    <x v="1"/>
  </r>
  <r>
    <s v="TX501641"/>
    <s v="Crop Tops"/>
    <n v="2"/>
    <n v="32.299999999999997"/>
    <n v="64.599999999999994"/>
    <d v="2025-03-02T00:00:00"/>
    <d v="2025-03-03T00:00:00"/>
    <s v="M"/>
    <x v="0"/>
    <n v="5"/>
    <s v="California"/>
    <s v="Alameda County"/>
    <n v="1"/>
    <n v="10"/>
    <x v="1"/>
  </r>
  <r>
    <s v="TX501642"/>
    <s v="Jeans"/>
    <n v="1"/>
    <n v="42.2"/>
    <n v="42.2"/>
    <d v="2025-03-03T00:00:00"/>
    <d v="2025-03-05T00:00:00"/>
    <s v="F"/>
    <x v="0"/>
    <n v="5"/>
    <s v="California"/>
    <s v="Alameda County"/>
    <n v="2"/>
    <n v="10"/>
    <x v="2"/>
  </r>
  <r>
    <s v="TX501643"/>
    <s v="Jeans"/>
    <n v="1"/>
    <n v="53.7"/>
    <n v="53.7"/>
    <d v="2025-03-03T00:00:00"/>
    <d v="2025-03-05T00:00:00"/>
    <s v="M"/>
    <x v="1"/>
    <n v="3"/>
    <s v="California"/>
    <s v="Contra Costa County"/>
    <n v="2"/>
    <n v="10"/>
    <x v="1"/>
  </r>
  <r>
    <s v="TX501644"/>
    <s v="Sneakers"/>
    <n v="2"/>
    <n v="123.9"/>
    <n v="247.8"/>
    <d v="2025-03-03T00:00:00"/>
    <d v="2025-03-06T00:00:00"/>
    <s v="M"/>
    <x v="2"/>
    <n v="4"/>
    <s v="California"/>
    <s v="Contra Costa County"/>
    <n v="3"/>
    <n v="10"/>
    <x v="1"/>
  </r>
  <r>
    <s v="TX501645"/>
    <s v="Graphic Tees"/>
    <n v="3"/>
    <n v="35.9"/>
    <n v="107.69999999999999"/>
    <d v="2025-03-03T00:00:00"/>
    <d v="2025-03-05T00:00:00"/>
    <s v="M"/>
    <x v="2"/>
    <n v="4"/>
    <s v="California"/>
    <s v="Kern County"/>
    <n v="2"/>
    <n v="10"/>
    <x v="1"/>
  </r>
  <r>
    <s v="TX501646"/>
    <s v="Graphic Tees"/>
    <n v="2"/>
    <n v="23.6"/>
    <n v="47.2"/>
    <d v="2025-03-03T00:00:00"/>
    <d v="2025-03-06T00:00:00"/>
    <s v="M"/>
    <x v="0"/>
    <n v="5"/>
    <s v="California"/>
    <s v="Los Angeles County"/>
    <n v="3"/>
    <n v="10"/>
    <x v="1"/>
  </r>
  <r>
    <s v="TX501647"/>
    <s v="Crop Tops"/>
    <n v="35"/>
    <n v="45.7"/>
    <n v="1599.5"/>
    <d v="2025-03-03T00:00:00"/>
    <d v="2025-03-04T00:00:00"/>
    <s v="M"/>
    <x v="0"/>
    <n v="3"/>
    <s v="California"/>
    <s v="Los Angeles County"/>
    <n v="1"/>
    <n v="10"/>
    <x v="1"/>
  </r>
  <r>
    <s v="TX501648"/>
    <s v="Jeans"/>
    <n v="11"/>
    <n v="118.3"/>
    <n v="1301.3"/>
    <d v="2025-03-03T00:00:00"/>
    <d v="2025-03-05T00:00:00"/>
    <s v="M"/>
    <x v="4"/>
    <n v="5"/>
    <s v="California"/>
    <s v="Los Angeles County"/>
    <n v="2"/>
    <n v="10"/>
    <x v="1"/>
  </r>
  <r>
    <s v="TX501649"/>
    <s v="Jewelry"/>
    <n v="1"/>
    <n v="36"/>
    <n v="36"/>
    <d v="2025-03-03T00:00:00"/>
    <d v="2025-03-04T00:00:00"/>
    <s v="F"/>
    <x v="0"/>
    <n v="3"/>
    <s v="California"/>
    <s v="Los Angeles County"/>
    <n v="1"/>
    <n v="10"/>
    <x v="2"/>
  </r>
  <r>
    <s v="TX501650"/>
    <s v="T-Shirts"/>
    <n v="2"/>
    <n v="37.1"/>
    <n v="74.2"/>
    <d v="2025-03-03T00:00:00"/>
    <d v="2025-03-06T00:00:00"/>
    <s v="F"/>
    <x v="2"/>
    <n v="4"/>
    <s v="California"/>
    <s v="Los Angeles County"/>
    <n v="3"/>
    <n v="10"/>
    <x v="2"/>
  </r>
  <r>
    <s v="TX501651"/>
    <s v="Leggings"/>
    <n v="3"/>
    <n v="45.1"/>
    <n v="135.30000000000001"/>
    <d v="2025-03-03T00:00:00"/>
    <d v="2025-03-05T00:00:00"/>
    <s v="F"/>
    <x v="1"/>
    <n v="5"/>
    <s v="California"/>
    <s v="Los Angeles County"/>
    <n v="2"/>
    <n v="10"/>
    <x v="2"/>
  </r>
  <r>
    <s v="TX501652"/>
    <s v="Sandals"/>
    <n v="16"/>
    <n v="37.9"/>
    <n v="606.4"/>
    <d v="2025-03-03T00:00:00"/>
    <d v="2025-03-04T00:00:00"/>
    <s v="F"/>
    <x v="3"/>
    <n v="5"/>
    <s v="California"/>
    <s v="Los Angeles County"/>
    <n v="1"/>
    <n v="10"/>
    <x v="2"/>
  </r>
  <r>
    <s v="TX501653"/>
    <s v="Sneakers"/>
    <n v="2"/>
    <n v="121.6"/>
    <n v="243.2"/>
    <d v="2025-03-03T00:00:00"/>
    <d v="2025-03-06T00:00:00"/>
    <s v="M"/>
    <x v="3"/>
    <n v="5"/>
    <s v="California"/>
    <s v="Los Angeles County"/>
    <n v="3"/>
    <n v="10"/>
    <x v="1"/>
  </r>
  <r>
    <s v="TX501654"/>
    <s v="Sandals"/>
    <n v="7"/>
    <n v="38.200000000000003"/>
    <n v="267.40000000000003"/>
    <d v="2025-03-03T00:00:00"/>
    <d v="2025-03-06T00:00:00"/>
    <s v="F"/>
    <x v="0"/>
    <n v="4"/>
    <s v="California"/>
    <s v="Los Angeles County"/>
    <n v="3"/>
    <n v="10"/>
    <x v="2"/>
  </r>
  <r>
    <s v="TX501655"/>
    <s v="Pajama Sets"/>
    <n v="2"/>
    <n v="37.200000000000003"/>
    <n v="74.400000000000006"/>
    <d v="2025-03-03T00:00:00"/>
    <d v="2025-03-06T00:00:00"/>
    <s v="M"/>
    <x v="4"/>
    <n v="4"/>
    <s v="California"/>
    <s v="Los Angeles County"/>
    <n v="3"/>
    <n v="10"/>
    <x v="1"/>
  </r>
  <r>
    <s v="TX501656"/>
    <s v="Sneakers"/>
    <n v="4"/>
    <n v="115.7"/>
    <n v="462.8"/>
    <d v="2025-03-03T00:00:00"/>
    <d v="2025-03-06T00:00:00"/>
    <s v="F"/>
    <x v="1"/>
    <n v="4"/>
    <s v="California"/>
    <s v="Los Angeles County"/>
    <n v="3"/>
    <n v="10"/>
    <x v="2"/>
  </r>
  <r>
    <s v="TX501657"/>
    <s v="Sneakers"/>
    <n v="6"/>
    <n v="99.4"/>
    <n v="596.40000000000009"/>
    <d v="2025-03-03T00:00:00"/>
    <d v="2025-03-06T00:00:00"/>
    <s v="M"/>
    <x v="0"/>
    <n v="5"/>
    <s v="California"/>
    <s v="Los Angeles County"/>
    <n v="3"/>
    <n v="10"/>
    <x v="1"/>
  </r>
  <r>
    <s v="TX501658"/>
    <s v="Maxi Dresses"/>
    <n v="1"/>
    <n v="38.700000000000003"/>
    <n v="38.700000000000003"/>
    <d v="2025-03-03T00:00:00"/>
    <d v="2025-03-04T00:00:00"/>
    <s v="F"/>
    <x v="2"/>
    <n v="4"/>
    <s v="California"/>
    <s v="Orange County"/>
    <n v="1"/>
    <n v="10"/>
    <x v="2"/>
  </r>
  <r>
    <s v="TX501659"/>
    <s v="Graphic Tees"/>
    <n v="2"/>
    <n v="35.5"/>
    <n v="71"/>
    <d v="2025-03-03T00:00:00"/>
    <d v="2025-03-06T00:00:00"/>
    <s v="M"/>
    <x v="0"/>
    <n v="5"/>
    <s v="California"/>
    <s v="Orange County"/>
    <n v="3"/>
    <n v="10"/>
    <x v="1"/>
  </r>
  <r>
    <s v="TX501660"/>
    <s v="Sneakers"/>
    <n v="4"/>
    <n v="93.3"/>
    <n v="373.2"/>
    <d v="2025-03-03T00:00:00"/>
    <d v="2025-03-06T00:00:00"/>
    <s v="F"/>
    <x v="0"/>
    <n v="5"/>
    <s v="California"/>
    <s v="Sacramento County"/>
    <n v="3"/>
    <n v="10"/>
    <x v="2"/>
  </r>
  <r>
    <s v="TX501661"/>
    <s v="Sunglasses"/>
    <n v="1"/>
    <n v="31.4"/>
    <n v="31.4"/>
    <d v="2025-03-03T00:00:00"/>
    <d v="2025-03-08T00:00:00"/>
    <s v="F"/>
    <x v="2"/>
    <n v="5"/>
    <s v="California"/>
    <s v="Sacramento County"/>
    <n v="5"/>
    <n v="10"/>
    <x v="2"/>
  </r>
  <r>
    <s v="TX501662"/>
    <s v="Tank Tops"/>
    <n v="1"/>
    <n v="85.9"/>
    <n v="85.9"/>
    <d v="2025-03-03T00:00:00"/>
    <d v="2025-03-06T00:00:00"/>
    <s v="M"/>
    <x v="1"/>
    <n v="4"/>
    <s v="California"/>
    <s v="Sacramento County"/>
    <n v="3"/>
    <n v="10"/>
    <x v="1"/>
  </r>
  <r>
    <s v="TX501663"/>
    <s v="Jeans"/>
    <n v="8"/>
    <n v="41.7"/>
    <n v="333.6"/>
    <d v="2025-03-03T00:00:00"/>
    <d v="2025-03-11T00:00:00"/>
    <s v="M"/>
    <x v="0"/>
    <n v="5"/>
    <s v="California"/>
    <s v="San Bernardino County"/>
    <n v="8"/>
    <n v="10"/>
    <x v="1"/>
  </r>
  <r>
    <s v="TX501664"/>
    <s v="T-Shirts"/>
    <n v="4"/>
    <n v="31.5"/>
    <n v="126"/>
    <d v="2025-03-03T00:00:00"/>
    <d v="2025-03-04T00:00:00"/>
    <s v="F"/>
    <x v="0"/>
    <n v="4"/>
    <s v="California"/>
    <s v="San Bernardino County"/>
    <n v="1"/>
    <n v="10"/>
    <x v="2"/>
  </r>
  <r>
    <s v="TX501665"/>
    <s v="T-Shirts"/>
    <n v="2"/>
    <n v="36.299999999999997"/>
    <n v="72.599999999999994"/>
    <d v="2025-03-03T00:00:00"/>
    <d v="2025-03-04T00:00:00"/>
    <s v="F"/>
    <x v="0"/>
    <n v="2"/>
    <s v="California"/>
    <s v="San Diego County"/>
    <n v="1"/>
    <n v="10"/>
    <x v="2"/>
  </r>
  <r>
    <s v="TX501666"/>
    <s v="T-Shirts"/>
    <n v="3"/>
    <n v="33.4"/>
    <n v="100.19999999999999"/>
    <d v="2025-03-03T00:00:00"/>
    <d v="2025-03-04T00:00:00"/>
    <s v="F"/>
    <x v="3"/>
    <n v="4"/>
    <s v="California"/>
    <s v="San Francisco"/>
    <n v="1"/>
    <n v="10"/>
    <x v="2"/>
  </r>
  <r>
    <s v="TX501667"/>
    <s v="Sneakers"/>
    <n v="3"/>
    <n v="65.2"/>
    <n v="195.60000000000002"/>
    <d v="2025-03-03T00:00:00"/>
    <d v="2025-03-04T00:00:00"/>
    <s v="F"/>
    <x v="2"/>
    <n v="5"/>
    <s v="California"/>
    <s v="San Joaquin County"/>
    <n v="1"/>
    <n v="10"/>
    <x v="2"/>
  </r>
  <r>
    <s v="TX501668"/>
    <s v="T-Shirts"/>
    <n v="9"/>
    <n v="65.5"/>
    <n v="589.5"/>
    <d v="2025-03-03T00:00:00"/>
    <d v="2025-03-06T00:00:00"/>
    <s v="F"/>
    <x v="0"/>
    <n v="5"/>
    <s v="California"/>
    <s v="San Mateo County"/>
    <n v="3"/>
    <n v="10"/>
    <x v="2"/>
  </r>
  <r>
    <s v="TX501669"/>
    <s v="Jeans"/>
    <n v="3"/>
    <n v="52.8"/>
    <n v="158.39999999999998"/>
    <d v="2025-03-03T00:00:00"/>
    <d v="2025-03-06T00:00:00"/>
    <s v="M"/>
    <x v="2"/>
    <n v="4"/>
    <s v="California"/>
    <s v="San Mateo County"/>
    <n v="3"/>
    <n v="10"/>
    <x v="1"/>
  </r>
  <r>
    <s v="TX501670"/>
    <s v="Sundresses"/>
    <n v="5"/>
    <n v="24"/>
    <n v="120"/>
    <d v="2025-03-03T00:00:00"/>
    <d v="2025-03-07T00:00:00"/>
    <s v="M"/>
    <x v="0"/>
    <n v="3"/>
    <s v="California"/>
    <s v="Santa Clara County"/>
    <n v="4"/>
    <n v="10"/>
    <x v="1"/>
  </r>
  <r>
    <s v="TX501671"/>
    <s v="Workout Tops"/>
    <n v="3"/>
    <n v="51.2"/>
    <n v="153.60000000000002"/>
    <d v="2025-03-03T00:00:00"/>
    <d v="2025-03-04T00:00:00"/>
    <s v="F"/>
    <x v="0"/>
    <n v="4"/>
    <s v="California"/>
    <s v="Santa Cruz County"/>
    <n v="1"/>
    <n v="10"/>
    <x v="2"/>
  </r>
  <r>
    <s v="TX501672"/>
    <s v="Sandals"/>
    <n v="3"/>
    <n v="28.3"/>
    <n v="84.9"/>
    <d v="2025-03-03T00:00:00"/>
    <d v="2025-03-05T00:00:00"/>
    <s v="M"/>
    <x v="4"/>
    <n v="4"/>
    <s v="California"/>
    <s v="Stanislaus County"/>
    <n v="2"/>
    <n v="10"/>
    <x v="1"/>
  </r>
  <r>
    <s v="TX501673"/>
    <s v="Jeans"/>
    <n v="3"/>
    <n v="42.3"/>
    <n v="126.89999999999999"/>
    <d v="2025-03-03T00:00:00"/>
    <d v="2025-03-03T00:00:00"/>
    <s v="F"/>
    <x v="2"/>
    <n v="3"/>
    <s v="California"/>
    <s v="Stanislaus County"/>
    <n v="0"/>
    <n v="10"/>
    <x v="2"/>
  </r>
  <r>
    <s v="TX501674"/>
    <s v="Sneakers"/>
    <n v="8"/>
    <n v="163.30000000000001"/>
    <n v="1306.4000000000001"/>
    <d v="2025-03-04T00:00:00"/>
    <d v="2025-03-05T00:00:00"/>
    <s v="F"/>
    <x v="1"/>
    <n v="4"/>
    <s v="California"/>
    <s v="Ventura County"/>
    <n v="1"/>
    <n v="10"/>
    <x v="2"/>
  </r>
  <r>
    <s v="TX501675"/>
    <s v="Jeans"/>
    <n v="7"/>
    <n v="47.3"/>
    <n v="331.09999999999997"/>
    <d v="2025-03-04T00:00:00"/>
    <d v="2025-03-07T00:00:00"/>
    <s v="F"/>
    <x v="4"/>
    <n v="3"/>
    <s v="California"/>
    <s v="Alameda County"/>
    <n v="3"/>
    <n v="10"/>
    <x v="2"/>
  </r>
  <r>
    <s v="TX501676"/>
    <s v="T-Shirts"/>
    <n v="16"/>
    <n v="27.3"/>
    <n v="436.8"/>
    <d v="2025-03-04T00:00:00"/>
    <d v="2025-03-05T00:00:00"/>
    <s v="F"/>
    <x v="2"/>
    <n v="4"/>
    <s v="California"/>
    <s v="Alameda County"/>
    <n v="1"/>
    <n v="10"/>
    <x v="2"/>
  </r>
  <r>
    <s v="TX501677"/>
    <s v="Bikinis"/>
    <n v="6"/>
    <n v="34.9"/>
    <n v="209.39999999999998"/>
    <d v="2025-03-04T00:00:00"/>
    <d v="2025-03-15T00:00:00"/>
    <s v="F"/>
    <x v="0"/>
    <n v="4"/>
    <s v="California"/>
    <s v="Alameda County"/>
    <n v="11"/>
    <n v="10"/>
    <x v="2"/>
  </r>
  <r>
    <s v="TX501678"/>
    <s v="Jeans"/>
    <n v="2"/>
    <n v="53.9"/>
    <n v="107.8"/>
    <d v="2025-03-04T00:00:00"/>
    <d v="2025-03-07T00:00:00"/>
    <s v="O"/>
    <x v="0"/>
    <n v="2"/>
    <s v="California"/>
    <s v="Contra Costa County"/>
    <n v="3"/>
    <n v="10"/>
    <x v="3"/>
  </r>
  <r>
    <s v="TX501679"/>
    <s v="Sneakers"/>
    <n v="2"/>
    <n v="87.2"/>
    <n v="174.4"/>
    <d v="2025-03-04T00:00:00"/>
    <d v="2025-03-05T00:00:00"/>
    <s v="F"/>
    <x v="0"/>
    <n v="3"/>
    <s v="California"/>
    <s v="Contra Costa County"/>
    <n v="1"/>
    <n v="10"/>
    <x v="2"/>
  </r>
  <r>
    <s v="TX501680"/>
    <s v="Crop Tops"/>
    <n v="1"/>
    <n v="58.8"/>
    <n v="58.8"/>
    <d v="2025-03-04T00:00:00"/>
    <d v="2025-03-06T00:00:00"/>
    <s v="F"/>
    <x v="2"/>
    <n v="4"/>
    <s v="California"/>
    <s v="Humboldt County"/>
    <n v="2"/>
    <n v="10"/>
    <x v="2"/>
  </r>
  <r>
    <s v="TX501681"/>
    <s v="Sneakers"/>
    <n v="7"/>
    <n v="125.5"/>
    <n v="878.5"/>
    <d v="2025-03-04T00:00:00"/>
    <d v="2025-03-05T00:00:00"/>
    <s v="M"/>
    <x v="2"/>
    <n v="2"/>
    <s v="California"/>
    <s v="Kern County"/>
    <n v="1"/>
    <n v="10"/>
    <x v="1"/>
  </r>
  <r>
    <s v="TX501682"/>
    <s v="Tank Tops"/>
    <n v="4"/>
    <n v="124.6"/>
    <n v="498.4"/>
    <d v="2025-03-04T00:00:00"/>
    <d v="2025-03-06T00:00:00"/>
    <s v="F"/>
    <x v="0"/>
    <n v="3"/>
    <s v="California"/>
    <s v="Kern County"/>
    <n v="2"/>
    <n v="10"/>
    <x v="2"/>
  </r>
  <r>
    <s v="TX501683"/>
    <s v="Tank Tops"/>
    <n v="7"/>
    <n v="39.9"/>
    <n v="279.3"/>
    <d v="2025-03-04T00:00:00"/>
    <d v="2025-03-05T00:00:00"/>
    <s v="M"/>
    <x v="2"/>
    <n v="3"/>
    <s v="California"/>
    <s v="Los Angeles County"/>
    <n v="1"/>
    <n v="10"/>
    <x v="1"/>
  </r>
  <r>
    <s v="TX501684"/>
    <s v="Jeans"/>
    <n v="1"/>
    <n v="94.6"/>
    <n v="94.6"/>
    <d v="2025-03-04T00:00:00"/>
    <d v="2025-03-18T00:00:00"/>
    <s v="F"/>
    <x v="0"/>
    <n v="3"/>
    <s v="California"/>
    <s v="Los Angeles County"/>
    <n v="14"/>
    <n v="10"/>
    <x v="2"/>
  </r>
  <r>
    <s v="TX501685"/>
    <s v="Sneakers"/>
    <n v="2"/>
    <n v="149.6"/>
    <n v="299.2"/>
    <d v="2025-03-04T00:00:00"/>
    <d v="2025-03-05T00:00:00"/>
    <s v="F"/>
    <x v="0"/>
    <n v="4"/>
    <s v="California"/>
    <s v="Los Angeles County"/>
    <n v="1"/>
    <n v="10"/>
    <x v="2"/>
  </r>
  <r>
    <s v="TX501686"/>
    <s v="T-Shirts"/>
    <n v="1"/>
    <n v="52.2"/>
    <n v="52.2"/>
    <d v="2025-03-04T00:00:00"/>
    <d v="2025-03-05T00:00:00"/>
    <s v=""/>
    <x v="1"/>
    <n v="4"/>
    <s v="California"/>
    <s v="Los Angeles County"/>
    <n v="1"/>
    <n v="10"/>
    <x v="0"/>
  </r>
  <r>
    <s v="TX501687"/>
    <s v="Jeans"/>
    <n v="2"/>
    <n v="96.5"/>
    <n v="193"/>
    <d v="2025-03-04T00:00:00"/>
    <d v="2025-03-05T00:00:00"/>
    <s v="F"/>
    <x v="1"/>
    <n v="3"/>
    <s v="California"/>
    <s v="Los Angeles County"/>
    <n v="1"/>
    <n v="10"/>
    <x v="2"/>
  </r>
  <r>
    <s v="TX501688"/>
    <s v="T-Shirts"/>
    <n v="2"/>
    <n v="79.8"/>
    <n v="159.6"/>
    <d v="2025-03-04T00:00:00"/>
    <d v="2025-03-06T00:00:00"/>
    <s v="F"/>
    <x v="0"/>
    <n v="3"/>
    <s v="California"/>
    <s v="Los Angeles County"/>
    <n v="2"/>
    <n v="10"/>
    <x v="2"/>
  </r>
  <r>
    <s v="TX501689"/>
    <s v="T-Shirts"/>
    <n v="3"/>
    <n v="35.6"/>
    <n v="106.80000000000001"/>
    <d v="2025-03-04T00:00:00"/>
    <d v="2025-03-05T00:00:00"/>
    <s v="F"/>
    <x v="2"/>
    <n v="4"/>
    <s v="California"/>
    <s v="Los Angeles County"/>
    <n v="1"/>
    <n v="10"/>
    <x v="2"/>
  </r>
  <r>
    <s v="TX501690"/>
    <s v="Sunglasses"/>
    <n v="1"/>
    <n v="50.2"/>
    <n v="50.2"/>
    <d v="2025-03-04T00:00:00"/>
    <d v="2025-03-05T00:00:00"/>
    <s v="F"/>
    <x v="1"/>
    <n v="5"/>
    <s v="California"/>
    <s v="Los Angeles County"/>
    <n v="1"/>
    <n v="10"/>
    <x v="2"/>
  </r>
  <r>
    <s v="TX501691"/>
    <s v="Tank Tops"/>
    <n v="3"/>
    <n v="55.3"/>
    <n v="165.89999999999998"/>
    <d v="2025-03-04T00:00:00"/>
    <d v="2025-03-07T00:00:00"/>
    <s v="F"/>
    <x v="0"/>
    <n v="2"/>
    <s v="California"/>
    <s v="Mariposa County"/>
    <n v="3"/>
    <n v="10"/>
    <x v="2"/>
  </r>
  <r>
    <s v="TX501692"/>
    <s v="Jeans"/>
    <n v="7"/>
    <n v="104.5"/>
    <n v="731.5"/>
    <d v="2025-03-04T00:00:00"/>
    <d v="2025-03-08T00:00:00"/>
    <s v="F"/>
    <x v="1"/>
    <n v="4"/>
    <s v="California"/>
    <s v="San Bernardino County"/>
    <n v="4"/>
    <n v="10"/>
    <x v="2"/>
  </r>
  <r>
    <s v="TX501693"/>
    <s v="Jeans"/>
    <n v="4"/>
    <n v="66.5"/>
    <n v="266"/>
    <d v="2025-03-04T00:00:00"/>
    <d v="2025-03-06T00:00:00"/>
    <s v="M"/>
    <x v="1"/>
    <n v="4"/>
    <s v="California"/>
    <s v="San Bernardino County"/>
    <n v="2"/>
    <n v="10"/>
    <x v="1"/>
  </r>
  <r>
    <s v="TX501694"/>
    <s v="Bikinis"/>
    <n v="8"/>
    <n v="38.299999999999997"/>
    <n v="306.39999999999998"/>
    <d v="2025-03-04T00:00:00"/>
    <d v="2025-03-05T00:00:00"/>
    <s v="F"/>
    <x v="0"/>
    <n v="4"/>
    <s v="California"/>
    <s v="San Bernardino County"/>
    <n v="1"/>
    <n v="10"/>
    <x v="2"/>
  </r>
  <r>
    <s v="TX501695"/>
    <s v="Jeans"/>
    <n v="3"/>
    <n v="63.8"/>
    <n v="191.39999999999998"/>
    <d v="2025-03-04T00:00:00"/>
    <d v="2025-03-07T00:00:00"/>
    <s v="F"/>
    <x v="1"/>
    <n v="4"/>
    <s v="California"/>
    <s v="San Diego County"/>
    <n v="3"/>
    <n v="10"/>
    <x v="2"/>
  </r>
  <r>
    <s v="TX501696"/>
    <s v="Crop Tops"/>
    <n v="1"/>
    <n v="21.4"/>
    <n v="21.4"/>
    <d v="2025-03-04T00:00:00"/>
    <d v="2025-03-04T00:00:00"/>
    <s v="M"/>
    <x v="4"/>
    <n v="4"/>
    <s v="California"/>
    <s v="San Diego County"/>
    <n v="0"/>
    <n v="10"/>
    <x v="1"/>
  </r>
  <r>
    <s v="TX501697"/>
    <s v="T-Shirts"/>
    <n v="4"/>
    <n v="44.1"/>
    <n v="176.4"/>
    <d v="2025-03-04T00:00:00"/>
    <d v="2025-03-06T00:00:00"/>
    <s v="F"/>
    <x v="2"/>
    <n v="4"/>
    <s v="California"/>
    <s v="San Diego County"/>
    <n v="2"/>
    <n v="10"/>
    <x v="2"/>
  </r>
  <r>
    <s v="TX501698"/>
    <s v="Sandals"/>
    <n v="8"/>
    <n v="57.6"/>
    <n v="460.8"/>
    <d v="2025-03-04T00:00:00"/>
    <d v="2025-03-06T00:00:00"/>
    <s v="M"/>
    <x v="1"/>
    <n v="5"/>
    <s v="California"/>
    <s v="San Diego County"/>
    <n v="2"/>
    <n v="10"/>
    <x v="1"/>
  </r>
  <r>
    <s v="TX501699"/>
    <s v="Sundresses"/>
    <n v="2"/>
    <n v="20.3"/>
    <n v="40.6"/>
    <d v="2025-03-04T00:00:00"/>
    <d v="2025-03-10T00:00:00"/>
    <s v="F"/>
    <x v="3"/>
    <n v="4"/>
    <s v="California"/>
    <s v="San Diego County"/>
    <n v="6"/>
    <n v="10"/>
    <x v="2"/>
  </r>
  <r>
    <s v="TX501700"/>
    <s v="T-Shirts"/>
    <n v="1"/>
    <n v="22.9"/>
    <n v="22.9"/>
    <d v="2025-03-04T00:00:00"/>
    <d v="2025-03-06T00:00:00"/>
    <s v="F"/>
    <x v="2"/>
    <n v="5"/>
    <s v="California"/>
    <s v="San Diego County"/>
    <n v="2"/>
    <n v="10"/>
    <x v="2"/>
  </r>
  <r>
    <s v="TX501701"/>
    <s v="Jeans"/>
    <n v="4"/>
    <n v="105.9"/>
    <n v="423.6"/>
    <d v="2025-03-04T00:00:00"/>
    <d v="2025-03-05T00:00:00"/>
    <s v="F"/>
    <x v="1"/>
    <n v="5"/>
    <s v="California"/>
    <s v="San Francisco"/>
    <n v="1"/>
    <n v="10"/>
    <x v="2"/>
  </r>
  <r>
    <s v="TX501702"/>
    <s v="Tank Tops"/>
    <n v="9"/>
    <n v="37.4"/>
    <n v="336.59999999999997"/>
    <d v="2025-03-04T00:00:00"/>
    <d v="2025-03-08T00:00:00"/>
    <s v="M"/>
    <x v="1"/>
    <n v="4"/>
    <s v="California"/>
    <s v="Santa Clara County"/>
    <n v="4"/>
    <n v="10"/>
    <x v="1"/>
  </r>
  <r>
    <s v="TX501703"/>
    <s v="Leggings"/>
    <n v="2"/>
    <n v="79"/>
    <n v="158"/>
    <d v="2025-03-04T00:00:00"/>
    <d v="2025-03-05T00:00:00"/>
    <s v="M"/>
    <x v="2"/>
    <n v="4"/>
    <s v="California"/>
    <s v="Yolo County"/>
    <n v="1"/>
    <n v="10"/>
    <x v="1"/>
  </r>
  <r>
    <s v="TX501704"/>
    <s v="Shorts"/>
    <n v="3"/>
    <n v="19.3"/>
    <n v="57.900000000000006"/>
    <d v="2025-03-04T00:00:00"/>
    <d v="2025-03-05T00:00:00"/>
    <s v="F"/>
    <x v="4"/>
    <n v="4"/>
    <s v="California"/>
    <s v="Alameda County"/>
    <n v="1"/>
    <n v="10"/>
    <x v="2"/>
  </r>
  <r>
    <s v="TX501705"/>
    <s v="Shorts"/>
    <n v="1"/>
    <n v="24"/>
    <n v="24"/>
    <d v="2025-03-04T00:00:00"/>
    <d v="2025-03-05T00:00:00"/>
    <s v="F"/>
    <x v="1"/>
    <n v="4"/>
    <s v="California"/>
    <s v="Contra Costa County"/>
    <n v="1"/>
    <n v="10"/>
    <x v="2"/>
  </r>
  <r>
    <s v="TX501706"/>
    <s v="Jeans"/>
    <n v="5"/>
    <n v="71.3"/>
    <n v="356.5"/>
    <d v="2025-03-04T00:00:00"/>
    <d v="2025-03-07T00:00:00"/>
    <s v="F"/>
    <x v="2"/>
    <n v="4"/>
    <s v="California"/>
    <s v="Fresno County"/>
    <n v="3"/>
    <n v="10"/>
    <x v="2"/>
  </r>
  <r>
    <s v="TX501707"/>
    <s v="Sandals"/>
    <n v="2"/>
    <n v="166.2"/>
    <n v="332.4"/>
    <d v="2025-03-04T00:00:00"/>
    <d v="2025-03-05T00:00:00"/>
    <s v="M"/>
    <x v="0"/>
    <n v="5"/>
    <s v="California"/>
    <s v="Lake County"/>
    <n v="1"/>
    <n v="10"/>
    <x v="1"/>
  </r>
  <r>
    <s v="TX501708"/>
    <s v="Jeans"/>
    <n v="1"/>
    <n v="81"/>
    <n v="81"/>
    <d v="2025-03-04T00:00:00"/>
    <d v="2025-03-05T00:00:00"/>
    <s v="F"/>
    <x v="2"/>
    <n v="3"/>
    <s v="California"/>
    <s v="Los Angeles County"/>
    <n v="1"/>
    <n v="10"/>
    <x v="2"/>
  </r>
  <r>
    <s v="TX501709"/>
    <s v="Bikinis"/>
    <n v="6"/>
    <n v="38.5"/>
    <n v="231"/>
    <d v="2025-03-04T00:00:00"/>
    <d v="2025-03-08T00:00:00"/>
    <s v="F"/>
    <x v="0"/>
    <n v="4"/>
    <s v="California"/>
    <s v="Los Angeles County"/>
    <n v="4"/>
    <n v="10"/>
    <x v="2"/>
  </r>
  <r>
    <s v="TX501710"/>
    <s v="Jeans"/>
    <n v="1"/>
    <n v="86.1"/>
    <n v="86.1"/>
    <d v="2025-03-04T00:00:00"/>
    <d v="2025-03-06T00:00:00"/>
    <s v="F"/>
    <x v="3"/>
    <n v="4"/>
    <s v="California"/>
    <s v="Los Angeles County"/>
    <n v="2"/>
    <n v="10"/>
    <x v="2"/>
  </r>
  <r>
    <s v="TX501711"/>
    <s v="Sneakers"/>
    <n v="5"/>
    <n v="51"/>
    <n v="255"/>
    <d v="2025-03-04T00:00:00"/>
    <d v="2025-03-05T00:00:00"/>
    <s v="M"/>
    <x v="0"/>
    <n v="3"/>
    <s v="California"/>
    <s v="Los Angeles County"/>
    <n v="1"/>
    <n v="10"/>
    <x v="1"/>
  </r>
  <r>
    <s v="TX501712"/>
    <s v="Workout Tops"/>
    <n v="5"/>
    <n v="115.4"/>
    <n v="577"/>
    <d v="2025-03-04T00:00:00"/>
    <d v="2025-03-05T00:00:00"/>
    <s v="M"/>
    <x v="0"/>
    <n v="4"/>
    <s v="California"/>
    <s v="Los Angeles County"/>
    <n v="1"/>
    <n v="10"/>
    <x v="1"/>
  </r>
  <r>
    <s v="TX501713"/>
    <s v="Jeans"/>
    <n v="4"/>
    <n v="176.5"/>
    <n v="706"/>
    <d v="2025-03-04T00:00:00"/>
    <d v="2025-03-05T00:00:00"/>
    <s v="F"/>
    <x v="2"/>
    <n v="5"/>
    <s v="California"/>
    <s v="Los Angeles County"/>
    <n v="1"/>
    <n v="10"/>
    <x v="2"/>
  </r>
  <r>
    <s v="TX501714"/>
    <s v="Hoodies &amp; Sweatshirts"/>
    <n v="3"/>
    <n v="48.9"/>
    <n v="146.69999999999999"/>
    <d v="2025-03-04T00:00:00"/>
    <d v="2025-03-05T00:00:00"/>
    <s v="M"/>
    <x v="4"/>
    <n v="4"/>
    <s v="California"/>
    <s v="Los Angeles County"/>
    <n v="1"/>
    <n v="10"/>
    <x v="1"/>
  </r>
  <r>
    <s v="TX501715"/>
    <s v="T-Shirts"/>
    <n v="3"/>
    <n v="18.100000000000001"/>
    <n v="54.300000000000004"/>
    <d v="2025-03-04T00:00:00"/>
    <d v="2025-03-11T00:00:00"/>
    <s v="F"/>
    <x v="1"/>
    <n v="5"/>
    <s v="California"/>
    <s v="Mendocino County"/>
    <n v="7"/>
    <n v="10"/>
    <x v="2"/>
  </r>
  <r>
    <s v="TX501716"/>
    <s v="Sneakers"/>
    <n v="2"/>
    <n v="118.5"/>
    <n v="237"/>
    <d v="2025-03-04T00:00:00"/>
    <d v="2025-03-07T00:00:00"/>
    <s v="M"/>
    <x v="1"/>
    <n v="5"/>
    <s v="California"/>
    <s v="Napa County"/>
    <n v="3"/>
    <n v="10"/>
    <x v="1"/>
  </r>
  <r>
    <s v="TX501717"/>
    <s v="Crop Tops"/>
    <n v="7"/>
    <n v="59.1"/>
    <n v="413.7"/>
    <d v="2025-03-04T00:00:00"/>
    <d v="2025-03-05T00:00:00"/>
    <s v="F"/>
    <x v="3"/>
    <n v="4"/>
    <s v="California"/>
    <s v="Orange County"/>
    <n v="1"/>
    <n v="10"/>
    <x v="2"/>
  </r>
  <r>
    <s v="TX501718"/>
    <s v="Graphic Tees"/>
    <n v="1"/>
    <n v="21.2"/>
    <n v="21.2"/>
    <d v="2025-03-04T00:00:00"/>
    <d v="2025-03-05T00:00:00"/>
    <s v="F"/>
    <x v="0"/>
    <n v="3"/>
    <s v="California"/>
    <s v="Sacramento County"/>
    <n v="1"/>
    <n v="10"/>
    <x v="2"/>
  </r>
  <r>
    <s v="TX501719"/>
    <s v="Jeans"/>
    <n v="2"/>
    <n v="68.8"/>
    <n v="137.6"/>
    <d v="2025-03-04T00:00:00"/>
    <d v="2025-03-09T00:00:00"/>
    <s v="F"/>
    <x v="3"/>
    <n v="5"/>
    <s v="California"/>
    <s v="Sacramento County"/>
    <n v="5"/>
    <n v="10"/>
    <x v="2"/>
  </r>
  <r>
    <s v="TX501720"/>
    <s v="Jeans"/>
    <n v="2"/>
    <n v="65.400000000000006"/>
    <n v="130.80000000000001"/>
    <d v="2025-03-04T00:00:00"/>
    <d v="2025-03-08T00:00:00"/>
    <s v="F"/>
    <x v="0"/>
    <n v="4"/>
    <s v="California"/>
    <s v="Sacramento County"/>
    <n v="4"/>
    <n v="10"/>
    <x v="2"/>
  </r>
  <r>
    <s v="TX501721"/>
    <s v="Casual Dresses"/>
    <n v="5"/>
    <n v="66.3"/>
    <n v="331.5"/>
    <d v="2025-03-05T00:00:00"/>
    <d v="2025-03-08T00:00:00"/>
    <s v="F"/>
    <x v="4"/>
    <n v="4"/>
    <s v="California"/>
    <s v="Sacramento County"/>
    <n v="3"/>
    <n v="10"/>
    <x v="2"/>
  </r>
  <r>
    <s v="TX501722"/>
    <s v="Jeans"/>
    <n v="3"/>
    <n v="97.5"/>
    <n v="292.5"/>
    <d v="2025-03-05T00:00:00"/>
    <d v="2025-03-05T00:00:00"/>
    <s v="M"/>
    <x v="3"/>
    <n v="4"/>
    <s v="California"/>
    <s v="San Diego County"/>
    <n v="0"/>
    <n v="10"/>
    <x v="1"/>
  </r>
  <r>
    <s v="TX501723"/>
    <s v="Tank Tops"/>
    <n v="2"/>
    <n v="44"/>
    <n v="88"/>
    <d v="2025-03-05T00:00:00"/>
    <d v="2025-03-08T00:00:00"/>
    <s v="F"/>
    <x v="1"/>
    <n v="5"/>
    <s v="California"/>
    <s v="San Diego County"/>
    <n v="3"/>
    <n v="10"/>
    <x v="2"/>
  </r>
  <r>
    <s v="TX501724"/>
    <s v="Shorts"/>
    <n v="1"/>
    <n v="21.9"/>
    <n v="21.9"/>
    <d v="2025-03-05T00:00:00"/>
    <d v="2025-03-06T00:00:00"/>
    <s v="M"/>
    <x v="0"/>
    <n v="4"/>
    <s v="California"/>
    <s v="San Diego County"/>
    <n v="1"/>
    <n v="10"/>
    <x v="1"/>
  </r>
  <r>
    <s v="TX501725"/>
    <s v="Graphic Tees"/>
    <n v="7"/>
    <n v="21.5"/>
    <n v="150.5"/>
    <d v="2025-03-05T00:00:00"/>
    <d v="2025-03-07T00:00:00"/>
    <s v="F"/>
    <x v="1"/>
    <n v="5"/>
    <s v="California"/>
    <s v="San Mateo County"/>
    <n v="2"/>
    <n v="10"/>
    <x v="2"/>
  </r>
  <r>
    <s v="TX501726"/>
    <s v="Casual Dresses"/>
    <n v="6"/>
    <n v="133"/>
    <n v="798"/>
    <d v="2025-03-05T00:00:00"/>
    <d v="2025-03-06T00:00:00"/>
    <s v="O"/>
    <x v="0"/>
    <n v="5"/>
    <s v="California"/>
    <s v="Santa Barbara County"/>
    <n v="1"/>
    <n v="10"/>
    <x v="3"/>
  </r>
  <r>
    <s v="TX501727"/>
    <s v="T-Shirts"/>
    <n v="2"/>
    <n v="47.7"/>
    <n v="95.4"/>
    <d v="2025-03-05T00:00:00"/>
    <d v="2025-03-09T00:00:00"/>
    <s v="M"/>
    <x v="0"/>
    <n v="5"/>
    <s v="California"/>
    <s v="Santa Barbara County"/>
    <n v="4"/>
    <n v="10"/>
    <x v="1"/>
  </r>
  <r>
    <s v="TX501728"/>
    <s v="Sunglasses"/>
    <n v="3"/>
    <n v="58.1"/>
    <n v="174.3"/>
    <d v="2025-03-05T00:00:00"/>
    <d v="2025-03-06T00:00:00"/>
    <s v="F"/>
    <x v="0"/>
    <n v="4"/>
    <s v="California"/>
    <s v="Santa Clara County"/>
    <n v="1"/>
    <n v="10"/>
    <x v="2"/>
  </r>
  <r>
    <s v="TX501729"/>
    <s v="Casual Dresses"/>
    <n v="4"/>
    <n v="66.599999999999994"/>
    <n v="266.39999999999998"/>
    <d v="2025-03-05T00:00:00"/>
    <d v="2025-03-06T00:00:00"/>
    <s v=""/>
    <x v="0"/>
    <n v="4"/>
    <s v="California"/>
    <s v="Santa Clara County"/>
    <n v="1"/>
    <n v="10"/>
    <x v="0"/>
  </r>
  <r>
    <s v="TX501730"/>
    <s v="Sundresses"/>
    <n v="1"/>
    <n v="24.1"/>
    <n v="24.1"/>
    <d v="2025-03-05T00:00:00"/>
    <d v="2025-03-08T00:00:00"/>
    <s v="M"/>
    <x v="2"/>
    <n v="3"/>
    <s v="California"/>
    <s v="Stanislaus County"/>
    <n v="3"/>
    <n v="10"/>
    <x v="1"/>
  </r>
  <r>
    <s v="TX501731"/>
    <s v="Bikinis"/>
    <n v="5"/>
    <n v="51.5"/>
    <n v="257.5"/>
    <d v="2025-03-05T00:00:00"/>
    <d v="2025-03-10T00:00:00"/>
    <s v="F"/>
    <x v="0"/>
    <n v="4"/>
    <s v="California"/>
    <s v="Ventura County"/>
    <n v="5"/>
    <n v="10"/>
    <x v="2"/>
  </r>
  <r>
    <s v="TX501732"/>
    <s v="Shorts"/>
    <n v="11"/>
    <n v="25.8"/>
    <n v="283.8"/>
    <d v="2025-03-05T00:00:00"/>
    <d v="2025-03-09T00:00:00"/>
    <s v="F"/>
    <x v="3"/>
    <n v="2"/>
    <s v="California"/>
    <s v="Alameda County"/>
    <n v="4"/>
    <n v="10"/>
    <x v="2"/>
  </r>
  <r>
    <s v="TX501733"/>
    <s v="Sundresses"/>
    <n v="4"/>
    <n v="47.7"/>
    <n v="190.8"/>
    <d v="2025-03-05T00:00:00"/>
    <d v="2025-03-05T00:00:00"/>
    <s v="F"/>
    <x v="0"/>
    <n v="3"/>
    <s v="California"/>
    <s v="Alameda County"/>
    <n v="0"/>
    <n v="10"/>
    <x v="2"/>
  </r>
  <r>
    <s v="TX501734"/>
    <s v="Hoodies &amp; Sweatshirts"/>
    <n v="5"/>
    <n v="73.599999999999994"/>
    <n v="368"/>
    <d v="2025-03-05T00:00:00"/>
    <d v="2025-03-09T00:00:00"/>
    <s v="M"/>
    <x v="1"/>
    <n v="4"/>
    <s v="California"/>
    <s v="Alameda County"/>
    <n v="4"/>
    <n v="10"/>
    <x v="1"/>
  </r>
  <r>
    <s v="TX501735"/>
    <s v="Sandals"/>
    <n v="7"/>
    <n v="91.2"/>
    <n v="638.4"/>
    <d v="2025-03-05T00:00:00"/>
    <d v="2025-03-06T00:00:00"/>
    <s v="M"/>
    <x v="1"/>
    <n v="5"/>
    <s v="California"/>
    <s v="Alameda County"/>
    <n v="1"/>
    <n v="10"/>
    <x v="1"/>
  </r>
  <r>
    <s v="TX501736"/>
    <s v="Tank Tops"/>
    <n v="8"/>
    <n v="36.200000000000003"/>
    <n v="289.60000000000002"/>
    <d v="2025-03-05T00:00:00"/>
    <d v="2025-03-05T00:00:00"/>
    <s v="M"/>
    <x v="2"/>
    <n v="5"/>
    <s v="California"/>
    <s v="Contra Costa County"/>
    <n v="0"/>
    <n v="10"/>
    <x v="1"/>
  </r>
  <r>
    <s v="TX501737"/>
    <s v="Sundresses"/>
    <n v="8"/>
    <n v="98"/>
    <n v="784"/>
    <d v="2025-03-05T00:00:00"/>
    <d v="2025-03-09T00:00:00"/>
    <s v="F"/>
    <x v="2"/>
    <n v="4"/>
    <s v="California"/>
    <s v="Fresno County"/>
    <n v="4"/>
    <n v="10"/>
    <x v="2"/>
  </r>
  <r>
    <s v="TX501738"/>
    <s v="Tank Tops"/>
    <n v="8"/>
    <n v="43.6"/>
    <n v="348.8"/>
    <d v="2025-03-05T00:00:00"/>
    <d v="2025-03-06T00:00:00"/>
    <s v="F"/>
    <x v="2"/>
    <n v="4"/>
    <s v="California"/>
    <s v="Kern County"/>
    <n v="1"/>
    <n v="10"/>
    <x v="2"/>
  </r>
  <r>
    <s v="TX501739"/>
    <s v="T-Shirts"/>
    <n v="10"/>
    <n v="37.799999999999997"/>
    <n v="378"/>
    <d v="2025-03-05T00:00:00"/>
    <d v="2025-03-05T00:00:00"/>
    <s v="O"/>
    <x v="0"/>
    <n v="4"/>
    <s v="California"/>
    <s v="Lake County"/>
    <n v="0"/>
    <n v="10"/>
    <x v="3"/>
  </r>
  <r>
    <s v="TX501740"/>
    <s v="Pajama Sets"/>
    <n v="5"/>
    <n v="63.7"/>
    <n v="318.5"/>
    <d v="2025-03-05T00:00:00"/>
    <d v="2025-03-08T00:00:00"/>
    <s v="F"/>
    <x v="2"/>
    <n v="3"/>
    <s v="California"/>
    <s v="Los Angeles County"/>
    <n v="3"/>
    <n v="10"/>
    <x v="2"/>
  </r>
  <r>
    <s v="TX501741"/>
    <s v="Sandals"/>
    <n v="9"/>
    <n v="62.9"/>
    <n v="566.1"/>
    <d v="2025-03-05T00:00:00"/>
    <d v="2025-03-10T00:00:00"/>
    <s v="M"/>
    <x v="3"/>
    <n v="5"/>
    <s v="California"/>
    <s v="Los Angeles County"/>
    <n v="5"/>
    <n v="10"/>
    <x v="1"/>
  </r>
  <r>
    <s v="TX501742"/>
    <s v="Jeans"/>
    <n v="7"/>
    <n v="61.7"/>
    <n v="431.90000000000003"/>
    <d v="2025-03-05T00:00:00"/>
    <d v="2025-03-08T00:00:00"/>
    <s v="F"/>
    <x v="2"/>
    <n v="5"/>
    <s v="California"/>
    <s v="Los Angeles County"/>
    <n v="3"/>
    <n v="10"/>
    <x v="2"/>
  </r>
  <r>
    <s v="TX501743"/>
    <s v="Leggings"/>
    <n v="14"/>
    <n v="36.5"/>
    <n v="511"/>
    <d v="2025-03-05T00:00:00"/>
    <d v="2025-03-06T00:00:00"/>
    <s v="M"/>
    <x v="0"/>
    <n v="5"/>
    <s v="California"/>
    <s v="Los Angeles County"/>
    <n v="1"/>
    <n v="10"/>
    <x v="1"/>
  </r>
  <r>
    <s v="TX501744"/>
    <s v="Maxi Dresses"/>
    <n v="3"/>
    <n v="98.6"/>
    <n v="295.79999999999995"/>
    <d v="2025-03-05T00:00:00"/>
    <d v="2025-03-08T00:00:00"/>
    <s v="O"/>
    <x v="0"/>
    <n v="2"/>
    <s v="California"/>
    <s v="Los Angeles County"/>
    <n v="3"/>
    <n v="10"/>
    <x v="3"/>
  </r>
  <r>
    <s v="TX501745"/>
    <s v="T-Shirts"/>
    <n v="2"/>
    <n v="19.2"/>
    <n v="38.4"/>
    <d v="2025-03-05T00:00:00"/>
    <d v="2025-03-15T00:00:00"/>
    <s v="M"/>
    <x v="0"/>
    <n v="4"/>
    <s v="California"/>
    <s v="Los Angeles County"/>
    <n v="10"/>
    <n v="10"/>
    <x v="1"/>
  </r>
  <r>
    <s v="TX501746"/>
    <s v="Workout Tops"/>
    <n v="6"/>
    <n v="55.6"/>
    <n v="333.6"/>
    <d v="2025-03-05T00:00:00"/>
    <d v="2025-03-09T00:00:00"/>
    <s v="F"/>
    <x v="0"/>
    <n v="5"/>
    <s v="California"/>
    <s v="Los Angeles County"/>
    <n v="4"/>
    <n v="10"/>
    <x v="2"/>
  </r>
  <r>
    <s v="TX501747"/>
    <s v="Sandals"/>
    <n v="6"/>
    <n v="56.4"/>
    <n v="338.4"/>
    <d v="2025-03-05T00:00:00"/>
    <d v="2025-03-06T00:00:00"/>
    <s v="F"/>
    <x v="1"/>
    <n v="4"/>
    <s v="California"/>
    <s v="Los Angeles County"/>
    <n v="1"/>
    <n v="10"/>
    <x v="2"/>
  </r>
  <r>
    <s v="TX501748"/>
    <s v="Graphic Tees"/>
    <n v="8"/>
    <n v="43.1"/>
    <n v="344.8"/>
    <d v="2025-03-05T00:00:00"/>
    <d v="2025-03-09T00:00:00"/>
    <s v="F"/>
    <x v="4"/>
    <n v="4"/>
    <s v="California"/>
    <s v="Los Angeles County"/>
    <n v="4"/>
    <n v="10"/>
    <x v="2"/>
  </r>
  <r>
    <s v="TX501749"/>
    <s v="Tank Tops"/>
    <n v="2"/>
    <n v="77.3"/>
    <n v="154.6"/>
    <d v="2025-03-05T00:00:00"/>
    <d v="2025-03-07T00:00:00"/>
    <s v="M"/>
    <x v="0"/>
    <n v="4"/>
    <s v="California"/>
    <s v="Sacramento County"/>
    <n v="2"/>
    <n v="10"/>
    <x v="1"/>
  </r>
  <r>
    <s v="TX501750"/>
    <s v="Sundresses"/>
    <n v="8"/>
    <n v="38.299999999999997"/>
    <n v="306.39999999999998"/>
    <d v="2025-03-05T00:00:00"/>
    <d v="2025-03-06T00:00:00"/>
    <s v="M"/>
    <x v="0"/>
    <n v="4"/>
    <s v="California"/>
    <s v="San Bernardino County"/>
    <n v="1"/>
    <n v="10"/>
    <x v="1"/>
  </r>
  <r>
    <s v="TX501751"/>
    <s v="Shorts"/>
    <n v="7"/>
    <n v="16.8"/>
    <n v="117.60000000000001"/>
    <d v="2025-03-05T00:00:00"/>
    <d v="2025-03-08T00:00:00"/>
    <s v="M"/>
    <x v="2"/>
    <n v="3"/>
    <s v="California"/>
    <s v="San Diego County"/>
    <n v="3"/>
    <n v="10"/>
    <x v="1"/>
  </r>
  <r>
    <s v="TX501752"/>
    <s v="Sneakers"/>
    <n v="3"/>
    <n v="63.2"/>
    <n v="189.60000000000002"/>
    <d v="2025-03-05T00:00:00"/>
    <d v="2025-03-06T00:00:00"/>
    <s v="F"/>
    <x v="0"/>
    <n v="5"/>
    <s v="California"/>
    <s v="San Diego County"/>
    <n v="1"/>
    <n v="10"/>
    <x v="2"/>
  </r>
  <r>
    <s v="TX501753"/>
    <s v="Baseball Caps"/>
    <n v="23"/>
    <n v="39.700000000000003"/>
    <n v="913.1"/>
    <d v="2025-03-05T00:00:00"/>
    <d v="2025-03-06T00:00:00"/>
    <s v="M"/>
    <x v="0"/>
    <n v="4"/>
    <s v="California"/>
    <s v="San Diego County"/>
    <n v="1"/>
    <n v="10"/>
    <x v="1"/>
  </r>
  <r>
    <s v="TX501754"/>
    <s v="Bikinis"/>
    <n v="3"/>
    <n v="45.8"/>
    <n v="137.39999999999998"/>
    <d v="2025-03-05T00:00:00"/>
    <d v="2025-03-06T00:00:00"/>
    <s v="F"/>
    <x v="1"/>
    <n v="5"/>
    <s v="California"/>
    <s v="San Diego County"/>
    <n v="1"/>
    <n v="10"/>
    <x v="2"/>
  </r>
  <r>
    <s v="TX501755"/>
    <s v="Shorts"/>
    <n v="6"/>
    <n v="12.4"/>
    <n v="74.400000000000006"/>
    <d v="2025-03-05T00:00:00"/>
    <d v="2025-03-08T00:00:00"/>
    <s v="M"/>
    <x v="0"/>
    <n v="4"/>
    <s v="California"/>
    <s v="San Diego County"/>
    <n v="3"/>
    <n v="10"/>
    <x v="1"/>
  </r>
  <r>
    <s v="TX501756"/>
    <s v="Baseball Caps"/>
    <n v="3"/>
    <n v="50.8"/>
    <n v="152.39999999999998"/>
    <d v="2025-03-06T00:00:00"/>
    <d v="2025-03-06T00:00:00"/>
    <s v="F"/>
    <x v="4"/>
    <n v="4"/>
    <s v="California"/>
    <s v="San Francisco"/>
    <n v="0"/>
    <n v="10"/>
    <x v="2"/>
  </r>
  <r>
    <s v="TX501757"/>
    <s v="Sundresses"/>
    <n v="1"/>
    <n v="76"/>
    <n v="76"/>
    <d v="2025-03-06T00:00:00"/>
    <d v="2025-03-10T00:00:00"/>
    <s v="O"/>
    <x v="2"/>
    <n v="5"/>
    <s v="California"/>
    <s v="San Francisco"/>
    <n v="4"/>
    <n v="10"/>
    <x v="3"/>
  </r>
  <r>
    <s v="TX501758"/>
    <s v="Tank Tops"/>
    <n v="2"/>
    <n v="51.9"/>
    <n v="103.8"/>
    <d v="2025-03-06T00:00:00"/>
    <d v="2025-03-07T00:00:00"/>
    <s v="M"/>
    <x v="1"/>
    <n v="5"/>
    <s v="California"/>
    <s v="San Joaquin County"/>
    <n v="1"/>
    <n v="10"/>
    <x v="1"/>
  </r>
  <r>
    <s v="TX501759"/>
    <s v="Sneakers"/>
    <n v="2"/>
    <n v="93.4"/>
    <n v="186.8"/>
    <d v="2025-03-06T00:00:00"/>
    <d v="2025-03-13T00:00:00"/>
    <s v="M"/>
    <x v="0"/>
    <n v="1"/>
    <s v="California"/>
    <s v="Santa Clara County"/>
    <n v="7"/>
    <n v="10"/>
    <x v="1"/>
  </r>
  <r>
    <s v="TX501760"/>
    <s v="Hoodies &amp; Sweatshirts"/>
    <n v="6"/>
    <n v="30.8"/>
    <n v="184.8"/>
    <d v="2025-03-06T00:00:00"/>
    <d v="2025-03-09T00:00:00"/>
    <s v="F"/>
    <x v="1"/>
    <n v="4"/>
    <s v="California"/>
    <s v="Santa Clara County"/>
    <n v="3"/>
    <n v="10"/>
    <x v="2"/>
  </r>
  <r>
    <s v="TX501761"/>
    <s v="Sneakers"/>
    <n v="1"/>
    <n v="143.19999999999999"/>
    <n v="143.19999999999999"/>
    <d v="2025-03-06T00:00:00"/>
    <d v="2025-03-09T00:00:00"/>
    <s v="M"/>
    <x v="2"/>
    <n v="4"/>
    <s v="California"/>
    <s v="Santa Clara County"/>
    <n v="3"/>
    <n v="10"/>
    <x v="1"/>
  </r>
  <r>
    <s v="TX501762"/>
    <s v="Jeans"/>
    <n v="11"/>
    <n v="40.4"/>
    <n v="444.4"/>
    <d v="2025-03-06T00:00:00"/>
    <d v="2025-03-08T00:00:00"/>
    <s v="M"/>
    <x v="2"/>
    <n v="5"/>
    <s v="California"/>
    <s v="Sonoma County"/>
    <n v="2"/>
    <n v="10"/>
    <x v="1"/>
  </r>
  <r>
    <s v="TX501763"/>
    <s v="Sneakers"/>
    <n v="19"/>
    <n v="131.5"/>
    <n v="2498.5"/>
    <d v="2025-03-06T00:00:00"/>
    <d v="2025-03-08T00:00:00"/>
    <s v="M"/>
    <x v="1"/>
    <n v="3"/>
    <s v="California"/>
    <s v="Sonoma County"/>
    <n v="2"/>
    <n v="10"/>
    <x v="1"/>
  </r>
  <r>
    <s v="TX501764"/>
    <s v="Leggings"/>
    <n v="7"/>
    <n v="61.6"/>
    <n v="431.2"/>
    <d v="2025-03-06T00:00:00"/>
    <d v="2025-03-07T00:00:00"/>
    <s v="M"/>
    <x v="2"/>
    <n v="4"/>
    <s v="California"/>
    <s v="Alameda County"/>
    <n v="1"/>
    <n v="10"/>
    <x v="1"/>
  </r>
  <r>
    <s v="TX501765"/>
    <s v="Sundresses"/>
    <n v="5"/>
    <n v="32.700000000000003"/>
    <n v="163.5"/>
    <d v="2025-03-06T00:00:00"/>
    <d v="2025-03-08T00:00:00"/>
    <s v="M"/>
    <x v="2"/>
    <n v="4"/>
    <s v="California"/>
    <s v="Contra Costa County"/>
    <n v="2"/>
    <n v="10"/>
    <x v="1"/>
  </r>
  <r>
    <s v="TX501766"/>
    <s v="Shorts"/>
    <n v="10"/>
    <n v="13.7"/>
    <n v="137"/>
    <d v="2025-03-06T00:00:00"/>
    <d v="2025-03-07T00:00:00"/>
    <s v="M"/>
    <x v="0"/>
    <n v="5"/>
    <s v="California"/>
    <s v="Los Angeles County"/>
    <n v="1"/>
    <n v="10"/>
    <x v="1"/>
  </r>
  <r>
    <s v="TX501767"/>
    <s v="Shorts"/>
    <n v="4"/>
    <n v="32.1"/>
    <n v="128.4"/>
    <d v="2025-03-06T00:00:00"/>
    <d v="2025-03-07T00:00:00"/>
    <s v="M"/>
    <x v="4"/>
    <n v="3"/>
    <s v="California"/>
    <s v="Los Angeles County"/>
    <n v="1"/>
    <n v="10"/>
    <x v="1"/>
  </r>
  <r>
    <s v="TX501768"/>
    <s v="Baseball Caps"/>
    <n v="8"/>
    <n v="12"/>
    <n v="96"/>
    <d v="2025-03-06T00:00:00"/>
    <d v="2025-03-07T00:00:00"/>
    <s v="M"/>
    <x v="1"/>
    <n v="4"/>
    <s v="California"/>
    <s v="Merced County"/>
    <n v="1"/>
    <n v="10"/>
    <x v="1"/>
  </r>
  <r>
    <s v="TX501769"/>
    <s v="Casual Dresses"/>
    <n v="1"/>
    <n v="64.3"/>
    <n v="64.3"/>
    <d v="2025-03-06T00:00:00"/>
    <d v="2025-03-08T00:00:00"/>
    <s v="F"/>
    <x v="2"/>
    <n v="5"/>
    <s v="California"/>
    <s v="Sacramento County"/>
    <n v="2"/>
    <n v="10"/>
    <x v="2"/>
  </r>
  <r>
    <s v="TX501770"/>
    <s v="Tank Tops"/>
    <n v="3"/>
    <n v="58.2"/>
    <n v="174.60000000000002"/>
    <d v="2025-03-06T00:00:00"/>
    <d v="2025-03-08T00:00:00"/>
    <s v="F"/>
    <x v="1"/>
    <n v="5"/>
    <s v="California"/>
    <s v="Sacramento County"/>
    <n v="2"/>
    <n v="10"/>
    <x v="2"/>
  </r>
  <r>
    <s v="TX501771"/>
    <s v="Jeans"/>
    <n v="4"/>
    <n v="59.2"/>
    <n v="236.8"/>
    <d v="2025-03-06T00:00:00"/>
    <d v="2025-03-06T00:00:00"/>
    <s v="M"/>
    <x v="1"/>
    <n v="5"/>
    <s v="California"/>
    <s v="Sacramento County"/>
    <n v="0"/>
    <n v="10"/>
    <x v="1"/>
  </r>
  <r>
    <s v="TX501772"/>
    <s v="Bikinis"/>
    <n v="11"/>
    <n v="35.6"/>
    <n v="391.6"/>
    <d v="2025-03-06T00:00:00"/>
    <d v="2025-03-13T00:00:00"/>
    <s v="M"/>
    <x v="0"/>
    <n v="5"/>
    <s v="California"/>
    <s v="San Diego County"/>
    <n v="7"/>
    <n v="10"/>
    <x v="1"/>
  </r>
  <r>
    <s v="TX501773"/>
    <s v="Sunglasses"/>
    <n v="8"/>
    <n v="37"/>
    <n v="296"/>
    <d v="2025-03-06T00:00:00"/>
    <d v="2025-03-10T00:00:00"/>
    <s v="F"/>
    <x v="2"/>
    <n v="3"/>
    <s v="California"/>
    <s v="San Diego County"/>
    <n v="4"/>
    <n v="10"/>
    <x v="2"/>
  </r>
  <r>
    <s v="TX501774"/>
    <s v="Tank Tops"/>
    <n v="13"/>
    <n v="80.8"/>
    <n v="1050.3999999999999"/>
    <d v="2025-03-06T00:00:00"/>
    <d v="2025-03-08T00:00:00"/>
    <s v="F"/>
    <x v="0"/>
    <n v="4"/>
    <s v="California"/>
    <s v="San Diego County"/>
    <n v="2"/>
    <n v="10"/>
    <x v="2"/>
  </r>
  <r>
    <s v="TX501775"/>
    <s v="T-Shirts"/>
    <n v="2"/>
    <n v="63.2"/>
    <n v="126.4"/>
    <d v="2025-03-06T00:00:00"/>
    <d v="2025-03-07T00:00:00"/>
    <s v="M"/>
    <x v="0"/>
    <n v="3"/>
    <s v="California"/>
    <s v="San Diego County"/>
    <n v="1"/>
    <n v="10"/>
    <x v="1"/>
  </r>
  <r>
    <s v="TX501776"/>
    <s v="Workout Tops"/>
    <n v="2"/>
    <n v="40.799999999999997"/>
    <n v="81.599999999999994"/>
    <d v="2025-03-06T00:00:00"/>
    <d v="2025-03-08T00:00:00"/>
    <s v="M"/>
    <x v="0"/>
    <n v="3"/>
    <s v="California"/>
    <s v="San Francisco"/>
    <n v="2"/>
    <n v="10"/>
    <x v="1"/>
  </r>
  <r>
    <s v="TX501777"/>
    <s v="Tote Bags"/>
    <n v="6"/>
    <n v="25.7"/>
    <n v="154.19999999999999"/>
    <d v="2025-03-06T00:00:00"/>
    <d v="2025-03-08T00:00:00"/>
    <s v="M"/>
    <x v="4"/>
    <n v="4"/>
    <s v="California"/>
    <s v="Sonoma County"/>
    <n v="2"/>
    <n v="10"/>
    <x v="1"/>
  </r>
  <r>
    <s v="TX501778"/>
    <s v="Sunglasses"/>
    <n v="2"/>
    <n v="49.9"/>
    <n v="99.8"/>
    <d v="2025-03-06T00:00:00"/>
    <d v="2025-03-09T00:00:00"/>
    <s v="M"/>
    <x v="0"/>
    <n v="4"/>
    <s v="California"/>
    <s v="Tulare County"/>
    <n v="3"/>
    <n v="10"/>
    <x v="1"/>
  </r>
  <r>
    <s v="TX501779"/>
    <s v="T-Shirts"/>
    <n v="2"/>
    <n v="20.2"/>
    <n v="40.4"/>
    <d v="2025-03-06T00:00:00"/>
    <d v="2025-03-08T00:00:00"/>
    <s v="F"/>
    <x v="3"/>
    <n v="4"/>
    <s v="California"/>
    <s v="Alameda County"/>
    <n v="2"/>
    <n v="10"/>
    <x v="2"/>
  </r>
  <r>
    <s v="TX501780"/>
    <s v="Jeans"/>
    <n v="3"/>
    <n v="48.4"/>
    <n v="145.19999999999999"/>
    <d v="2025-03-06T00:00:00"/>
    <d v="2025-03-11T00:00:00"/>
    <s v="F"/>
    <x v="0"/>
    <n v="5"/>
    <s v="California"/>
    <s v="Alameda County"/>
    <n v="5"/>
    <n v="10"/>
    <x v="2"/>
  </r>
  <r>
    <s v="TX501781"/>
    <s v="Jeans"/>
    <n v="2"/>
    <n v="81"/>
    <n v="162"/>
    <d v="2025-03-06T00:00:00"/>
    <d v="2025-03-07T00:00:00"/>
    <s v="F"/>
    <x v="1"/>
    <n v="5"/>
    <s v="California"/>
    <s v="Alameda County"/>
    <n v="1"/>
    <n v="10"/>
    <x v="2"/>
  </r>
  <r>
    <s v="TX501782"/>
    <s v="T-Shirts"/>
    <n v="6"/>
    <n v="19.899999999999999"/>
    <n v="119.39999999999999"/>
    <d v="2025-03-06T00:00:00"/>
    <d v="2025-03-09T00:00:00"/>
    <s v="F"/>
    <x v="0"/>
    <n v="3"/>
    <s v="California"/>
    <s v="Kern County"/>
    <n v="3"/>
    <n v="10"/>
    <x v="2"/>
  </r>
  <r>
    <s v="TX501783"/>
    <s v="Graphic Tees"/>
    <n v="4"/>
    <n v="32.200000000000003"/>
    <n v="128.80000000000001"/>
    <d v="2025-03-06T00:00:00"/>
    <d v="2025-03-16T00:00:00"/>
    <s v="M"/>
    <x v="0"/>
    <n v="4"/>
    <s v="California"/>
    <s v="Kern County"/>
    <n v="10"/>
    <n v="10"/>
    <x v="1"/>
  </r>
  <r>
    <s v="TX501784"/>
    <s v="Sandals"/>
    <n v="3"/>
    <n v="76.8"/>
    <n v="230.39999999999998"/>
    <d v="2025-03-06T00:00:00"/>
    <d v="2025-03-07T00:00:00"/>
    <s v="F"/>
    <x v="0"/>
    <n v="3"/>
    <s v="California"/>
    <s v="Los Angeles County"/>
    <n v="1"/>
    <n v="10"/>
    <x v="2"/>
  </r>
  <r>
    <s v="TX501785"/>
    <s v="Jeans"/>
    <n v="2"/>
    <n v="41.9"/>
    <n v="83.8"/>
    <d v="2025-03-06T00:00:00"/>
    <d v="2025-03-08T00:00:00"/>
    <s v="F"/>
    <x v="0"/>
    <n v="4"/>
    <s v="California"/>
    <s v="Los Angeles County"/>
    <n v="2"/>
    <n v="10"/>
    <x v="2"/>
  </r>
  <r>
    <s v="TX501786"/>
    <s v="Shorts"/>
    <n v="7"/>
    <n v="34"/>
    <n v="238"/>
    <d v="2025-03-06T00:00:00"/>
    <d v="2025-03-08T00:00:00"/>
    <s v="F"/>
    <x v="1"/>
    <n v="5"/>
    <s v="California"/>
    <s v="Los Angeles County"/>
    <n v="2"/>
    <n v="10"/>
    <x v="2"/>
  </r>
  <r>
    <s v="TX501787"/>
    <s v="Hoodies &amp; Sweatshirts"/>
    <n v="7"/>
    <n v="61.3"/>
    <n v="429.09999999999997"/>
    <d v="2025-03-06T00:00:00"/>
    <d v="2025-03-06T00:00:00"/>
    <s v="F"/>
    <x v="4"/>
    <n v="5"/>
    <s v="California"/>
    <s v="Los Angeles County"/>
    <n v="0"/>
    <n v="10"/>
    <x v="2"/>
  </r>
  <r>
    <s v="TX501788"/>
    <s v="Sundresses"/>
    <n v="1"/>
    <n v="54.7"/>
    <n v="54.7"/>
    <d v="2025-03-07T00:00:00"/>
    <d v="2025-03-08T00:00:00"/>
    <s v="M"/>
    <x v="0"/>
    <n v="3"/>
    <s v="California"/>
    <s v="Los Angeles County"/>
    <n v="1"/>
    <n v="10"/>
    <x v="1"/>
  </r>
  <r>
    <s v="TX501789"/>
    <s v="Jeans"/>
    <n v="10"/>
    <n v="84.7"/>
    <n v="847"/>
    <d v="2025-03-07T00:00:00"/>
    <d v="2025-03-11T00:00:00"/>
    <s v="F"/>
    <x v="0"/>
    <n v="4"/>
    <s v="California"/>
    <s v="Los Angeles County"/>
    <n v="4"/>
    <n v="10"/>
    <x v="2"/>
  </r>
  <r>
    <s v="TX501790"/>
    <s v="Tank Tops"/>
    <n v="3"/>
    <n v="93.4"/>
    <n v="280.20000000000005"/>
    <d v="2025-03-07T00:00:00"/>
    <d v="2025-03-11T00:00:00"/>
    <s v="F"/>
    <x v="3"/>
    <n v="4"/>
    <s v="California"/>
    <s v="Los Angeles County"/>
    <n v="4"/>
    <n v="10"/>
    <x v="2"/>
  </r>
  <r>
    <s v="TX501791"/>
    <s v="T-Shirts"/>
    <n v="5"/>
    <n v="27"/>
    <n v="135"/>
    <d v="2025-03-07T00:00:00"/>
    <d v="2025-03-10T00:00:00"/>
    <s v="M"/>
    <x v="0"/>
    <n v="3"/>
    <s v="California"/>
    <s v="Los Angeles County"/>
    <n v="3"/>
    <n v="10"/>
    <x v="1"/>
  </r>
  <r>
    <s v="TX501792"/>
    <s v="Shorts"/>
    <n v="4"/>
    <n v="10.9"/>
    <n v="43.6"/>
    <d v="2025-03-07T00:00:00"/>
    <d v="2025-03-08T00:00:00"/>
    <s v="M"/>
    <x v="2"/>
    <n v="4"/>
    <s v="California"/>
    <s v="Los Angeles County"/>
    <n v="1"/>
    <n v="10"/>
    <x v="1"/>
  </r>
  <r>
    <s v="TX501793"/>
    <s v="Sunglasses"/>
    <n v="3"/>
    <n v="48"/>
    <n v="144"/>
    <d v="2025-03-07T00:00:00"/>
    <d v="2025-03-12T00:00:00"/>
    <s v="F"/>
    <x v="4"/>
    <n v="4"/>
    <s v="California"/>
    <s v="Los Angeles County"/>
    <n v="5"/>
    <n v="10"/>
    <x v="2"/>
  </r>
  <r>
    <s v="TX501794"/>
    <s v="Sandals"/>
    <n v="2"/>
    <n v="67.900000000000006"/>
    <n v="135.80000000000001"/>
    <d v="2025-03-07T00:00:00"/>
    <d v="2025-03-08T00:00:00"/>
    <s v="M"/>
    <x v="0"/>
    <n v="5"/>
    <s v="California"/>
    <s v="Riverside County"/>
    <n v="1"/>
    <n v="10"/>
    <x v="1"/>
  </r>
  <r>
    <s v="TX501795"/>
    <s v="Graphic Tees"/>
    <n v="3"/>
    <n v="36"/>
    <n v="108"/>
    <d v="2025-03-07T00:00:00"/>
    <d v="2025-03-08T00:00:00"/>
    <s v="M"/>
    <x v="1"/>
    <n v="4"/>
    <s v="California"/>
    <s v="Sacramento County"/>
    <n v="1"/>
    <n v="10"/>
    <x v="1"/>
  </r>
  <r>
    <s v="TX501796"/>
    <s v="Sneakers"/>
    <n v="1"/>
    <n v="128.80000000000001"/>
    <n v="128.80000000000001"/>
    <d v="2025-03-07T00:00:00"/>
    <d v="2025-03-08T00:00:00"/>
    <s v="M"/>
    <x v="4"/>
    <n v="5"/>
    <s v="California"/>
    <s v="Sacramento County"/>
    <n v="1"/>
    <n v="10"/>
    <x v="1"/>
  </r>
  <r>
    <s v="TX501797"/>
    <s v="Leggings"/>
    <n v="7"/>
    <n v="33.299999999999997"/>
    <n v="233.09999999999997"/>
    <d v="2025-03-07T00:00:00"/>
    <d v="2025-03-08T00:00:00"/>
    <s v="F"/>
    <x v="3"/>
    <n v="4"/>
    <s v="California"/>
    <s v="San Diego County"/>
    <n v="1"/>
    <n v="10"/>
    <x v="2"/>
  </r>
  <r>
    <s v="TX501798"/>
    <s v="Bikinis"/>
    <n v="3"/>
    <n v="37.799999999999997"/>
    <n v="113.39999999999999"/>
    <d v="2025-03-07T00:00:00"/>
    <d v="2025-03-09T00:00:00"/>
    <s v="M"/>
    <x v="1"/>
    <n v="5"/>
    <s v="California"/>
    <s v="San Diego County"/>
    <n v="2"/>
    <n v="10"/>
    <x v="1"/>
  </r>
  <r>
    <s v="TX501799"/>
    <s v="Sandals"/>
    <n v="3"/>
    <n v="26"/>
    <n v="78"/>
    <d v="2025-03-07T00:00:00"/>
    <d v="2025-03-12T00:00:00"/>
    <s v="F"/>
    <x v="0"/>
    <n v="4"/>
    <s v="California"/>
    <s v="San Diego County"/>
    <n v="5"/>
    <n v="10"/>
    <x v="2"/>
  </r>
  <r>
    <s v="TX501800"/>
    <s v="T-Shirts"/>
    <n v="19"/>
    <n v="28.3"/>
    <n v="537.70000000000005"/>
    <d v="2025-03-07T00:00:00"/>
    <d v="2025-03-08T00:00:00"/>
    <s v="F"/>
    <x v="3"/>
    <n v="2"/>
    <s v="California"/>
    <s v="San Diego County"/>
    <n v="1"/>
    <n v="10"/>
    <x v="2"/>
  </r>
  <r>
    <s v="TX501801"/>
    <s v="T-Shirts"/>
    <n v="4"/>
    <n v="31.3"/>
    <n v="125.2"/>
    <d v="2025-03-07T00:00:00"/>
    <d v="2025-03-07T00:00:00"/>
    <s v="F"/>
    <x v="0"/>
    <n v="4"/>
    <s v="California"/>
    <s v="San Diego County"/>
    <n v="0"/>
    <n v="10"/>
    <x v="2"/>
  </r>
  <r>
    <s v="TX501802"/>
    <s v="Hoodies &amp; Sweatshirts"/>
    <n v="3"/>
    <n v="69.5"/>
    <n v="208.5"/>
    <d v="2025-03-07T00:00:00"/>
    <d v="2025-03-08T00:00:00"/>
    <s v="F"/>
    <x v="3"/>
    <n v="5"/>
    <s v="California"/>
    <s v="San Diego County"/>
    <n v="1"/>
    <n v="10"/>
    <x v="2"/>
  </r>
  <r>
    <s v="TX501803"/>
    <s v="Shorts"/>
    <n v="2"/>
    <n v="16.7"/>
    <n v="33.4"/>
    <d v="2025-03-07T00:00:00"/>
    <d v="2025-03-08T00:00:00"/>
    <s v="F"/>
    <x v="3"/>
    <n v="3"/>
    <s v="California"/>
    <s v="San Diego County"/>
    <n v="1"/>
    <n v="10"/>
    <x v="2"/>
  </r>
  <r>
    <s v="TX501804"/>
    <s v="Sundresses"/>
    <n v="2"/>
    <n v="62.6"/>
    <n v="125.2"/>
    <d v="2025-03-07T00:00:00"/>
    <d v="2025-03-08T00:00:00"/>
    <s v="M"/>
    <x v="2"/>
    <n v="5"/>
    <s v="California"/>
    <s v="San Mateo County"/>
    <n v="1"/>
    <n v="10"/>
    <x v="1"/>
  </r>
  <r>
    <s v="TX501805"/>
    <s v="Hoodies &amp; Sweatshirts"/>
    <n v="1"/>
    <n v="81.2"/>
    <n v="81.2"/>
    <d v="2025-03-07T00:00:00"/>
    <d v="2025-03-13T00:00:00"/>
    <s v="M"/>
    <x v="4"/>
    <n v="2"/>
    <s v="California"/>
    <s v="San Mateo County"/>
    <n v="6"/>
    <n v="10"/>
    <x v="1"/>
  </r>
  <r>
    <s v="TX501806"/>
    <s v="Shorts"/>
    <n v="10"/>
    <n v="12.7"/>
    <n v="127"/>
    <d v="2025-03-07T00:00:00"/>
    <d v="2025-03-08T00:00:00"/>
    <s v="F"/>
    <x v="0"/>
    <n v="5"/>
    <s v="California"/>
    <s v="San Mateo County"/>
    <n v="1"/>
    <n v="10"/>
    <x v="2"/>
  </r>
  <r>
    <s v="TX501807"/>
    <s v="Hoodies &amp; Sweatshirts"/>
    <n v="4"/>
    <n v="77.7"/>
    <n v="310.8"/>
    <d v="2025-03-08T00:00:00"/>
    <d v="2025-03-12T00:00:00"/>
    <s v="M"/>
    <x v="1"/>
    <n v="4"/>
    <s v="California"/>
    <s v="Santa Clara County"/>
    <n v="4"/>
    <n v="10"/>
    <x v="1"/>
  </r>
  <r>
    <s v="TX501808"/>
    <s v="Sandals"/>
    <n v="2"/>
    <n v="37.299999999999997"/>
    <n v="74.599999999999994"/>
    <d v="2025-03-08T00:00:00"/>
    <d v="2025-03-09T00:00:00"/>
    <s v="F"/>
    <x v="0"/>
    <n v="5"/>
    <s v="California"/>
    <s v="Sonoma County"/>
    <n v="1"/>
    <n v="10"/>
    <x v="2"/>
  </r>
  <r>
    <s v="TX501809"/>
    <s v="Bikinis"/>
    <n v="4"/>
    <n v="35.6"/>
    <n v="142.4"/>
    <d v="2025-03-08T00:00:00"/>
    <d v="2025-03-10T00:00:00"/>
    <s v="F"/>
    <x v="1"/>
    <n v="3"/>
    <s v="California"/>
    <s v="Stanislaus County"/>
    <n v="2"/>
    <n v="10"/>
    <x v="2"/>
  </r>
  <r>
    <s v="TX501810"/>
    <s v="Sneakers"/>
    <n v="3"/>
    <n v="95"/>
    <n v="285"/>
    <d v="2025-03-08T00:00:00"/>
    <d v="2025-03-12T00:00:00"/>
    <s v="F"/>
    <x v="2"/>
    <n v="5"/>
    <s v="California"/>
    <s v="Yuba County"/>
    <n v="4"/>
    <n v="10"/>
    <x v="2"/>
  </r>
  <r>
    <s v="TX501811"/>
    <s v="Sneakers"/>
    <n v="4"/>
    <n v="172.1"/>
    <n v="688.4"/>
    <d v="2025-03-08T00:00:00"/>
    <d v="2025-03-12T00:00:00"/>
    <s v="O"/>
    <x v="2"/>
    <n v="5"/>
    <s v="California"/>
    <s v="Alameda County"/>
    <n v="4"/>
    <n v="10"/>
    <x v="3"/>
  </r>
  <r>
    <s v="TX501812"/>
    <s v="Sneakers"/>
    <n v="2"/>
    <n v="233"/>
    <n v="466"/>
    <d v="2025-03-08T00:00:00"/>
    <d v="2025-03-11T00:00:00"/>
    <s v="F"/>
    <x v="1"/>
    <n v="4"/>
    <s v="California"/>
    <s v="Alameda County"/>
    <n v="3"/>
    <n v="10"/>
    <x v="2"/>
  </r>
  <r>
    <s v="TX501813"/>
    <s v="Shorts"/>
    <n v="1"/>
    <n v="43.5"/>
    <n v="43.5"/>
    <d v="2025-03-08T00:00:00"/>
    <d v="2025-03-09T00:00:00"/>
    <s v="F"/>
    <x v="2"/>
    <n v="5"/>
    <s v="California"/>
    <s v="Alameda County"/>
    <n v="1"/>
    <n v="10"/>
    <x v="2"/>
  </r>
  <r>
    <s v="TX501814"/>
    <s v="Sundresses"/>
    <n v="2"/>
    <n v="47.8"/>
    <n v="95.6"/>
    <d v="2025-03-08T00:00:00"/>
    <d v="2025-03-11T00:00:00"/>
    <s v="M"/>
    <x v="4"/>
    <n v="5"/>
    <s v="California"/>
    <s v="Contra Costa County"/>
    <n v="3"/>
    <n v="10"/>
    <x v="1"/>
  </r>
  <r>
    <s v="TX501815"/>
    <s v="Casual Dresses"/>
    <n v="2"/>
    <n v="65.8"/>
    <n v="131.6"/>
    <d v="2025-03-08T00:00:00"/>
    <d v="2025-03-10T00:00:00"/>
    <s v="F"/>
    <x v="0"/>
    <n v="1"/>
    <s v="California"/>
    <s v="Imperial County"/>
    <n v="2"/>
    <n v="10"/>
    <x v="2"/>
  </r>
  <r>
    <s v="TX501816"/>
    <s v="Crop Tops"/>
    <n v="11"/>
    <n v="38.700000000000003"/>
    <n v="425.70000000000005"/>
    <d v="2025-03-08T00:00:00"/>
    <d v="2025-03-08T00:00:00"/>
    <s v="M"/>
    <x v="0"/>
    <n v="4"/>
    <s v="California"/>
    <s v="Kern County"/>
    <n v="0"/>
    <n v="10"/>
    <x v="1"/>
  </r>
  <r>
    <s v="TX501817"/>
    <s v="Workout Tops"/>
    <n v="4"/>
    <n v="55.7"/>
    <n v="222.8"/>
    <d v="2025-03-08T00:00:00"/>
    <d v="2025-03-10T00:00:00"/>
    <s v="O"/>
    <x v="0"/>
    <n v="3"/>
    <s v="California"/>
    <s v="Kern County"/>
    <n v="2"/>
    <n v="10"/>
    <x v="3"/>
  </r>
  <r>
    <s v="TX501818"/>
    <s v="Hoodies &amp; Sweatshirts"/>
    <n v="2"/>
    <n v="102.4"/>
    <n v="204.8"/>
    <d v="2025-03-08T00:00:00"/>
    <d v="2025-03-08T00:00:00"/>
    <s v="F"/>
    <x v="1"/>
    <n v="4"/>
    <s v="California"/>
    <s v="Los Angeles County"/>
    <n v="0"/>
    <n v="10"/>
    <x v="2"/>
  </r>
  <r>
    <s v="TX501819"/>
    <s v="Tank Tops"/>
    <n v="1"/>
    <n v="92"/>
    <n v="92"/>
    <d v="2025-03-08T00:00:00"/>
    <d v="2025-03-12T00:00:00"/>
    <s v=""/>
    <x v="2"/>
    <n v="4"/>
    <s v="California"/>
    <s v="Los Angeles County"/>
    <n v="4"/>
    <n v="10"/>
    <x v="0"/>
  </r>
  <r>
    <s v="TX501820"/>
    <s v="Jeans"/>
    <n v="4"/>
    <n v="75.900000000000006"/>
    <n v="303.60000000000002"/>
    <d v="2025-03-08T00:00:00"/>
    <d v="2025-03-10T00:00:00"/>
    <s v="F"/>
    <x v="1"/>
    <n v="4"/>
    <s v="California"/>
    <s v="Los Angeles County"/>
    <n v="2"/>
    <n v="10"/>
    <x v="2"/>
  </r>
  <r>
    <s v="TX501821"/>
    <s v="Tank Tops"/>
    <n v="4"/>
    <n v="36.200000000000003"/>
    <n v="144.80000000000001"/>
    <d v="2025-03-08T00:00:00"/>
    <d v="2025-03-09T00:00:00"/>
    <s v="F"/>
    <x v="1"/>
    <n v="4"/>
    <s v="California"/>
    <s v="Los Angeles County"/>
    <n v="1"/>
    <n v="10"/>
    <x v="2"/>
  </r>
  <r>
    <s v="TX501822"/>
    <s v="Jeans"/>
    <n v="87"/>
    <n v="83.5"/>
    <n v="7264.5"/>
    <d v="2025-03-08T00:00:00"/>
    <d v="2025-03-10T00:00:00"/>
    <s v=""/>
    <x v="3"/>
    <n v="4"/>
    <s v="California"/>
    <s v="Los Angeles County"/>
    <n v="2"/>
    <n v="10"/>
    <x v="0"/>
  </r>
  <r>
    <s v="TX501823"/>
    <s v="Jewelry"/>
    <n v="12"/>
    <n v="52.4"/>
    <n v="628.79999999999995"/>
    <d v="2025-03-08T00:00:00"/>
    <d v="2025-03-08T00:00:00"/>
    <s v="M"/>
    <x v="2"/>
    <n v="4"/>
    <s v="California"/>
    <s v="Los Angeles County"/>
    <n v="0"/>
    <n v="10"/>
    <x v="1"/>
  </r>
  <r>
    <s v="TX501824"/>
    <s v="Casual Dresses"/>
    <n v="3"/>
    <n v="69.5"/>
    <n v="208.5"/>
    <d v="2025-03-08T00:00:00"/>
    <d v="2025-03-09T00:00:00"/>
    <s v="O"/>
    <x v="4"/>
    <n v="4"/>
    <s v="California"/>
    <s v="Los Angeles County"/>
    <n v="1"/>
    <n v="10"/>
    <x v="3"/>
  </r>
  <r>
    <s v="TX501825"/>
    <s v="Shorts"/>
    <n v="1"/>
    <n v="15.5"/>
    <n v="15.5"/>
    <d v="2025-03-08T00:00:00"/>
    <d v="2025-03-10T00:00:00"/>
    <s v="M"/>
    <x v="0"/>
    <n v="4"/>
    <s v="California"/>
    <s v="Los Angeles County"/>
    <n v="2"/>
    <n v="10"/>
    <x v="1"/>
  </r>
  <r>
    <s v="TX501826"/>
    <s v="Graphic Tees"/>
    <n v="4"/>
    <n v="35.200000000000003"/>
    <n v="140.80000000000001"/>
    <d v="2025-03-08T00:00:00"/>
    <d v="2025-03-09T00:00:00"/>
    <s v="F"/>
    <x v="2"/>
    <n v="5"/>
    <s v="California"/>
    <s v="Los Angeles County"/>
    <n v="1"/>
    <n v="10"/>
    <x v="2"/>
  </r>
  <r>
    <s v="TX501827"/>
    <s v="T-Shirts"/>
    <n v="6"/>
    <n v="34.6"/>
    <n v="207.60000000000002"/>
    <d v="2025-03-08T00:00:00"/>
    <d v="2025-03-09T00:00:00"/>
    <s v=""/>
    <x v="0"/>
    <n v="3"/>
    <s v="California"/>
    <s v="Los Angeles County"/>
    <n v="1"/>
    <n v="10"/>
    <x v="0"/>
  </r>
  <r>
    <s v="TX501828"/>
    <s v="Graphic Tees"/>
    <n v="1"/>
    <n v="21.3"/>
    <n v="21.3"/>
    <d v="2025-03-09T00:00:00"/>
    <d v="2025-03-10T00:00:00"/>
    <s v="M"/>
    <x v="2"/>
    <n v="3"/>
    <s v="California"/>
    <s v="Los Angeles County"/>
    <n v="1"/>
    <n v="11"/>
    <x v="1"/>
  </r>
  <r>
    <s v="TX501829"/>
    <s v="Jeans"/>
    <n v="2"/>
    <n v="136.5"/>
    <n v="273"/>
    <d v="2025-03-09T00:00:00"/>
    <d v="2025-03-15T00:00:00"/>
    <s v="F"/>
    <x v="0"/>
    <n v="4"/>
    <s v="California"/>
    <s v="Madera County"/>
    <n v="6"/>
    <n v="11"/>
    <x v="2"/>
  </r>
  <r>
    <s v="TX501830"/>
    <s v="Sundresses"/>
    <n v="7"/>
    <n v="30.7"/>
    <n v="214.9"/>
    <d v="2025-03-09T00:00:00"/>
    <d v="2025-03-10T00:00:00"/>
    <s v="M"/>
    <x v="2"/>
    <n v="5"/>
    <s v="California"/>
    <s v="Orange County"/>
    <n v="1"/>
    <n v="11"/>
    <x v="1"/>
  </r>
  <r>
    <s v="TX501831"/>
    <s v="Tank Tops"/>
    <n v="2"/>
    <n v="61.6"/>
    <n v="123.2"/>
    <d v="2025-03-09T00:00:00"/>
    <d v="2025-03-10T00:00:00"/>
    <s v="F"/>
    <x v="2"/>
    <n v="5"/>
    <s v="California"/>
    <s v="Riverside County"/>
    <n v="1"/>
    <n v="11"/>
    <x v="2"/>
  </r>
  <r>
    <s v="TX501832"/>
    <s v="Jeans"/>
    <n v="4"/>
    <n v="54.3"/>
    <n v="217.2"/>
    <d v="2025-03-09T00:00:00"/>
    <d v="2025-03-11T00:00:00"/>
    <s v=""/>
    <x v="4"/>
    <n v="4"/>
    <s v="California"/>
    <s v="San Bernardino County"/>
    <n v="2"/>
    <n v="11"/>
    <x v="0"/>
  </r>
  <r>
    <s v="TX501833"/>
    <s v="Tank Tops"/>
    <n v="2"/>
    <n v="44.1"/>
    <n v="88.2"/>
    <d v="2025-03-09T00:00:00"/>
    <d v="2025-03-21T00:00:00"/>
    <s v="F"/>
    <x v="0"/>
    <n v="5"/>
    <s v="California"/>
    <s v="San Diego County"/>
    <n v="12"/>
    <n v="11"/>
    <x v="2"/>
  </r>
  <r>
    <s v="TX501834"/>
    <s v="T-Shirts"/>
    <n v="4"/>
    <n v="43.5"/>
    <n v="174"/>
    <d v="2025-03-09T00:00:00"/>
    <d v="2025-03-15T00:00:00"/>
    <s v="M"/>
    <x v="3"/>
    <n v="4"/>
    <s v="California"/>
    <s v="San Diego County"/>
    <n v="6"/>
    <n v="11"/>
    <x v="1"/>
  </r>
  <r>
    <s v="TX501835"/>
    <s v="T-Shirts"/>
    <n v="3"/>
    <n v="48.2"/>
    <n v="144.60000000000002"/>
    <d v="2025-03-09T00:00:00"/>
    <d v="2025-03-13T00:00:00"/>
    <s v="M"/>
    <x v="3"/>
    <n v="3"/>
    <s v="California"/>
    <s v="San Diego County"/>
    <n v="4"/>
    <n v="11"/>
    <x v="1"/>
  </r>
  <r>
    <s v="TX501836"/>
    <s v="Jewelry"/>
    <n v="1"/>
    <n v="13.7"/>
    <n v="13.7"/>
    <d v="2025-03-09T00:00:00"/>
    <d v="2025-03-10T00:00:00"/>
    <s v="F"/>
    <x v="2"/>
    <n v="5"/>
    <s v="California"/>
    <s v="San Diego County"/>
    <n v="1"/>
    <n v="11"/>
    <x v="2"/>
  </r>
  <r>
    <s v="TX501837"/>
    <s v="Sneakers"/>
    <n v="2"/>
    <n v="110.5"/>
    <n v="221"/>
    <d v="2025-03-09T00:00:00"/>
    <d v="2025-03-10T00:00:00"/>
    <s v="F"/>
    <x v="0"/>
    <n v="3"/>
    <s v="California"/>
    <s v="San Diego County"/>
    <n v="1"/>
    <n v="11"/>
    <x v="2"/>
  </r>
  <r>
    <s v="TX501838"/>
    <s v="T-Shirts"/>
    <n v="3"/>
    <n v="26"/>
    <n v="78"/>
    <d v="2025-03-09T00:00:00"/>
    <d v="2025-03-14T00:00:00"/>
    <s v="F"/>
    <x v="1"/>
    <n v="3"/>
    <s v="California"/>
    <s v="San Diego County"/>
    <n v="5"/>
    <n v="11"/>
    <x v="2"/>
  </r>
  <r>
    <s v="TX501839"/>
    <s v="Sneakers"/>
    <n v="10"/>
    <n v="140.69999999999999"/>
    <n v="1407"/>
    <d v="2025-03-09T00:00:00"/>
    <d v="2025-03-15T00:00:00"/>
    <s v="M"/>
    <x v="3"/>
    <n v="3"/>
    <s v="California"/>
    <s v="San Diego County"/>
    <n v="6"/>
    <n v="11"/>
    <x v="1"/>
  </r>
  <r>
    <s v="TX501840"/>
    <s v="Pajama Sets"/>
    <n v="2"/>
    <n v="41.7"/>
    <n v="83.4"/>
    <d v="2025-03-09T00:00:00"/>
    <d v="2025-03-17T00:00:00"/>
    <s v="F"/>
    <x v="0"/>
    <n v="2"/>
    <s v="California"/>
    <s v="San Diego County"/>
    <n v="8"/>
    <n v="11"/>
    <x v="2"/>
  </r>
  <r>
    <s v="TX501841"/>
    <s v="Sneakers"/>
    <n v="2"/>
    <n v="135.1"/>
    <n v="270.2"/>
    <d v="2025-03-09T00:00:00"/>
    <d v="2025-03-10T00:00:00"/>
    <s v="M"/>
    <x v="0"/>
    <n v="5"/>
    <s v="California"/>
    <s v="San Francisco"/>
    <n v="1"/>
    <n v="11"/>
    <x v="1"/>
  </r>
  <r>
    <s v="TX501842"/>
    <s v="Casual Dresses"/>
    <n v="22"/>
    <n v="95.5"/>
    <n v="2101"/>
    <d v="2025-03-09T00:00:00"/>
    <d v="2025-03-10T00:00:00"/>
    <s v="F"/>
    <x v="4"/>
    <n v="2"/>
    <s v="California"/>
    <s v="San Joaquin County"/>
    <n v="1"/>
    <n v="11"/>
    <x v="2"/>
  </r>
  <r>
    <s v="TX501843"/>
    <s v="Crop Tops"/>
    <n v="1"/>
    <n v="25.5"/>
    <n v="25.5"/>
    <d v="2025-03-09T00:00:00"/>
    <d v="2025-03-12T00:00:00"/>
    <s v=""/>
    <x v="2"/>
    <n v="5"/>
    <s v="California"/>
    <s v="Santa Clara County"/>
    <n v="3"/>
    <n v="11"/>
    <x v="0"/>
  </r>
  <r>
    <s v="TX501844"/>
    <s v="Tank Tops"/>
    <n v="1"/>
    <n v="42.6"/>
    <n v="42.6"/>
    <d v="2025-03-09T00:00:00"/>
    <d v="2025-03-13T00:00:00"/>
    <s v="F"/>
    <x v="0"/>
    <n v="4"/>
    <s v="California"/>
    <s v="Santa Clara County"/>
    <n v="4"/>
    <n v="11"/>
    <x v="2"/>
  </r>
  <r>
    <s v="TX501845"/>
    <s v="T-Shirts"/>
    <n v="15"/>
    <n v="32.4"/>
    <n v="486"/>
    <d v="2025-03-09T00:00:00"/>
    <d v="2025-03-10T00:00:00"/>
    <s v="M"/>
    <x v="1"/>
    <n v="3"/>
    <s v="California"/>
    <s v="Santa Clara County"/>
    <n v="1"/>
    <n v="11"/>
    <x v="1"/>
  </r>
  <r>
    <s v="TX501846"/>
    <s v="Graphic Tees"/>
    <n v="4"/>
    <n v="20.2"/>
    <n v="80.8"/>
    <d v="2025-03-09T00:00:00"/>
    <d v="2025-03-10T00:00:00"/>
    <s v="O"/>
    <x v="2"/>
    <n v="4"/>
    <s v="California"/>
    <s v="Santa Clara County"/>
    <n v="1"/>
    <n v="11"/>
    <x v="3"/>
  </r>
  <r>
    <s v="TX501847"/>
    <s v="Sunglasses"/>
    <n v="3"/>
    <n v="52.5"/>
    <n v="157.5"/>
    <d v="2025-03-09T00:00:00"/>
    <d v="2025-03-14T00:00:00"/>
    <s v="F"/>
    <x v="4"/>
    <n v="4"/>
    <s v="California"/>
    <s v="Sonoma County"/>
    <n v="5"/>
    <n v="11"/>
    <x v="2"/>
  </r>
  <r>
    <s v="TX501848"/>
    <s v="Sneakers"/>
    <n v="5"/>
    <n v="59.9"/>
    <n v="299.5"/>
    <d v="2025-03-09T00:00:00"/>
    <d v="2025-03-11T00:00:00"/>
    <s v="F"/>
    <x v="2"/>
    <n v="4"/>
    <s v="California"/>
    <s v="Stanislaus County"/>
    <n v="2"/>
    <n v="11"/>
    <x v="2"/>
  </r>
  <r>
    <s v="TX501849"/>
    <s v="Graphic Tees"/>
    <n v="2"/>
    <n v="53.2"/>
    <n v="106.4"/>
    <d v="2025-03-09T00:00:00"/>
    <d v="2025-03-10T00:00:00"/>
    <s v="F"/>
    <x v="1"/>
    <n v="1"/>
    <s v="California"/>
    <s v="Tulare County"/>
    <n v="1"/>
    <n v="11"/>
    <x v="2"/>
  </r>
  <r>
    <s v="TX501850"/>
    <s v="Sneakers"/>
    <n v="2"/>
    <n v="60"/>
    <n v="120"/>
    <d v="2025-03-09T00:00:00"/>
    <d v="2025-03-15T00:00:00"/>
    <s v="M"/>
    <x v="1"/>
    <n v="5"/>
    <s v="California"/>
    <s v="Tulare County"/>
    <n v="6"/>
    <n v="11"/>
    <x v="1"/>
  </r>
  <r>
    <s v="TX501851"/>
    <s v="T-Shirts"/>
    <n v="3"/>
    <n v="29.3"/>
    <n v="87.9"/>
    <d v="2025-03-09T00:00:00"/>
    <d v="2025-03-10T00:00:00"/>
    <s v="F"/>
    <x v="4"/>
    <n v="4"/>
    <s v="California"/>
    <s v="Ventura County"/>
    <n v="1"/>
    <n v="11"/>
    <x v="2"/>
  </r>
  <r>
    <s v="TX501852"/>
    <s v="Casual Dresses"/>
    <n v="2"/>
    <n v="55.4"/>
    <n v="110.8"/>
    <d v="2025-03-09T00:00:00"/>
    <d v="2025-03-10T00:00:00"/>
    <s v="F"/>
    <x v="0"/>
    <n v="5"/>
    <s v="California"/>
    <s v="Alameda County"/>
    <n v="1"/>
    <n v="11"/>
    <x v="2"/>
  </r>
  <r>
    <s v="TX501853"/>
    <s v="Shorts"/>
    <n v="5"/>
    <n v="20.100000000000001"/>
    <n v="100.5"/>
    <d v="2025-03-09T00:00:00"/>
    <d v="2025-03-11T00:00:00"/>
    <s v="F"/>
    <x v="1"/>
    <n v="5"/>
    <s v="California"/>
    <s v="Alameda County"/>
    <n v="2"/>
    <n v="11"/>
    <x v="2"/>
  </r>
  <r>
    <s v="TX501854"/>
    <s v="Baseball Caps"/>
    <n v="5"/>
    <n v="24"/>
    <n v="120"/>
    <d v="2025-03-09T00:00:00"/>
    <d v="2025-03-12T00:00:00"/>
    <s v="M"/>
    <x v="2"/>
    <n v="4"/>
    <s v="California"/>
    <s v="Contra Costa County"/>
    <n v="3"/>
    <n v="11"/>
    <x v="1"/>
  </r>
  <r>
    <s v="TX501855"/>
    <s v="T-Shirts"/>
    <n v="2"/>
    <n v="30.6"/>
    <n v="61.2"/>
    <d v="2025-03-10T00:00:00"/>
    <d v="2025-03-12T00:00:00"/>
    <s v="F"/>
    <x v="0"/>
    <n v="4"/>
    <s v="California"/>
    <s v="Contra Costa County"/>
    <n v="2"/>
    <n v="11"/>
    <x v="2"/>
  </r>
  <r>
    <s v="TX501856"/>
    <s v="Bikinis"/>
    <n v="5"/>
    <n v="33"/>
    <n v="165"/>
    <d v="2025-03-10T00:00:00"/>
    <d v="2025-03-11T00:00:00"/>
    <s v="M"/>
    <x v="1"/>
    <n v="3"/>
    <s v="California"/>
    <s v="Glenn County"/>
    <n v="1"/>
    <n v="11"/>
    <x v="1"/>
  </r>
  <r>
    <s v="TX501857"/>
    <s v="Pajama Sets"/>
    <n v="9"/>
    <n v="42.1"/>
    <n v="378.90000000000003"/>
    <d v="2025-03-10T00:00:00"/>
    <d v="2025-03-16T00:00:00"/>
    <s v="F"/>
    <x v="2"/>
    <n v="4"/>
    <s v="California"/>
    <s v="Humboldt County"/>
    <n v="6"/>
    <n v="11"/>
    <x v="2"/>
  </r>
  <r>
    <s v="TX501858"/>
    <s v="Jeans"/>
    <n v="7"/>
    <n v="77.7"/>
    <n v="543.9"/>
    <d v="2025-03-10T00:00:00"/>
    <d v="2025-03-15T00:00:00"/>
    <s v="F"/>
    <x v="1"/>
    <n v="5"/>
    <s v="California"/>
    <s v="Lake County"/>
    <n v="5"/>
    <n v="11"/>
    <x v="2"/>
  </r>
  <r>
    <s v="TX501859"/>
    <s v="Pajama Sets"/>
    <n v="6"/>
    <n v="22.7"/>
    <n v="136.19999999999999"/>
    <d v="2025-03-10T00:00:00"/>
    <d v="2025-03-13T00:00:00"/>
    <s v="F"/>
    <x v="2"/>
    <n v="4"/>
    <s v="California"/>
    <s v="Los Angeles County"/>
    <n v="3"/>
    <n v="11"/>
    <x v="2"/>
  </r>
  <r>
    <s v="TX501860"/>
    <s v="Sneakers"/>
    <n v="2"/>
    <n v="133"/>
    <n v="266"/>
    <d v="2025-03-10T00:00:00"/>
    <d v="2025-03-10T00:00:00"/>
    <s v="M"/>
    <x v="2"/>
    <n v="5"/>
    <s v="California"/>
    <s v="Los Angeles County"/>
    <n v="0"/>
    <n v="11"/>
    <x v="1"/>
  </r>
  <r>
    <s v="TX501861"/>
    <s v="Shorts"/>
    <n v="2"/>
    <n v="23.3"/>
    <n v="46.6"/>
    <d v="2025-03-10T00:00:00"/>
    <d v="2025-03-11T00:00:00"/>
    <s v="M"/>
    <x v="1"/>
    <n v="5"/>
    <s v="California"/>
    <s v="Los Angeles County"/>
    <n v="1"/>
    <n v="11"/>
    <x v="1"/>
  </r>
  <r>
    <s v="TX501862"/>
    <s v="T-Shirts"/>
    <n v="3"/>
    <n v="20.7"/>
    <n v="62.099999999999994"/>
    <d v="2025-03-10T00:00:00"/>
    <d v="2025-03-12T00:00:00"/>
    <s v="O"/>
    <x v="0"/>
    <n v="5"/>
    <s v="California"/>
    <s v="Los Angeles County"/>
    <n v="2"/>
    <n v="11"/>
    <x v="3"/>
  </r>
  <r>
    <s v="TX501863"/>
    <s v="Casual Dresses"/>
    <n v="2"/>
    <n v="47"/>
    <n v="94"/>
    <d v="2025-03-10T00:00:00"/>
    <d v="2025-03-11T00:00:00"/>
    <s v="M"/>
    <x v="1"/>
    <n v="5"/>
    <s v="California"/>
    <s v="Los Angeles County"/>
    <n v="1"/>
    <n v="11"/>
    <x v="1"/>
  </r>
  <r>
    <s v="TX501864"/>
    <s v="Casual Dresses"/>
    <n v="3"/>
    <n v="38.200000000000003"/>
    <n v="114.60000000000001"/>
    <d v="2025-03-10T00:00:00"/>
    <d v="2025-03-12T00:00:00"/>
    <s v="F"/>
    <x v="2"/>
    <n v="2"/>
    <s v="California"/>
    <s v="Los Angeles County"/>
    <n v="2"/>
    <n v="11"/>
    <x v="2"/>
  </r>
  <r>
    <s v="TX501865"/>
    <s v="Sundresses"/>
    <n v="1"/>
    <n v="39.1"/>
    <n v="39.1"/>
    <d v="2025-03-10T00:00:00"/>
    <d v="2025-03-12T00:00:00"/>
    <s v="F"/>
    <x v="0"/>
    <n v="4"/>
    <s v="California"/>
    <s v="Los Angeles County"/>
    <n v="2"/>
    <n v="11"/>
    <x v="2"/>
  </r>
  <r>
    <s v="TX501866"/>
    <s v="Hoodies &amp; Sweatshirts"/>
    <n v="25"/>
    <n v="55.6"/>
    <n v="1390"/>
    <d v="2025-03-10T00:00:00"/>
    <d v="2025-03-12T00:00:00"/>
    <s v="M"/>
    <x v="0"/>
    <n v="5"/>
    <s v="California"/>
    <s v="Los Angeles County"/>
    <n v="2"/>
    <n v="11"/>
    <x v="1"/>
  </r>
  <r>
    <s v="TX501867"/>
    <s v="Crop Tops"/>
    <n v="1"/>
    <n v="43.1"/>
    <n v="43.1"/>
    <d v="2025-03-10T00:00:00"/>
    <d v="2025-03-10T00:00:00"/>
    <s v="O"/>
    <x v="1"/>
    <n v="5"/>
    <s v="California"/>
    <s v="Los Angeles County"/>
    <n v="0"/>
    <n v="11"/>
    <x v="3"/>
  </r>
  <r>
    <s v="TX501868"/>
    <s v="Jeans"/>
    <n v="4"/>
    <n v="48.1"/>
    <n v="192.4"/>
    <d v="2025-03-10T00:00:00"/>
    <d v="2025-03-11T00:00:00"/>
    <s v="F"/>
    <x v="4"/>
    <n v="5"/>
    <s v="California"/>
    <s v="Los Angeles County"/>
    <n v="1"/>
    <n v="11"/>
    <x v="2"/>
  </r>
  <r>
    <s v="TX501869"/>
    <s v="Graphic Tees"/>
    <n v="1"/>
    <n v="42"/>
    <n v="42"/>
    <d v="2025-03-10T00:00:00"/>
    <d v="2025-03-11T00:00:00"/>
    <s v="O"/>
    <x v="0"/>
    <n v="4"/>
    <s v="California"/>
    <s v="Los Angeles County"/>
    <n v="1"/>
    <n v="11"/>
    <x v="3"/>
  </r>
  <r>
    <s v="TX501870"/>
    <s v="T-Shirts"/>
    <n v="5"/>
    <n v="18.3"/>
    <n v="91.5"/>
    <d v="2025-03-10T00:00:00"/>
    <d v="2025-03-10T00:00:00"/>
    <s v="F"/>
    <x v="2"/>
    <n v="4"/>
    <s v="California"/>
    <s v="Los Angeles County"/>
    <n v="0"/>
    <n v="11"/>
    <x v="2"/>
  </r>
  <r>
    <s v="TX501871"/>
    <s v="Bikinis"/>
    <n v="4"/>
    <n v="45.3"/>
    <n v="181.2"/>
    <d v="2025-03-10T00:00:00"/>
    <d v="2025-03-13T00:00:00"/>
    <s v="F"/>
    <x v="0"/>
    <n v="5"/>
    <s v="California"/>
    <s v="Los Angeles County"/>
    <n v="3"/>
    <n v="11"/>
    <x v="2"/>
  </r>
  <r>
    <s v="TX501872"/>
    <s v="Shorts"/>
    <n v="2"/>
    <n v="27.6"/>
    <n v="55.2"/>
    <d v="2025-03-10T00:00:00"/>
    <d v="2025-03-12T00:00:00"/>
    <s v="M"/>
    <x v="0"/>
    <n v="5"/>
    <s v="California"/>
    <s v="Madera County"/>
    <n v="2"/>
    <n v="11"/>
    <x v="1"/>
  </r>
  <r>
    <s v="TX501873"/>
    <s v="Graphic Tees"/>
    <n v="5"/>
    <n v="26.9"/>
    <n v="134.5"/>
    <d v="2025-03-10T00:00:00"/>
    <d v="2025-03-11T00:00:00"/>
    <s v="F"/>
    <x v="2"/>
    <n v="4"/>
    <s v="California"/>
    <s v="Orange County"/>
    <n v="1"/>
    <n v="11"/>
    <x v="2"/>
  </r>
  <r>
    <s v="TX501874"/>
    <s v="Sneakers"/>
    <n v="9"/>
    <n v="82.4"/>
    <n v="741.6"/>
    <d v="2025-03-10T00:00:00"/>
    <d v="2025-03-12T00:00:00"/>
    <s v="O"/>
    <x v="2"/>
    <n v="4"/>
    <s v="California"/>
    <s v="Placer County"/>
    <n v="2"/>
    <n v="11"/>
    <x v="3"/>
  </r>
  <r>
    <s v="TX501875"/>
    <s v="Jeans"/>
    <n v="1"/>
    <n v="103.7"/>
    <n v="103.7"/>
    <d v="2025-03-10T00:00:00"/>
    <d v="2025-03-12T00:00:00"/>
    <s v="F"/>
    <x v="1"/>
    <n v="4"/>
    <s v="California"/>
    <s v="Placer County"/>
    <n v="2"/>
    <n v="11"/>
    <x v="2"/>
  </r>
  <r>
    <s v="TX501876"/>
    <s v="Sneakers"/>
    <n v="2"/>
    <n v="58.8"/>
    <n v="117.6"/>
    <d v="2025-03-10T00:00:00"/>
    <d v="2025-03-15T00:00:00"/>
    <s v="F"/>
    <x v="1"/>
    <n v="5"/>
    <s v="California"/>
    <s v="Sacramento County"/>
    <n v="5"/>
    <n v="11"/>
    <x v="2"/>
  </r>
  <r>
    <s v="TX501877"/>
    <s v="Tote Bags"/>
    <n v="1"/>
    <n v="31.5"/>
    <n v="31.5"/>
    <d v="2025-03-10T00:00:00"/>
    <d v="2025-03-11T00:00:00"/>
    <s v="F"/>
    <x v="1"/>
    <n v="3"/>
    <s v="California"/>
    <s v="Sacramento County"/>
    <n v="1"/>
    <n v="11"/>
    <x v="2"/>
  </r>
  <r>
    <s v="TX501878"/>
    <s v="Hoodies &amp; Sweatshirts"/>
    <n v="5"/>
    <n v="36.799999999999997"/>
    <n v="184"/>
    <d v="2025-03-10T00:00:00"/>
    <d v="2025-03-12T00:00:00"/>
    <s v="F"/>
    <x v="0"/>
    <n v="4"/>
    <s v="California"/>
    <s v="San Diego County"/>
    <n v="2"/>
    <n v="11"/>
    <x v="2"/>
  </r>
  <r>
    <s v="TX501879"/>
    <s v="Workout Tops"/>
    <n v="1"/>
    <n v="84.4"/>
    <n v="84.4"/>
    <d v="2025-03-10T00:00:00"/>
    <d v="2025-03-11T00:00:00"/>
    <s v="F"/>
    <x v="0"/>
    <n v="4"/>
    <s v="California"/>
    <s v="San Diego County"/>
    <n v="1"/>
    <n v="11"/>
    <x v="2"/>
  </r>
  <r>
    <s v="TX501880"/>
    <s v="Baseball Caps"/>
    <n v="1"/>
    <n v="44.7"/>
    <n v="44.7"/>
    <d v="2025-03-10T00:00:00"/>
    <d v="2025-03-11T00:00:00"/>
    <s v="M"/>
    <x v="0"/>
    <n v="3"/>
    <s v="California"/>
    <s v="San Diego County"/>
    <n v="1"/>
    <n v="11"/>
    <x v="1"/>
  </r>
  <r>
    <s v="TX501881"/>
    <s v="Sundresses"/>
    <n v="8"/>
    <n v="39.4"/>
    <n v="315.2"/>
    <d v="2025-03-10T00:00:00"/>
    <d v="2025-03-11T00:00:00"/>
    <s v="F"/>
    <x v="1"/>
    <n v="5"/>
    <s v="California"/>
    <s v="San Diego County"/>
    <n v="1"/>
    <n v="11"/>
    <x v="2"/>
  </r>
  <r>
    <s v="TX501882"/>
    <s v="Maxi Dresses"/>
    <n v="4"/>
    <n v="34.9"/>
    <n v="139.6"/>
    <d v="2025-03-10T00:00:00"/>
    <d v="2025-03-12T00:00:00"/>
    <s v="F"/>
    <x v="0"/>
    <n v="5"/>
    <s v="California"/>
    <s v="San Diego County"/>
    <n v="2"/>
    <n v="11"/>
    <x v="2"/>
  </r>
  <r>
    <s v="TX501883"/>
    <s v="Tank Tops"/>
    <n v="3"/>
    <n v="62.3"/>
    <n v="186.89999999999998"/>
    <d v="2025-03-10T00:00:00"/>
    <d v="2025-03-12T00:00:00"/>
    <s v="M"/>
    <x v="4"/>
    <n v="5"/>
    <s v="California"/>
    <s v="San Diego County"/>
    <n v="2"/>
    <n v="11"/>
    <x v="1"/>
  </r>
  <r>
    <s v="TX501884"/>
    <s v="T-Shirts"/>
    <n v="4"/>
    <n v="21.1"/>
    <n v="84.4"/>
    <d v="2025-03-10T00:00:00"/>
    <d v="2025-03-13T00:00:00"/>
    <s v="M"/>
    <x v="3"/>
    <n v="4"/>
    <s v="California"/>
    <s v="San Diego County"/>
    <n v="3"/>
    <n v="11"/>
    <x v="1"/>
  </r>
  <r>
    <s v="TX501885"/>
    <s v="T-Shirts"/>
    <n v="3"/>
    <n v="33.200000000000003"/>
    <n v="99.600000000000009"/>
    <d v="2025-03-10T00:00:00"/>
    <d v="2025-03-24T00:00:00"/>
    <s v=""/>
    <x v="0"/>
    <n v="2"/>
    <s v="California"/>
    <s v="San Diego County"/>
    <n v="14"/>
    <n v="11"/>
    <x v="0"/>
  </r>
  <r>
    <s v="TX501886"/>
    <s v="Tank Tops"/>
    <n v="4"/>
    <n v="74.5"/>
    <n v="298"/>
    <d v="2025-03-10T00:00:00"/>
    <d v="2025-03-11T00:00:00"/>
    <s v="M"/>
    <x v="4"/>
    <n v="4"/>
    <s v="California"/>
    <s v="San Diego County"/>
    <n v="1"/>
    <n v="11"/>
    <x v="1"/>
  </r>
  <r>
    <s v="TX501887"/>
    <s v="Bikinis"/>
    <n v="12"/>
    <n v="68.599999999999994"/>
    <n v="823.19999999999993"/>
    <d v="2025-03-10T00:00:00"/>
    <d v="2025-03-13T00:00:00"/>
    <s v="F"/>
    <x v="0"/>
    <n v="5"/>
    <s v="California"/>
    <s v="San Diego County"/>
    <n v="3"/>
    <n v="11"/>
    <x v="2"/>
  </r>
  <r>
    <s v="TX501888"/>
    <s v="Sandals"/>
    <n v="14"/>
    <n v="36.4"/>
    <n v="509.59999999999997"/>
    <d v="2025-03-10T00:00:00"/>
    <d v="2025-03-12T00:00:00"/>
    <s v="F"/>
    <x v="0"/>
    <n v="3"/>
    <s v="California"/>
    <s v="San Mateo County"/>
    <n v="2"/>
    <n v="11"/>
    <x v="2"/>
  </r>
  <r>
    <s v="TX501889"/>
    <s v="Sunglasses"/>
    <n v="5"/>
    <n v="67.599999999999994"/>
    <n v="338"/>
    <d v="2025-03-11T00:00:00"/>
    <d v="2025-03-14T00:00:00"/>
    <s v="F"/>
    <x v="4"/>
    <n v="3"/>
    <s v="California"/>
    <s v="San Mateo County"/>
    <n v="3"/>
    <n v="11"/>
    <x v="2"/>
  </r>
  <r>
    <s v="TX501890"/>
    <s v="Crop Tops"/>
    <n v="1"/>
    <n v="46.3"/>
    <n v="46.3"/>
    <d v="2025-03-11T00:00:00"/>
    <d v="2025-03-12T00:00:00"/>
    <s v="M"/>
    <x v="2"/>
    <n v="4"/>
    <s v="California"/>
    <s v="San Mateo County"/>
    <n v="1"/>
    <n v="11"/>
    <x v="1"/>
  </r>
  <r>
    <s v="TX501891"/>
    <s v="Tank Tops"/>
    <n v="3"/>
    <n v="124.2"/>
    <n v="372.6"/>
    <d v="2025-03-11T00:00:00"/>
    <d v="2025-03-13T00:00:00"/>
    <s v="F"/>
    <x v="1"/>
    <n v="5"/>
    <s v="California"/>
    <s v="Santa Clara County"/>
    <n v="2"/>
    <n v="11"/>
    <x v="2"/>
  </r>
  <r>
    <s v="TX501892"/>
    <s v="Bikinis"/>
    <n v="2"/>
    <n v="37"/>
    <n v="74"/>
    <d v="2025-03-11T00:00:00"/>
    <d v="2025-03-17T00:00:00"/>
    <s v="M"/>
    <x v="0"/>
    <n v="4"/>
    <s v="California"/>
    <s v="Santa Clara County"/>
    <n v="6"/>
    <n v="11"/>
    <x v="1"/>
  </r>
  <r>
    <s v="TX501893"/>
    <s v="Sandals"/>
    <n v="1"/>
    <n v="41.8"/>
    <n v="41.8"/>
    <d v="2025-03-11T00:00:00"/>
    <d v="2025-03-12T00:00:00"/>
    <s v="M"/>
    <x v="2"/>
    <n v="4"/>
    <s v="California"/>
    <s v="Sutter County"/>
    <n v="1"/>
    <n v="11"/>
    <x v="1"/>
  </r>
  <r>
    <s v="TX501894"/>
    <s v="Sundresses"/>
    <n v="2"/>
    <n v="57.2"/>
    <n v="114.4"/>
    <d v="2025-03-11T00:00:00"/>
    <d v="2025-03-13T00:00:00"/>
    <s v="M"/>
    <x v="2"/>
    <n v="3"/>
    <s v="California"/>
    <s v="Tulare County"/>
    <n v="2"/>
    <n v="11"/>
    <x v="1"/>
  </r>
  <r>
    <s v="TX501895"/>
    <s v="Jeans"/>
    <n v="2"/>
    <n v="47.1"/>
    <n v="94.2"/>
    <d v="2025-03-11T00:00:00"/>
    <d v="2025-03-13T00:00:00"/>
    <s v="F"/>
    <x v="0"/>
    <n v="2"/>
    <s v="California"/>
    <s v="Tulare County"/>
    <n v="2"/>
    <n v="11"/>
    <x v="2"/>
  </r>
  <r>
    <s v="TX501896"/>
    <s v="Sandals"/>
    <n v="3"/>
    <n v="86.4"/>
    <n v="259.20000000000005"/>
    <d v="2025-03-11T00:00:00"/>
    <d v="2025-03-12T00:00:00"/>
    <s v="M"/>
    <x v="2"/>
    <n v="3"/>
    <s v="California"/>
    <s v="Tuolumne County"/>
    <n v="1"/>
    <n v="11"/>
    <x v="1"/>
  </r>
  <r>
    <s v="TX501897"/>
    <s v="Jeans"/>
    <n v="5"/>
    <n v="105"/>
    <n v="525"/>
    <d v="2025-03-11T00:00:00"/>
    <d v="2025-03-14T00:00:00"/>
    <s v="M"/>
    <x v="0"/>
    <n v="4"/>
    <s v="California"/>
    <s v="Ventura County"/>
    <n v="3"/>
    <n v="11"/>
    <x v="1"/>
  </r>
  <r>
    <s v="TX501898"/>
    <s v="Leggings"/>
    <n v="1"/>
    <n v="33"/>
    <n v="33"/>
    <d v="2025-03-11T00:00:00"/>
    <d v="2025-03-14T00:00:00"/>
    <s v="M"/>
    <x v="4"/>
    <n v="4"/>
    <s v="California"/>
    <s v="Alameda County"/>
    <n v="3"/>
    <n v="11"/>
    <x v="1"/>
  </r>
  <r>
    <s v="TX501899"/>
    <s v="Jeans"/>
    <n v="5"/>
    <n v="106.6"/>
    <n v="533"/>
    <d v="2025-03-11T00:00:00"/>
    <d v="2025-03-24T00:00:00"/>
    <s v="F"/>
    <x v="2"/>
    <n v="4"/>
    <s v="California"/>
    <s v="Contra Costa County"/>
    <n v="13"/>
    <n v="11"/>
    <x v="2"/>
  </r>
  <r>
    <s v="TX501900"/>
    <s v="Bikinis"/>
    <n v="32"/>
    <n v="26.8"/>
    <n v="857.6"/>
    <d v="2025-03-11T00:00:00"/>
    <d v="2025-03-12T00:00:00"/>
    <s v="F"/>
    <x v="2"/>
    <n v="4"/>
    <s v="California"/>
    <s v="Contra Costa County"/>
    <n v="1"/>
    <n v="11"/>
    <x v="2"/>
  </r>
  <r>
    <s v="TX501901"/>
    <s v="Pajama Sets"/>
    <n v="5"/>
    <n v="25.8"/>
    <n v="129"/>
    <d v="2025-03-11T00:00:00"/>
    <d v="2025-03-11T00:00:00"/>
    <s v="F"/>
    <x v="1"/>
    <n v="5"/>
    <s v="California"/>
    <s v="Los Angeles County"/>
    <n v="0"/>
    <n v="11"/>
    <x v="2"/>
  </r>
  <r>
    <s v="TX501902"/>
    <s v="Sneakers"/>
    <n v="3"/>
    <n v="217"/>
    <n v="651"/>
    <d v="2025-03-11T00:00:00"/>
    <d v="2025-03-12T00:00:00"/>
    <s v="F"/>
    <x v="1"/>
    <n v="3"/>
    <s v="California"/>
    <s v="Los Angeles County"/>
    <n v="1"/>
    <n v="11"/>
    <x v="2"/>
  </r>
  <r>
    <s v="TX501903"/>
    <s v="Sneakers"/>
    <n v="2"/>
    <n v="97.3"/>
    <n v="194.6"/>
    <d v="2025-03-11T00:00:00"/>
    <d v="2025-03-12T00:00:00"/>
    <s v="M"/>
    <x v="2"/>
    <n v="2"/>
    <s v="California"/>
    <s v="Los Angeles County"/>
    <n v="1"/>
    <n v="11"/>
    <x v="1"/>
  </r>
  <r>
    <s v="TX501904"/>
    <s v="Tank Tops"/>
    <n v="1"/>
    <n v="49.8"/>
    <n v="49.8"/>
    <d v="2025-03-11T00:00:00"/>
    <d v="2025-03-12T00:00:00"/>
    <s v="F"/>
    <x v="0"/>
    <n v="4"/>
    <s v="California"/>
    <s v="Los Angeles County"/>
    <n v="1"/>
    <n v="11"/>
    <x v="2"/>
  </r>
  <r>
    <s v="TX501905"/>
    <s v="Casual Dresses"/>
    <n v="5"/>
    <n v="32.6"/>
    <n v="163"/>
    <d v="2025-03-11T00:00:00"/>
    <d v="2025-03-12T00:00:00"/>
    <s v="F"/>
    <x v="0"/>
    <n v="4"/>
    <s v="California"/>
    <s v="Los Angeles County"/>
    <n v="1"/>
    <n v="11"/>
    <x v="2"/>
  </r>
  <r>
    <s v="TX501906"/>
    <s v="Sundresses"/>
    <n v="2"/>
    <n v="40.1"/>
    <n v="80.2"/>
    <d v="2025-03-11T00:00:00"/>
    <d v="2025-03-14T00:00:00"/>
    <s v="M"/>
    <x v="1"/>
    <n v="5"/>
    <s v="California"/>
    <s v="Los Angeles County"/>
    <n v="3"/>
    <n v="11"/>
    <x v="1"/>
  </r>
  <r>
    <s v="TX501907"/>
    <s v="Bikinis"/>
    <n v="2"/>
    <n v="49.4"/>
    <n v="98.8"/>
    <d v="2025-03-11T00:00:00"/>
    <d v="2025-03-13T00:00:00"/>
    <s v="M"/>
    <x v="1"/>
    <n v="4"/>
    <s v="California"/>
    <s v="Los Angeles County"/>
    <n v="2"/>
    <n v="11"/>
    <x v="1"/>
  </r>
  <r>
    <s v="TX501908"/>
    <s v="Sneakers"/>
    <n v="1"/>
    <n v="67.3"/>
    <n v="67.3"/>
    <d v="2025-03-11T00:00:00"/>
    <d v="2025-03-12T00:00:00"/>
    <s v="F"/>
    <x v="0"/>
    <n v="5"/>
    <s v="California"/>
    <s v="Los Angeles County"/>
    <n v="1"/>
    <n v="11"/>
    <x v="2"/>
  </r>
  <r>
    <s v="TX501909"/>
    <s v="Leggings"/>
    <n v="4"/>
    <n v="44.5"/>
    <n v="178"/>
    <d v="2025-03-11T00:00:00"/>
    <d v="2025-03-14T00:00:00"/>
    <s v=""/>
    <x v="1"/>
    <n v="4"/>
    <s v="California"/>
    <s v="Los Angeles County"/>
    <n v="3"/>
    <n v="11"/>
    <x v="0"/>
  </r>
  <r>
    <s v="TX501910"/>
    <s v="Jeans"/>
    <n v="11"/>
    <n v="111.1"/>
    <n v="1222.0999999999999"/>
    <d v="2025-03-11T00:00:00"/>
    <d v="2025-03-12T00:00:00"/>
    <s v="F"/>
    <x v="4"/>
    <n v="4"/>
    <s v="California"/>
    <s v="Los Angeles County"/>
    <n v="1"/>
    <n v="11"/>
    <x v="2"/>
  </r>
  <r>
    <s v="TX501911"/>
    <s v="T-Shirts"/>
    <n v="3"/>
    <n v="19.7"/>
    <n v="59.099999999999994"/>
    <d v="2025-03-11T00:00:00"/>
    <d v="2025-03-12T00:00:00"/>
    <s v="F"/>
    <x v="4"/>
    <n v="2"/>
    <s v="California"/>
    <s v="Los Angeles County"/>
    <n v="1"/>
    <n v="11"/>
    <x v="2"/>
  </r>
  <r>
    <s v="TX501912"/>
    <s v="Tank Tops"/>
    <n v="1"/>
    <n v="40.299999999999997"/>
    <n v="40.299999999999997"/>
    <d v="2025-03-11T00:00:00"/>
    <d v="2025-03-12T00:00:00"/>
    <s v="O"/>
    <x v="1"/>
    <n v="4"/>
    <s v="California"/>
    <s v="Los Angeles County"/>
    <n v="1"/>
    <n v="11"/>
    <x v="3"/>
  </r>
  <r>
    <s v="TX501913"/>
    <s v="Jeans"/>
    <n v="2"/>
    <n v="108.8"/>
    <n v="217.6"/>
    <d v="2025-03-11T00:00:00"/>
    <d v="2025-03-16T00:00:00"/>
    <s v="M"/>
    <x v="0"/>
    <n v="5"/>
    <s v="California"/>
    <s v="Sacramento County"/>
    <n v="5"/>
    <n v="11"/>
    <x v="1"/>
  </r>
  <r>
    <s v="TX501914"/>
    <s v="T-Shirts"/>
    <n v="3"/>
    <n v="48.2"/>
    <n v="144.60000000000002"/>
    <d v="2025-03-11T00:00:00"/>
    <d v="2025-03-16T00:00:00"/>
    <s v="F"/>
    <x v="4"/>
    <n v="4"/>
    <s v="California"/>
    <s v="San Bernardino County"/>
    <n v="5"/>
    <n v="11"/>
    <x v="2"/>
  </r>
  <r>
    <s v="TX501915"/>
    <s v="Sneakers"/>
    <n v="3"/>
    <n v="104.7"/>
    <n v="314.10000000000002"/>
    <d v="2025-03-11T00:00:00"/>
    <d v="2025-03-13T00:00:00"/>
    <s v="F"/>
    <x v="0"/>
    <n v="3"/>
    <s v="California"/>
    <s v="San Bernardino County"/>
    <n v="2"/>
    <n v="11"/>
    <x v="2"/>
  </r>
  <r>
    <s v="TX501916"/>
    <s v="Tank Tops"/>
    <n v="2"/>
    <n v="80.599999999999994"/>
    <n v="161.19999999999999"/>
    <d v="2025-03-11T00:00:00"/>
    <d v="2025-03-11T00:00:00"/>
    <s v="F"/>
    <x v="1"/>
    <n v="4"/>
    <s v="California"/>
    <s v="San Diego County"/>
    <n v="0"/>
    <n v="11"/>
    <x v="2"/>
  </r>
  <r>
    <s v="TX501917"/>
    <s v="Jeans"/>
    <n v="1"/>
    <n v="65.5"/>
    <n v="65.5"/>
    <d v="2025-03-11T00:00:00"/>
    <d v="2025-03-13T00:00:00"/>
    <s v="O"/>
    <x v="1"/>
    <n v="4"/>
    <s v="California"/>
    <s v="San Diego County"/>
    <n v="2"/>
    <n v="11"/>
    <x v="3"/>
  </r>
  <r>
    <s v="TX501918"/>
    <s v="Sundresses"/>
    <n v="3"/>
    <n v="61.4"/>
    <n v="184.2"/>
    <d v="2025-03-11T00:00:00"/>
    <d v="2025-03-13T00:00:00"/>
    <s v="F"/>
    <x v="4"/>
    <n v="5"/>
    <s v="California"/>
    <s v="San Diego County"/>
    <n v="2"/>
    <n v="11"/>
    <x v="2"/>
  </r>
  <r>
    <s v="TX501919"/>
    <s v="Shorts"/>
    <n v="1"/>
    <n v="12.5"/>
    <n v="12.5"/>
    <d v="2025-03-12T00:00:00"/>
    <d v="2025-03-15T00:00:00"/>
    <s v="F"/>
    <x v="0"/>
    <n v="3"/>
    <s v="California"/>
    <s v="San Diego County"/>
    <n v="3"/>
    <n v="11"/>
    <x v="2"/>
  </r>
  <r>
    <s v="TX501920"/>
    <s v="Graphic Tees"/>
    <n v="4"/>
    <n v="35.1"/>
    <n v="140.4"/>
    <d v="2025-03-12T00:00:00"/>
    <d v="2025-03-13T00:00:00"/>
    <s v="M"/>
    <x v="2"/>
    <n v="3"/>
    <s v="California"/>
    <s v="San Francisco"/>
    <n v="1"/>
    <n v="11"/>
    <x v="1"/>
  </r>
  <r>
    <s v="TX501921"/>
    <s v="Sandals"/>
    <n v="2"/>
    <n v="55.7"/>
    <n v="111.4"/>
    <d v="2025-03-12T00:00:00"/>
    <d v="2025-03-13T00:00:00"/>
    <s v="M"/>
    <x v="0"/>
    <n v="3"/>
    <s v="California"/>
    <s v="San Joaquin County"/>
    <n v="1"/>
    <n v="11"/>
    <x v="1"/>
  </r>
  <r>
    <s v="TX501922"/>
    <s v="Hoodies &amp; Sweatshirts"/>
    <n v="2"/>
    <n v="57.7"/>
    <n v="115.4"/>
    <d v="2025-03-12T00:00:00"/>
    <d v="2025-03-14T00:00:00"/>
    <s v="M"/>
    <x v="4"/>
    <n v="3"/>
    <s v="California"/>
    <s v="San Mateo County"/>
    <n v="2"/>
    <n v="11"/>
    <x v="1"/>
  </r>
  <r>
    <s v="TX501923"/>
    <s v="Sneakers"/>
    <n v="6"/>
    <n v="85.7"/>
    <n v="514.20000000000005"/>
    <d v="2025-03-12T00:00:00"/>
    <d v="2025-03-13T00:00:00"/>
    <s v="M"/>
    <x v="3"/>
    <n v="5"/>
    <s v="California"/>
    <s v="San Mateo County"/>
    <n v="1"/>
    <n v="11"/>
    <x v="1"/>
  </r>
  <r>
    <s v="TX501924"/>
    <s v="Sneakers"/>
    <n v="3"/>
    <n v="86.9"/>
    <n v="260.70000000000005"/>
    <d v="2025-03-12T00:00:00"/>
    <d v="2025-03-14T00:00:00"/>
    <s v="F"/>
    <x v="1"/>
    <n v="4"/>
    <s v="California"/>
    <s v="Santa Clara County"/>
    <n v="2"/>
    <n v="11"/>
    <x v="2"/>
  </r>
  <r>
    <s v="TX501925"/>
    <s v="Leggings"/>
    <n v="2"/>
    <n v="46.4"/>
    <n v="92.8"/>
    <d v="2025-03-12T00:00:00"/>
    <d v="2025-03-15T00:00:00"/>
    <s v="F"/>
    <x v="4"/>
    <n v="4"/>
    <s v="California"/>
    <s v="Santa Clara County"/>
    <n v="3"/>
    <n v="11"/>
    <x v="2"/>
  </r>
  <r>
    <s v="TX501926"/>
    <s v="Sandals"/>
    <n v="3"/>
    <n v="25.4"/>
    <n v="76.199999999999989"/>
    <d v="2025-03-12T00:00:00"/>
    <d v="2025-03-12T00:00:00"/>
    <s v="F"/>
    <x v="2"/>
    <n v="5"/>
    <s v="California"/>
    <s v="Sonoma County"/>
    <n v="0"/>
    <n v="11"/>
    <x v="2"/>
  </r>
  <r>
    <s v="TX501927"/>
    <s v="Bikinis"/>
    <n v="3"/>
    <n v="47.8"/>
    <n v="143.39999999999998"/>
    <d v="2025-03-12T00:00:00"/>
    <d v="2025-03-12T00:00:00"/>
    <s v=""/>
    <x v="2"/>
    <n v="5"/>
    <s v="California"/>
    <s v="Stanislaus County"/>
    <n v="0"/>
    <n v="11"/>
    <x v="0"/>
  </r>
  <r>
    <s v="TX501928"/>
    <s v="T-Shirts"/>
    <n v="19"/>
    <n v="18.399999999999999"/>
    <n v="349.59999999999997"/>
    <d v="2025-03-12T00:00:00"/>
    <d v="2025-03-14T00:00:00"/>
    <s v="O"/>
    <x v="2"/>
    <n v="4"/>
    <s v="California"/>
    <s v="Tulare County"/>
    <n v="2"/>
    <n v="11"/>
    <x v="3"/>
  </r>
  <r>
    <s v="TX501929"/>
    <s v="Casual Dresses"/>
    <n v="3"/>
    <n v="65.5"/>
    <n v="196.5"/>
    <d v="2025-03-12T00:00:00"/>
    <d v="2025-03-20T00:00:00"/>
    <s v="F"/>
    <x v="0"/>
    <n v="4"/>
    <s v="California"/>
    <s v="Alameda County"/>
    <n v="8"/>
    <n v="11"/>
    <x v="2"/>
  </r>
  <r>
    <s v="TX501930"/>
    <s v="Bikinis"/>
    <n v="2"/>
    <n v="50.6"/>
    <n v="101.2"/>
    <d v="2025-03-12T00:00:00"/>
    <d v="2025-03-15T00:00:00"/>
    <s v="M"/>
    <x v="2"/>
    <n v="2"/>
    <s v="California"/>
    <s v="Alameda County"/>
    <n v="3"/>
    <n v="11"/>
    <x v="1"/>
  </r>
  <r>
    <s v="TX501931"/>
    <s v="Workout Tops"/>
    <n v="5"/>
    <n v="69"/>
    <n v="345"/>
    <d v="2025-03-12T00:00:00"/>
    <d v="2025-03-16T00:00:00"/>
    <s v="M"/>
    <x v="3"/>
    <n v="4"/>
    <s v="California"/>
    <s v="Alameda County"/>
    <n v="4"/>
    <n v="11"/>
    <x v="1"/>
  </r>
  <r>
    <s v="TX501932"/>
    <s v="Sundresses"/>
    <n v="8"/>
    <n v="51.1"/>
    <n v="408.8"/>
    <d v="2025-03-12T00:00:00"/>
    <d v="2025-03-14T00:00:00"/>
    <s v="F"/>
    <x v="0"/>
    <n v="4"/>
    <s v="California"/>
    <s v="Contra Costa County"/>
    <n v="2"/>
    <n v="11"/>
    <x v="2"/>
  </r>
  <r>
    <s v="TX501933"/>
    <s v="Sundresses"/>
    <n v="1"/>
    <n v="36.1"/>
    <n v="36.1"/>
    <d v="2025-03-12T00:00:00"/>
    <d v="2025-03-13T00:00:00"/>
    <s v="F"/>
    <x v="0"/>
    <n v="5"/>
    <s v="California"/>
    <s v="Kings County"/>
    <n v="1"/>
    <n v="11"/>
    <x v="2"/>
  </r>
  <r>
    <s v="TX501934"/>
    <s v="Baseball Caps"/>
    <n v="1"/>
    <n v="18.7"/>
    <n v="18.7"/>
    <d v="2025-03-12T00:00:00"/>
    <d v="2025-03-13T00:00:00"/>
    <s v="M"/>
    <x v="0"/>
    <n v="4"/>
    <s v="California"/>
    <s v="Los Angeles County"/>
    <n v="1"/>
    <n v="11"/>
    <x v="1"/>
  </r>
  <r>
    <s v="TX501935"/>
    <s v="Pajama Sets"/>
    <n v="1"/>
    <n v="30.1"/>
    <n v="30.1"/>
    <d v="2025-03-12T00:00:00"/>
    <d v="2025-03-15T00:00:00"/>
    <s v="F"/>
    <x v="3"/>
    <n v="3"/>
    <s v="California"/>
    <s v="Los Angeles County"/>
    <n v="3"/>
    <n v="11"/>
    <x v="2"/>
  </r>
  <r>
    <s v="TX501936"/>
    <s v="T-Shirts"/>
    <n v="1"/>
    <n v="16.3"/>
    <n v="16.3"/>
    <d v="2025-03-12T00:00:00"/>
    <d v="2025-03-13T00:00:00"/>
    <s v="M"/>
    <x v="3"/>
    <n v="4"/>
    <s v="California"/>
    <s v="Los Angeles County"/>
    <n v="1"/>
    <n v="11"/>
    <x v="1"/>
  </r>
  <r>
    <s v="TX501937"/>
    <s v="Tank Tops"/>
    <n v="3"/>
    <n v="63.8"/>
    <n v="191.39999999999998"/>
    <d v="2025-03-12T00:00:00"/>
    <d v="2025-03-17T00:00:00"/>
    <s v="F"/>
    <x v="2"/>
    <n v="3"/>
    <s v="California"/>
    <s v="Los Angeles County"/>
    <n v="5"/>
    <n v="11"/>
    <x v="2"/>
  </r>
  <r>
    <s v="TX501938"/>
    <s v="Tank Tops"/>
    <n v="7"/>
    <n v="73.900000000000006"/>
    <n v="517.30000000000007"/>
    <d v="2025-03-12T00:00:00"/>
    <d v="2025-03-12T00:00:00"/>
    <s v="F"/>
    <x v="0"/>
    <n v="3"/>
    <s v="California"/>
    <s v="Los Angeles County"/>
    <n v="0"/>
    <n v="11"/>
    <x v="2"/>
  </r>
  <r>
    <s v="TX501939"/>
    <s v="Shorts"/>
    <n v="2"/>
    <n v="20.2"/>
    <n v="40.4"/>
    <d v="2025-03-12T00:00:00"/>
    <d v="2025-03-13T00:00:00"/>
    <s v="M"/>
    <x v="0"/>
    <n v="3"/>
    <s v="California"/>
    <s v="Los Angeles County"/>
    <n v="1"/>
    <n v="11"/>
    <x v="1"/>
  </r>
  <r>
    <s v="TX501940"/>
    <s v="Maxi Dresses"/>
    <n v="11"/>
    <n v="29.5"/>
    <n v="324.5"/>
    <d v="2025-03-12T00:00:00"/>
    <d v="2025-03-13T00:00:00"/>
    <s v="M"/>
    <x v="0"/>
    <n v="4"/>
    <s v="California"/>
    <s v="Los Angeles County"/>
    <n v="1"/>
    <n v="11"/>
    <x v="1"/>
  </r>
  <r>
    <s v="TX501941"/>
    <s v="Crop Tops"/>
    <n v="7"/>
    <n v="37.9"/>
    <n v="265.3"/>
    <d v="2025-03-12T00:00:00"/>
    <d v="2025-03-13T00:00:00"/>
    <s v="M"/>
    <x v="1"/>
    <n v="4"/>
    <s v="California"/>
    <s v="Los Angeles County"/>
    <n v="1"/>
    <n v="11"/>
    <x v="1"/>
  </r>
  <r>
    <s v="TX501942"/>
    <s v="Sneakers"/>
    <n v="1"/>
    <n v="56.5"/>
    <n v="56.5"/>
    <d v="2025-03-12T00:00:00"/>
    <d v="2025-03-13T00:00:00"/>
    <s v="F"/>
    <x v="2"/>
    <n v="3"/>
    <s v="California"/>
    <s v="Los Angeles County"/>
    <n v="1"/>
    <n v="11"/>
    <x v="2"/>
  </r>
  <r>
    <s v="TX501943"/>
    <s v="Sneakers"/>
    <n v="2"/>
    <n v="66.900000000000006"/>
    <n v="133.80000000000001"/>
    <d v="2025-03-12T00:00:00"/>
    <d v="2025-03-18T00:00:00"/>
    <s v="M"/>
    <x v="1"/>
    <n v="2"/>
    <s v="California"/>
    <s v="Orange County"/>
    <n v="6"/>
    <n v="11"/>
    <x v="1"/>
  </r>
  <r>
    <s v="TX501944"/>
    <s v="Sneakers"/>
    <n v="5"/>
    <n v="51.9"/>
    <n v="259.5"/>
    <d v="2025-03-12T00:00:00"/>
    <d v="2025-03-15T00:00:00"/>
    <s v="M"/>
    <x v="1"/>
    <n v="4"/>
    <s v="California"/>
    <s v="San Bernardino County"/>
    <n v="3"/>
    <n v="11"/>
    <x v="1"/>
  </r>
  <r>
    <s v="TX501945"/>
    <s v="Sneakers"/>
    <n v="2"/>
    <n v="75.599999999999994"/>
    <n v="151.19999999999999"/>
    <d v="2025-03-12T00:00:00"/>
    <d v="2025-03-15T00:00:00"/>
    <s v="M"/>
    <x v="1"/>
    <n v="4"/>
    <s v="California"/>
    <s v="San Diego County"/>
    <n v="3"/>
    <n v="11"/>
    <x v="1"/>
  </r>
  <r>
    <s v="TX501946"/>
    <s v="Casual Dresses"/>
    <n v="6"/>
    <n v="47.3"/>
    <n v="283.79999999999995"/>
    <d v="2025-03-12T00:00:00"/>
    <d v="2025-03-23T00:00:00"/>
    <s v="M"/>
    <x v="0"/>
    <n v="4"/>
    <s v="California"/>
    <s v="San Diego County"/>
    <n v="11"/>
    <n v="11"/>
    <x v="1"/>
  </r>
  <r>
    <s v="TX501947"/>
    <s v="Graphic Tees"/>
    <n v="1"/>
    <n v="20.6"/>
    <n v="20.6"/>
    <d v="2025-03-12T00:00:00"/>
    <d v="2025-03-13T00:00:00"/>
    <s v=""/>
    <x v="0"/>
    <n v="3"/>
    <s v="California"/>
    <s v="San Diego County"/>
    <n v="1"/>
    <n v="11"/>
    <x v="0"/>
  </r>
  <r>
    <s v="TX501948"/>
    <s v="Jeans"/>
    <n v="3"/>
    <n v="49.7"/>
    <n v="149.10000000000002"/>
    <d v="2025-03-12T00:00:00"/>
    <d v="2025-03-14T00:00:00"/>
    <s v="M"/>
    <x v="0"/>
    <n v="3"/>
    <s v="California"/>
    <s v="San Diego County"/>
    <n v="2"/>
    <n v="11"/>
    <x v="1"/>
  </r>
  <r>
    <s v="TX501949"/>
    <s v="Workout Tops"/>
    <n v="1"/>
    <n v="37.9"/>
    <n v="37.9"/>
    <d v="2025-03-12T00:00:00"/>
    <d v="2025-03-14T00:00:00"/>
    <s v="F"/>
    <x v="0"/>
    <n v="4"/>
    <s v="California"/>
    <s v="San Diego County"/>
    <n v="2"/>
    <n v="11"/>
    <x v="2"/>
  </r>
  <r>
    <s v="TX501950"/>
    <s v="Tote Bags"/>
    <n v="15"/>
    <n v="32"/>
    <n v="480"/>
    <d v="2025-03-12T00:00:00"/>
    <d v="2025-03-14T00:00:00"/>
    <s v="F"/>
    <x v="4"/>
    <n v="4"/>
    <s v="California"/>
    <s v="Santa Clara County"/>
    <n v="2"/>
    <n v="11"/>
    <x v="2"/>
  </r>
  <r>
    <s v="TX501951"/>
    <s v="Bikinis"/>
    <n v="18"/>
    <n v="38.5"/>
    <n v="693"/>
    <d v="2025-03-13T00:00:00"/>
    <d v="2025-03-14T00:00:00"/>
    <s v="M"/>
    <x v="0"/>
    <n v="5"/>
    <s v="California"/>
    <s v="Santa Clara County"/>
    <n v="1"/>
    <n v="11"/>
    <x v="1"/>
  </r>
  <r>
    <s v="TX501952"/>
    <s v="Shorts"/>
    <n v="4"/>
    <n v="11.7"/>
    <n v="46.8"/>
    <d v="2025-03-13T00:00:00"/>
    <d v="2025-03-15T00:00:00"/>
    <s v="F"/>
    <x v="1"/>
    <n v="4"/>
    <s v="California"/>
    <s v="Tulare County"/>
    <n v="2"/>
    <n v="11"/>
    <x v="2"/>
  </r>
  <r>
    <s v="TX501953"/>
    <s v="Workout Tops"/>
    <n v="6"/>
    <n v="83.8"/>
    <n v="502.79999999999995"/>
    <d v="2025-03-13T00:00:00"/>
    <d v="2025-03-14T00:00:00"/>
    <s v="M"/>
    <x v="0"/>
    <n v="4"/>
    <s v="California"/>
    <s v="Alameda County"/>
    <n v="1"/>
    <n v="11"/>
    <x v="1"/>
  </r>
  <r>
    <s v="TX501954"/>
    <s v="Shorts"/>
    <n v="7"/>
    <n v="14"/>
    <n v="98"/>
    <d v="2025-03-13T00:00:00"/>
    <d v="2025-03-16T00:00:00"/>
    <s v="M"/>
    <x v="0"/>
    <n v="3"/>
    <s v="California"/>
    <s v="Kern County"/>
    <n v="3"/>
    <n v="11"/>
    <x v="1"/>
  </r>
  <r>
    <s v="TX501955"/>
    <s v="Sunglasses"/>
    <n v="4"/>
    <n v="77.3"/>
    <n v="309.2"/>
    <d v="2025-03-13T00:00:00"/>
    <d v="2025-03-15T00:00:00"/>
    <s v="F"/>
    <x v="4"/>
    <n v="5"/>
    <s v="California"/>
    <s v="Los Angeles County"/>
    <n v="2"/>
    <n v="11"/>
    <x v="2"/>
  </r>
  <r>
    <s v="TX501956"/>
    <s v="Sneakers"/>
    <n v="2"/>
    <n v="76.900000000000006"/>
    <n v="153.80000000000001"/>
    <d v="2025-03-13T00:00:00"/>
    <d v="2025-03-17T00:00:00"/>
    <s v="F"/>
    <x v="0"/>
    <n v="3"/>
    <s v="California"/>
    <s v="Los Angeles County"/>
    <n v="4"/>
    <n v="11"/>
    <x v="2"/>
  </r>
  <r>
    <s v="TX501957"/>
    <s v="Tank Tops"/>
    <n v="1"/>
    <n v="48"/>
    <n v="48"/>
    <d v="2025-03-13T00:00:00"/>
    <d v="2025-03-15T00:00:00"/>
    <s v="F"/>
    <x v="1"/>
    <n v="5"/>
    <s v="California"/>
    <s v="Los Angeles County"/>
    <n v="2"/>
    <n v="11"/>
    <x v="2"/>
  </r>
  <r>
    <s v="TX501958"/>
    <s v="Sneakers"/>
    <n v="1"/>
    <n v="94.5"/>
    <n v="94.5"/>
    <d v="2025-03-13T00:00:00"/>
    <d v="2025-03-16T00:00:00"/>
    <s v="M"/>
    <x v="1"/>
    <n v="3"/>
    <s v="California"/>
    <s v="Los Angeles County"/>
    <n v="3"/>
    <n v="11"/>
    <x v="1"/>
  </r>
  <r>
    <s v="TX501959"/>
    <s v="Bikinis"/>
    <n v="3"/>
    <n v="58.4"/>
    <n v="175.2"/>
    <d v="2025-03-13T00:00:00"/>
    <d v="2025-03-15T00:00:00"/>
    <s v="F"/>
    <x v="1"/>
    <n v="5"/>
    <s v="California"/>
    <s v="Los Angeles County"/>
    <n v="2"/>
    <n v="11"/>
    <x v="2"/>
  </r>
  <r>
    <s v="TX501960"/>
    <s v="Hoodies &amp; Sweatshirts"/>
    <n v="13"/>
    <n v="42.2"/>
    <n v="548.6"/>
    <d v="2025-03-13T00:00:00"/>
    <d v="2025-03-13T00:00:00"/>
    <s v="M"/>
    <x v="0"/>
    <n v="4"/>
    <s v="California"/>
    <s v="Orange County"/>
    <n v="0"/>
    <n v="11"/>
    <x v="1"/>
  </r>
  <r>
    <s v="TX501961"/>
    <s v="Jeans"/>
    <n v="2"/>
    <n v="152.19999999999999"/>
    <n v="304.39999999999998"/>
    <d v="2025-03-13T00:00:00"/>
    <d v="2025-03-14T00:00:00"/>
    <s v="M"/>
    <x v="4"/>
    <n v="3"/>
    <s v="California"/>
    <s v="Orange County"/>
    <n v="1"/>
    <n v="11"/>
    <x v="1"/>
  </r>
  <r>
    <s v="TX501962"/>
    <s v="Jeans"/>
    <n v="24"/>
    <n v="72"/>
    <n v="1728"/>
    <d v="2025-03-13T00:00:00"/>
    <d v="2025-03-14T00:00:00"/>
    <s v="M"/>
    <x v="0"/>
    <n v="3"/>
    <s v="California"/>
    <s v="Sacramento County"/>
    <n v="1"/>
    <n v="11"/>
    <x v="1"/>
  </r>
  <r>
    <s v="TX501963"/>
    <s v="Tank Tops"/>
    <n v="23"/>
    <n v="70.900000000000006"/>
    <n v="1630.7"/>
    <d v="2025-03-13T00:00:00"/>
    <d v="2025-03-14T00:00:00"/>
    <s v="F"/>
    <x v="2"/>
    <n v="4"/>
    <s v="California"/>
    <s v="San Diego County"/>
    <n v="1"/>
    <n v="11"/>
    <x v="2"/>
  </r>
  <r>
    <s v="TX501964"/>
    <s v="Sneakers"/>
    <n v="2"/>
    <n v="53.7"/>
    <n v="107.4"/>
    <d v="2025-03-13T00:00:00"/>
    <d v="2025-03-14T00:00:00"/>
    <s v="M"/>
    <x v="2"/>
    <n v="5"/>
    <s v="California"/>
    <s v="San Diego County"/>
    <n v="1"/>
    <n v="11"/>
    <x v="1"/>
  </r>
  <r>
    <s v="TX501965"/>
    <s v="Sundresses"/>
    <n v="4"/>
    <n v="42.9"/>
    <n v="171.6"/>
    <d v="2025-03-13T00:00:00"/>
    <d v="2025-03-14T00:00:00"/>
    <s v="F"/>
    <x v="2"/>
    <n v="2"/>
    <s v="California"/>
    <s v="San Mateo County"/>
    <n v="1"/>
    <n v="11"/>
    <x v="2"/>
  </r>
  <r>
    <s v="TX501966"/>
    <s v="Sneakers"/>
    <n v="7"/>
    <n v="107.5"/>
    <n v="752.5"/>
    <d v="2025-03-13T00:00:00"/>
    <d v="2025-03-14T00:00:00"/>
    <s v="M"/>
    <x v="1"/>
    <n v="4"/>
    <s v="California"/>
    <s v="Santa Clara County"/>
    <n v="1"/>
    <n v="11"/>
    <x v="1"/>
  </r>
  <r>
    <s v="TX501967"/>
    <s v="Pajama Sets"/>
    <n v="16"/>
    <n v="21.5"/>
    <n v="344"/>
    <d v="2025-03-13T00:00:00"/>
    <d v="2025-03-14T00:00:00"/>
    <s v="M"/>
    <x v="1"/>
    <n v="3"/>
    <s v="California"/>
    <s v="Santa Cruz County"/>
    <n v="1"/>
    <n v="11"/>
    <x v="1"/>
  </r>
  <r>
    <s v="TX501968"/>
    <s v="Workout Tops"/>
    <n v="5"/>
    <n v="85.3"/>
    <n v="426.5"/>
    <d v="2025-03-13T00:00:00"/>
    <d v="2025-03-15T00:00:00"/>
    <s v="F"/>
    <x v="3"/>
    <n v="4"/>
    <s v="California"/>
    <s v="Sonoma County"/>
    <n v="2"/>
    <n v="11"/>
    <x v="2"/>
  </r>
  <r>
    <s v="TX501969"/>
    <s v="Hoodies &amp; Sweatshirts"/>
    <n v="5"/>
    <n v="80.8"/>
    <n v="404"/>
    <d v="2025-03-13T00:00:00"/>
    <d v="2025-03-21T00:00:00"/>
    <s v="O"/>
    <x v="1"/>
    <n v="3"/>
    <s v="California"/>
    <s v="Stanislaus County"/>
    <n v="8"/>
    <n v="11"/>
    <x v="3"/>
  </r>
  <r>
    <s v="TX501970"/>
    <s v="Sneakers"/>
    <n v="3"/>
    <n v="123.1"/>
    <n v="369.29999999999995"/>
    <d v="2025-03-13T00:00:00"/>
    <d v="2025-03-15T00:00:00"/>
    <s v=""/>
    <x v="2"/>
    <n v="4"/>
    <s v="California"/>
    <s v="Alameda County"/>
    <n v="2"/>
    <n v="11"/>
    <x v="0"/>
  </r>
  <r>
    <s v="TX501971"/>
    <s v="T-Shirts"/>
    <n v="2"/>
    <n v="36.9"/>
    <n v="73.8"/>
    <d v="2025-03-13T00:00:00"/>
    <d v="2025-03-15T00:00:00"/>
    <s v="F"/>
    <x v="2"/>
    <n v="2"/>
    <s v="California"/>
    <s v="Butte County"/>
    <n v="2"/>
    <n v="11"/>
    <x v="2"/>
  </r>
  <r>
    <s v="TX501972"/>
    <s v="Maxi Dresses"/>
    <n v="5"/>
    <n v="40"/>
    <n v="200"/>
    <d v="2025-03-13T00:00:00"/>
    <d v="2025-03-14T00:00:00"/>
    <s v="M"/>
    <x v="0"/>
    <n v="4"/>
    <s v="California"/>
    <s v="Contra Costa County"/>
    <n v="1"/>
    <n v="11"/>
    <x v="1"/>
  </r>
  <r>
    <s v="TX501973"/>
    <s v="Jeans"/>
    <n v="3"/>
    <n v="55.5"/>
    <n v="166.5"/>
    <d v="2025-03-13T00:00:00"/>
    <d v="2025-03-14T00:00:00"/>
    <s v="M"/>
    <x v="4"/>
    <n v="5"/>
    <s v="California"/>
    <s v="Contra Costa County"/>
    <n v="1"/>
    <n v="11"/>
    <x v="1"/>
  </r>
  <r>
    <s v="TX501974"/>
    <s v="Shorts"/>
    <n v="4"/>
    <n v="20.5"/>
    <n v="82"/>
    <d v="2025-03-13T00:00:00"/>
    <d v="2025-03-17T00:00:00"/>
    <s v="F"/>
    <x v="4"/>
    <n v="4"/>
    <s v="California"/>
    <s v="Contra Costa County"/>
    <n v="4"/>
    <n v="11"/>
    <x v="2"/>
  </r>
  <r>
    <s v="TX501975"/>
    <s v="Leggings"/>
    <n v="4"/>
    <n v="50.1"/>
    <n v="200.4"/>
    <d v="2025-03-13T00:00:00"/>
    <d v="2025-03-14T00:00:00"/>
    <s v="F"/>
    <x v="4"/>
    <n v="4"/>
    <s v="California"/>
    <s v="Contra Costa County"/>
    <n v="1"/>
    <n v="11"/>
    <x v="2"/>
  </r>
  <r>
    <s v="TX501976"/>
    <s v="Sundresses"/>
    <n v="1"/>
    <n v="35.9"/>
    <n v="35.9"/>
    <d v="2025-03-13T00:00:00"/>
    <d v="2025-03-15T00:00:00"/>
    <s v="M"/>
    <x v="1"/>
    <n v="5"/>
    <s v="California"/>
    <s v="Contra Costa County"/>
    <n v="2"/>
    <n v="11"/>
    <x v="1"/>
  </r>
  <r>
    <s v="TX501977"/>
    <s v="Tote Bags"/>
    <n v="4"/>
    <n v="29.4"/>
    <n v="117.6"/>
    <d v="2025-03-14T00:00:00"/>
    <d v="2025-03-15T00:00:00"/>
    <s v="M"/>
    <x v="2"/>
    <n v="5"/>
    <s v="California"/>
    <s v="Imperial County"/>
    <n v="1"/>
    <n v="11"/>
    <x v="1"/>
  </r>
  <r>
    <s v="TX501978"/>
    <s v="T-Shirts"/>
    <n v="5"/>
    <n v="29.1"/>
    <n v="145.5"/>
    <d v="2025-03-14T00:00:00"/>
    <d v="2025-03-22T00:00:00"/>
    <s v="O"/>
    <x v="2"/>
    <n v="3"/>
    <s v="California"/>
    <s v="Imperial County"/>
    <n v="8"/>
    <n v="11"/>
    <x v="3"/>
  </r>
  <r>
    <s v="TX501979"/>
    <s v="T-Shirts"/>
    <n v="3"/>
    <n v="33.5"/>
    <n v="100.5"/>
    <d v="2025-03-14T00:00:00"/>
    <d v="2025-03-26T00:00:00"/>
    <s v="M"/>
    <x v="0"/>
    <n v="5"/>
    <s v="California"/>
    <s v="Kern County"/>
    <n v="12"/>
    <n v="11"/>
    <x v="1"/>
  </r>
  <r>
    <s v="TX501980"/>
    <s v="Graphic Tees"/>
    <n v="10"/>
    <n v="36"/>
    <n v="360"/>
    <d v="2025-03-14T00:00:00"/>
    <d v="2025-03-14T00:00:00"/>
    <s v="M"/>
    <x v="3"/>
    <n v="5"/>
    <s v="California"/>
    <s v="Los Angeles County"/>
    <n v="0"/>
    <n v="11"/>
    <x v="1"/>
  </r>
  <r>
    <s v="TX501981"/>
    <s v="Sunglasses"/>
    <n v="3"/>
    <n v="57.3"/>
    <n v="171.89999999999998"/>
    <d v="2025-03-14T00:00:00"/>
    <d v="2025-03-18T00:00:00"/>
    <s v="F"/>
    <x v="0"/>
    <n v="5"/>
    <s v="California"/>
    <s v="Los Angeles County"/>
    <n v="4"/>
    <n v="11"/>
    <x v="2"/>
  </r>
  <r>
    <s v="TX501982"/>
    <s v="Tank Tops"/>
    <n v="1"/>
    <n v="81.400000000000006"/>
    <n v="81.400000000000006"/>
    <d v="2025-03-14T00:00:00"/>
    <d v="2025-03-15T00:00:00"/>
    <s v="F"/>
    <x v="2"/>
    <n v="5"/>
    <s v="California"/>
    <s v="Los Angeles County"/>
    <n v="1"/>
    <n v="11"/>
    <x v="2"/>
  </r>
  <r>
    <s v="TX501983"/>
    <s v="Bikinis"/>
    <n v="2"/>
    <n v="35.299999999999997"/>
    <n v="70.599999999999994"/>
    <d v="2025-03-14T00:00:00"/>
    <d v="2025-03-18T00:00:00"/>
    <s v="M"/>
    <x v="0"/>
    <n v="5"/>
    <s v="California"/>
    <s v="Los Angeles County"/>
    <n v="4"/>
    <n v="11"/>
    <x v="1"/>
  </r>
  <r>
    <s v="TX501984"/>
    <s v="Workout Tops"/>
    <n v="1"/>
    <n v="36.1"/>
    <n v="36.1"/>
    <d v="2025-03-14T00:00:00"/>
    <d v="2025-03-15T00:00:00"/>
    <s v="F"/>
    <x v="4"/>
    <n v="4"/>
    <s v="California"/>
    <s v="Los Angeles County"/>
    <n v="1"/>
    <n v="11"/>
    <x v="2"/>
  </r>
  <r>
    <s v="TX501985"/>
    <s v="Tank Tops"/>
    <n v="2"/>
    <n v="36.700000000000003"/>
    <n v="73.400000000000006"/>
    <d v="2025-03-14T00:00:00"/>
    <d v="2025-03-16T00:00:00"/>
    <s v="F"/>
    <x v="0"/>
    <n v="5"/>
    <s v="California"/>
    <s v="Los Angeles County"/>
    <n v="2"/>
    <n v="11"/>
    <x v="2"/>
  </r>
  <r>
    <s v="TX501986"/>
    <s v="Bikinis"/>
    <n v="1"/>
    <n v="20.9"/>
    <n v="20.9"/>
    <d v="2025-03-14T00:00:00"/>
    <d v="2025-03-16T00:00:00"/>
    <s v="F"/>
    <x v="0"/>
    <n v="2"/>
    <s v="California"/>
    <s v="Los Angeles County"/>
    <n v="2"/>
    <n v="11"/>
    <x v="2"/>
  </r>
  <r>
    <s v="TX501987"/>
    <s v="Casual Dresses"/>
    <n v="3"/>
    <n v="58.8"/>
    <n v="176.39999999999998"/>
    <d v="2025-03-14T00:00:00"/>
    <d v="2025-03-18T00:00:00"/>
    <s v="M"/>
    <x v="0"/>
    <n v="5"/>
    <s v="California"/>
    <s v="Orange County"/>
    <n v="4"/>
    <n v="11"/>
    <x v="1"/>
  </r>
  <r>
    <s v="TX501988"/>
    <s v="Sneakers"/>
    <n v="3"/>
    <n v="97.6"/>
    <n v="292.79999999999995"/>
    <d v="2025-03-15T00:00:00"/>
    <d v="2025-03-17T00:00:00"/>
    <s v=""/>
    <x v="0"/>
    <n v="4"/>
    <s v="California"/>
    <s v="Sacramento County"/>
    <n v="2"/>
    <n v="11"/>
    <x v="0"/>
  </r>
  <r>
    <s v="TX501989"/>
    <s v="Tank Tops"/>
    <n v="2"/>
    <n v="58.7"/>
    <n v="117.4"/>
    <d v="2025-03-15T00:00:00"/>
    <d v="2025-03-18T00:00:00"/>
    <s v="F"/>
    <x v="0"/>
    <n v="3"/>
    <s v="California"/>
    <s v="Sacramento County"/>
    <n v="3"/>
    <n v="11"/>
    <x v="2"/>
  </r>
  <r>
    <s v="TX501990"/>
    <s v="Jeans"/>
    <n v="5"/>
    <n v="71.900000000000006"/>
    <n v="359.5"/>
    <d v="2025-03-15T00:00:00"/>
    <d v="2025-03-16T00:00:00"/>
    <s v=""/>
    <x v="0"/>
    <n v="3"/>
    <s v="California"/>
    <s v="Sacramento County"/>
    <n v="1"/>
    <n v="11"/>
    <x v="0"/>
  </r>
  <r>
    <s v="TX501991"/>
    <s v="Tank Tops"/>
    <n v="2"/>
    <n v="62.4"/>
    <n v="124.8"/>
    <d v="2025-03-15T00:00:00"/>
    <d v="2025-03-17T00:00:00"/>
    <s v=""/>
    <x v="0"/>
    <n v="3"/>
    <s v="California"/>
    <s v="San Diego County"/>
    <n v="2"/>
    <n v="11"/>
    <x v="0"/>
  </r>
  <r>
    <s v="TX501992"/>
    <s v="Jeans"/>
    <n v="16"/>
    <n v="53.8"/>
    <n v="860.8"/>
    <d v="2025-03-15T00:00:00"/>
    <d v="2025-03-16T00:00:00"/>
    <s v="F"/>
    <x v="1"/>
    <n v="4"/>
    <s v="California"/>
    <s v="San Diego County"/>
    <n v="1"/>
    <n v="11"/>
    <x v="2"/>
  </r>
  <r>
    <s v="TX501993"/>
    <s v="Sundresses"/>
    <n v="1"/>
    <n v="43.8"/>
    <n v="43.8"/>
    <d v="2025-03-15T00:00:00"/>
    <d v="2025-03-22T00:00:00"/>
    <s v="F"/>
    <x v="0"/>
    <n v="5"/>
    <s v="California"/>
    <s v="San Diego County"/>
    <n v="7"/>
    <n v="11"/>
    <x v="2"/>
  </r>
  <r>
    <s v="TX501994"/>
    <s v="Sandals"/>
    <n v="3"/>
    <n v="53.6"/>
    <n v="160.80000000000001"/>
    <d v="2025-03-15T00:00:00"/>
    <d v="2025-03-16T00:00:00"/>
    <s v="M"/>
    <x v="3"/>
    <n v="4"/>
    <s v="California"/>
    <s v="San Diego County"/>
    <n v="1"/>
    <n v="11"/>
    <x v="1"/>
  </r>
  <r>
    <s v="TX501995"/>
    <s v="Casual Dresses"/>
    <n v="2"/>
    <n v="84.3"/>
    <n v="168.6"/>
    <d v="2025-03-15T00:00:00"/>
    <d v="2025-03-18T00:00:00"/>
    <s v="M"/>
    <x v="4"/>
    <n v="3"/>
    <s v="California"/>
    <s v="San Diego County"/>
    <n v="3"/>
    <n v="11"/>
    <x v="1"/>
  </r>
  <r>
    <s v="TX501996"/>
    <s v="Jeans"/>
    <n v="9"/>
    <n v="117.9"/>
    <n v="1061.1000000000001"/>
    <d v="2025-03-15T00:00:00"/>
    <d v="2025-03-16T00:00:00"/>
    <s v="F"/>
    <x v="1"/>
    <n v="5"/>
    <s v="California"/>
    <s v="San Diego County"/>
    <n v="1"/>
    <n v="11"/>
    <x v="2"/>
  </r>
  <r>
    <s v="TX501997"/>
    <s v="Graphic Tees"/>
    <n v="8"/>
    <n v="30"/>
    <n v="240"/>
    <d v="2025-03-15T00:00:00"/>
    <d v="2025-03-16T00:00:00"/>
    <s v="F"/>
    <x v="1"/>
    <n v="4"/>
    <s v="California"/>
    <s v="San Joaquin County"/>
    <n v="1"/>
    <n v="11"/>
    <x v="2"/>
  </r>
  <r>
    <s v="TX501998"/>
    <s v="Baseball Caps"/>
    <n v="3"/>
    <n v="37.299999999999997"/>
    <n v="111.89999999999999"/>
    <d v="2025-03-15T00:00:00"/>
    <d v="2025-03-16T00:00:00"/>
    <s v="M"/>
    <x v="2"/>
    <n v="4"/>
    <s v="California"/>
    <s v="San Mateo County"/>
    <n v="1"/>
    <n v="11"/>
    <x v="1"/>
  </r>
  <r>
    <s v="TX501999"/>
    <s v="Graphic Tees"/>
    <n v="9"/>
    <n v="25.1"/>
    <n v="225.9"/>
    <d v="2025-03-15T00:00:00"/>
    <d v="2025-03-17T00:00:00"/>
    <s v="M"/>
    <x v="1"/>
    <n v="5"/>
    <s v="California"/>
    <s v="Santa Clara County"/>
    <n v="2"/>
    <n v="11"/>
    <x v="1"/>
  </r>
  <r>
    <s v="TX502000"/>
    <s v="T-Shirts"/>
    <n v="11"/>
    <n v="36"/>
    <n v="396"/>
    <d v="2025-03-15T00:00:00"/>
    <d v="2025-03-25T00:00:00"/>
    <s v="M"/>
    <x v="1"/>
    <n v="4"/>
    <s v="California"/>
    <s v="Sonoma County"/>
    <n v="10"/>
    <n v="11"/>
    <x v="1"/>
  </r>
  <r>
    <s v="TX502001"/>
    <s v="Sunglasses"/>
    <n v="3"/>
    <n v="48.5"/>
    <n v="145.5"/>
    <d v="2025-03-15T00:00:00"/>
    <d v="2025-03-19T00:00:00"/>
    <s v="F"/>
    <x v="1"/>
    <n v="4"/>
    <s v="California"/>
    <s v="Stanislaus County"/>
    <n v="4"/>
    <n v="11"/>
    <x v="2"/>
  </r>
  <r>
    <s v="TX502002"/>
    <s v="Pajama Sets"/>
    <n v="6"/>
    <n v="21.1"/>
    <n v="126.60000000000001"/>
    <d v="2025-03-15T00:00:00"/>
    <d v="2025-03-16T00:00:00"/>
    <s v="M"/>
    <x v="1"/>
    <n v="5"/>
    <s v="California"/>
    <s v="Alameda County"/>
    <n v="1"/>
    <n v="11"/>
    <x v="1"/>
  </r>
  <r>
    <s v="TX502003"/>
    <s v="Crop Tops"/>
    <n v="14"/>
    <n v="43.2"/>
    <n v="604.80000000000007"/>
    <d v="2025-03-15T00:00:00"/>
    <d v="2025-03-16T00:00:00"/>
    <s v="O"/>
    <x v="0"/>
    <n v="3"/>
    <s v="California"/>
    <s v="Alameda County"/>
    <n v="1"/>
    <n v="11"/>
    <x v="3"/>
  </r>
  <r>
    <s v="TX502004"/>
    <s v="Sundresses"/>
    <n v="2"/>
    <n v="21.1"/>
    <n v="42.2"/>
    <d v="2025-03-15T00:00:00"/>
    <d v="2025-03-16T00:00:00"/>
    <s v=""/>
    <x v="3"/>
    <n v="3"/>
    <s v="California"/>
    <s v="Alameda County"/>
    <n v="1"/>
    <n v="11"/>
    <x v="0"/>
  </r>
  <r>
    <s v="TX502005"/>
    <s v="Jeans"/>
    <n v="4"/>
    <n v="41.3"/>
    <n v="165.2"/>
    <d v="2025-03-15T00:00:00"/>
    <d v="2025-03-17T00:00:00"/>
    <s v="F"/>
    <x v="3"/>
    <n v="5"/>
    <s v="California"/>
    <s v="Contra Costa County"/>
    <n v="2"/>
    <n v="11"/>
    <x v="2"/>
  </r>
  <r>
    <s v="TX502006"/>
    <s v="T-Shirts"/>
    <n v="2"/>
    <n v="15.3"/>
    <n v="30.6"/>
    <d v="2025-03-15T00:00:00"/>
    <d v="2025-03-18T00:00:00"/>
    <s v=""/>
    <x v="2"/>
    <n v="5"/>
    <s v="California"/>
    <s v="Contra Costa County"/>
    <n v="3"/>
    <n v="11"/>
    <x v="0"/>
  </r>
  <r>
    <s v="TX502007"/>
    <s v="Tank Tops"/>
    <n v="1"/>
    <n v="54.6"/>
    <n v="54.6"/>
    <d v="2025-03-15T00:00:00"/>
    <d v="2025-03-17T00:00:00"/>
    <s v="M"/>
    <x v="1"/>
    <n v="3"/>
    <s v="California"/>
    <s v="Fresno County"/>
    <n v="2"/>
    <n v="11"/>
    <x v="1"/>
  </r>
  <r>
    <s v="TX502008"/>
    <s v="T-Shirts"/>
    <n v="1"/>
    <n v="15.9"/>
    <n v="15.9"/>
    <d v="2025-03-15T00:00:00"/>
    <d v="2025-03-16T00:00:00"/>
    <s v="M"/>
    <x v="0"/>
    <n v="3"/>
    <s v="California"/>
    <s v="Kern County"/>
    <n v="1"/>
    <n v="11"/>
    <x v="1"/>
  </r>
  <r>
    <s v="TX502009"/>
    <s v="Sundresses"/>
    <n v="1"/>
    <n v="50.2"/>
    <n v="50.2"/>
    <d v="2025-03-15T00:00:00"/>
    <d v="2025-03-17T00:00:00"/>
    <s v="F"/>
    <x v="3"/>
    <n v="5"/>
    <s v="California"/>
    <s v="Kings County"/>
    <n v="2"/>
    <n v="11"/>
    <x v="2"/>
  </r>
  <r>
    <s v="TX502010"/>
    <s v="Maxi Dresses"/>
    <n v="4"/>
    <n v="85.1"/>
    <n v="340.4"/>
    <d v="2025-03-15T00:00:00"/>
    <d v="2025-03-16T00:00:00"/>
    <s v="F"/>
    <x v="3"/>
    <n v="2"/>
    <s v="California"/>
    <s v="Kings County"/>
    <n v="1"/>
    <n v="11"/>
    <x v="2"/>
  </r>
  <r>
    <s v="TX502011"/>
    <s v="Maxi Dresses"/>
    <n v="2"/>
    <n v="41.4"/>
    <n v="82.8"/>
    <d v="2025-03-15T00:00:00"/>
    <d v="2025-03-16T00:00:00"/>
    <s v="F"/>
    <x v="0"/>
    <n v="5"/>
    <s v="California"/>
    <s v="Los Angeles County"/>
    <n v="1"/>
    <n v="11"/>
    <x v="2"/>
  </r>
  <r>
    <s v="TX502012"/>
    <s v="Graphic Tees"/>
    <n v="7"/>
    <n v="32.700000000000003"/>
    <n v="228.90000000000003"/>
    <d v="2025-03-15T00:00:00"/>
    <d v="2025-03-16T00:00:00"/>
    <s v="F"/>
    <x v="2"/>
    <n v="3"/>
    <s v="California"/>
    <s v="Los Angeles County"/>
    <n v="1"/>
    <n v="11"/>
    <x v="2"/>
  </r>
  <r>
    <s v="TX502013"/>
    <s v="Graphic Tees"/>
    <n v="2"/>
    <n v="41.6"/>
    <n v="83.2"/>
    <d v="2025-03-15T00:00:00"/>
    <d v="2025-03-17T00:00:00"/>
    <s v="M"/>
    <x v="4"/>
    <n v="3"/>
    <s v="California"/>
    <s v="Los Angeles County"/>
    <n v="2"/>
    <n v="11"/>
    <x v="1"/>
  </r>
  <r>
    <s v="TX502014"/>
    <s v="Sandals"/>
    <n v="4"/>
    <n v="64.8"/>
    <n v="259.2"/>
    <d v="2025-03-15T00:00:00"/>
    <d v="2025-03-16T00:00:00"/>
    <s v=""/>
    <x v="2"/>
    <n v="4"/>
    <s v="California"/>
    <s v="Los Angeles County"/>
    <n v="1"/>
    <n v="11"/>
    <x v="0"/>
  </r>
  <r>
    <s v="TX502015"/>
    <s v="Crop Tops"/>
    <n v="2"/>
    <n v="33.6"/>
    <n v="67.2"/>
    <d v="2025-03-15T00:00:00"/>
    <d v="2025-03-16T00:00:00"/>
    <s v="M"/>
    <x v="0"/>
    <n v="5"/>
    <s v="California"/>
    <s v="Los Angeles County"/>
    <n v="1"/>
    <n v="11"/>
    <x v="1"/>
  </r>
  <r>
    <s v="TX502016"/>
    <s v="Jeans"/>
    <n v="3"/>
    <n v="100.7"/>
    <n v="302.10000000000002"/>
    <d v="2025-03-15T00:00:00"/>
    <d v="2025-03-16T00:00:00"/>
    <s v=""/>
    <x v="1"/>
    <n v="4"/>
    <s v="California"/>
    <s v="Los Angeles County"/>
    <n v="1"/>
    <n v="11"/>
    <x v="0"/>
  </r>
  <r>
    <s v="TX502017"/>
    <s v="Graphic Tees"/>
    <n v="2"/>
    <n v="49.3"/>
    <n v="98.6"/>
    <d v="2025-03-16T00:00:00"/>
    <d v="2025-03-18T00:00:00"/>
    <s v="F"/>
    <x v="4"/>
    <n v="5"/>
    <s v="California"/>
    <s v="Los Angeles County"/>
    <n v="2"/>
    <n v="12"/>
    <x v="2"/>
  </r>
  <r>
    <s v="TX502018"/>
    <s v="Sneakers"/>
    <n v="6"/>
    <n v="97"/>
    <n v="582"/>
    <d v="2025-03-16T00:00:00"/>
    <d v="2025-03-19T00:00:00"/>
    <s v="M"/>
    <x v="2"/>
    <n v="5"/>
    <s v="California"/>
    <s v="Los Angeles County"/>
    <n v="3"/>
    <n v="12"/>
    <x v="1"/>
  </r>
  <r>
    <s v="TX502019"/>
    <s v="Shorts"/>
    <n v="6"/>
    <n v="25.2"/>
    <n v="151.19999999999999"/>
    <d v="2025-03-16T00:00:00"/>
    <d v="2025-03-19T00:00:00"/>
    <s v="F"/>
    <x v="4"/>
    <n v="5"/>
    <s v="California"/>
    <s v="Los Angeles County"/>
    <n v="3"/>
    <n v="12"/>
    <x v="2"/>
  </r>
  <r>
    <s v="TX502020"/>
    <s v="Shorts"/>
    <n v="11"/>
    <n v="12.2"/>
    <n v="134.19999999999999"/>
    <d v="2025-03-16T00:00:00"/>
    <d v="2025-03-17T00:00:00"/>
    <s v=""/>
    <x v="0"/>
    <n v="3"/>
    <s v="California"/>
    <s v="Los Angeles County"/>
    <n v="1"/>
    <n v="12"/>
    <x v="0"/>
  </r>
  <r>
    <s v="TX502021"/>
    <s v="T-Shirts"/>
    <n v="7"/>
    <n v="38.799999999999997"/>
    <n v="271.59999999999997"/>
    <d v="2025-03-16T00:00:00"/>
    <d v="2025-03-18T00:00:00"/>
    <s v="F"/>
    <x v="1"/>
    <n v="3"/>
    <s v="California"/>
    <s v="Riverside County"/>
    <n v="2"/>
    <n v="12"/>
    <x v="2"/>
  </r>
  <r>
    <s v="TX502022"/>
    <s v="Sneakers"/>
    <n v="4"/>
    <n v="53.2"/>
    <n v="212.8"/>
    <d v="2025-03-16T00:00:00"/>
    <d v="2025-03-17T00:00:00"/>
    <s v="M"/>
    <x v="0"/>
    <n v="5"/>
    <s v="California"/>
    <s v="San Diego County"/>
    <n v="1"/>
    <n v="12"/>
    <x v="1"/>
  </r>
  <r>
    <s v="TX502023"/>
    <s v="Jeans"/>
    <n v="7"/>
    <n v="151"/>
    <n v="1057"/>
    <d v="2025-03-16T00:00:00"/>
    <d v="2025-03-17T00:00:00"/>
    <s v="O"/>
    <x v="1"/>
    <n v="3"/>
    <s v="California"/>
    <s v="San Diego County"/>
    <n v="1"/>
    <n v="12"/>
    <x v="3"/>
  </r>
  <r>
    <s v="TX502024"/>
    <s v="Tank Tops"/>
    <n v="2"/>
    <n v="37.1"/>
    <n v="74.2"/>
    <d v="2025-03-16T00:00:00"/>
    <d v="2025-03-17T00:00:00"/>
    <s v="F"/>
    <x v="4"/>
    <n v="4"/>
    <s v="California"/>
    <s v="San Diego County"/>
    <n v="1"/>
    <n v="12"/>
    <x v="2"/>
  </r>
  <r>
    <s v="TX502025"/>
    <s v="Sandals"/>
    <n v="2"/>
    <n v="38.9"/>
    <n v="77.8"/>
    <d v="2025-03-16T00:00:00"/>
    <d v="2025-03-17T00:00:00"/>
    <s v="M"/>
    <x v="4"/>
    <n v="4"/>
    <s v="California"/>
    <s v="San Diego County"/>
    <n v="1"/>
    <n v="12"/>
    <x v="1"/>
  </r>
  <r>
    <s v="TX502026"/>
    <s v="Bikinis"/>
    <n v="2"/>
    <n v="35.200000000000003"/>
    <n v="70.400000000000006"/>
    <d v="2025-03-16T00:00:00"/>
    <d v="2025-03-17T00:00:00"/>
    <s v="M"/>
    <x v="0"/>
    <n v="5"/>
    <s v="California"/>
    <s v="San Francisco"/>
    <n v="1"/>
    <n v="12"/>
    <x v="1"/>
  </r>
  <r>
    <s v="TX502027"/>
    <s v="Shorts"/>
    <n v="2"/>
    <n v="22.3"/>
    <n v="44.6"/>
    <d v="2025-03-16T00:00:00"/>
    <d v="2025-03-18T00:00:00"/>
    <s v="F"/>
    <x v="1"/>
    <n v="4"/>
    <s v="California"/>
    <s v="San Mateo County"/>
    <n v="2"/>
    <n v="12"/>
    <x v="2"/>
  </r>
  <r>
    <s v="TX502028"/>
    <s v="Sundresses"/>
    <n v="1"/>
    <n v="43.3"/>
    <n v="43.3"/>
    <d v="2025-03-16T00:00:00"/>
    <d v="2025-03-19T00:00:00"/>
    <s v="F"/>
    <x v="0"/>
    <n v="5"/>
    <s v="California"/>
    <s v="Santa Clara County"/>
    <n v="3"/>
    <n v="12"/>
    <x v="2"/>
  </r>
  <r>
    <s v="TX502029"/>
    <s v="Jeans"/>
    <n v="6"/>
    <n v="75.900000000000006"/>
    <n v="455.40000000000003"/>
    <d v="2025-03-16T00:00:00"/>
    <d v="2025-03-22T00:00:00"/>
    <s v="M"/>
    <x v="0"/>
    <n v="4"/>
    <s v="California"/>
    <s v="Santa Clara County"/>
    <n v="6"/>
    <n v="12"/>
    <x v="1"/>
  </r>
  <r>
    <s v="TX502030"/>
    <s v="Jeans"/>
    <n v="3"/>
    <n v="78.7"/>
    <n v="236.10000000000002"/>
    <d v="2025-03-16T00:00:00"/>
    <d v="2025-03-20T00:00:00"/>
    <s v="F"/>
    <x v="2"/>
    <n v="3"/>
    <s v="California"/>
    <s v="Santa Clara County"/>
    <n v="4"/>
    <n v="12"/>
    <x v="2"/>
  </r>
  <r>
    <s v="TX502031"/>
    <s v="Tank Tops"/>
    <n v="1"/>
    <n v="66.3"/>
    <n v="66.3"/>
    <d v="2025-03-16T00:00:00"/>
    <d v="2025-03-20T00:00:00"/>
    <s v="F"/>
    <x v="0"/>
    <n v="5"/>
    <s v="California"/>
    <s v="Stanislaus County"/>
    <n v="4"/>
    <n v="12"/>
    <x v="2"/>
  </r>
  <r>
    <s v="TX502032"/>
    <s v="T-Shirts"/>
    <n v="2"/>
    <n v="33.6"/>
    <n v="67.2"/>
    <d v="2025-03-16T00:00:00"/>
    <d v="2025-03-16T00:00:00"/>
    <s v="M"/>
    <x v="0"/>
    <n v="3"/>
    <s v="California"/>
    <s v="Stanislaus County"/>
    <n v="0"/>
    <n v="12"/>
    <x v="1"/>
  </r>
  <r>
    <s v="TX502033"/>
    <s v="Sneakers"/>
    <n v="7"/>
    <n v="61.4"/>
    <n v="429.8"/>
    <d v="2025-03-16T00:00:00"/>
    <d v="2025-03-17T00:00:00"/>
    <s v="M"/>
    <x v="4"/>
    <n v="4"/>
    <s v="California"/>
    <s v="Stanislaus County"/>
    <n v="1"/>
    <n v="12"/>
    <x v="1"/>
  </r>
  <r>
    <s v="TX502034"/>
    <s v="T-Shirts"/>
    <n v="2"/>
    <n v="17.5"/>
    <n v="35"/>
    <d v="2025-03-16T00:00:00"/>
    <d v="2025-03-19T00:00:00"/>
    <s v="F"/>
    <x v="0"/>
    <n v="4"/>
    <s v="California"/>
    <s v="Alameda County"/>
    <n v="3"/>
    <n v="12"/>
    <x v="2"/>
  </r>
  <r>
    <s v="TX502035"/>
    <s v="T-Shirts"/>
    <n v="2"/>
    <n v="32.5"/>
    <n v="65"/>
    <d v="2025-03-16T00:00:00"/>
    <d v="2025-03-19T00:00:00"/>
    <s v="F"/>
    <x v="1"/>
    <n v="4"/>
    <s v="California"/>
    <s v="Alameda County"/>
    <n v="3"/>
    <n v="12"/>
    <x v="2"/>
  </r>
  <r>
    <s v="TX502036"/>
    <s v="Graphic Tees"/>
    <n v="1"/>
    <n v="34.6"/>
    <n v="34.6"/>
    <d v="2025-03-16T00:00:00"/>
    <d v="2025-03-17T00:00:00"/>
    <s v="F"/>
    <x v="4"/>
    <n v="4"/>
    <s v="California"/>
    <s v="Alameda County"/>
    <n v="1"/>
    <n v="12"/>
    <x v="2"/>
  </r>
  <r>
    <s v="TX502037"/>
    <s v="Sneakers"/>
    <n v="1"/>
    <n v="75.900000000000006"/>
    <n v="75.900000000000006"/>
    <d v="2025-03-16T00:00:00"/>
    <d v="2025-03-16T00:00:00"/>
    <s v="M"/>
    <x v="1"/>
    <n v="5"/>
    <s v="California"/>
    <s v="Alameda County"/>
    <n v="0"/>
    <n v="12"/>
    <x v="1"/>
  </r>
  <r>
    <s v="TX502038"/>
    <s v="Tank Tops"/>
    <n v="3"/>
    <n v="42.1"/>
    <n v="126.30000000000001"/>
    <d v="2025-03-16T00:00:00"/>
    <d v="2025-03-19T00:00:00"/>
    <s v="M"/>
    <x v="1"/>
    <n v="3"/>
    <s v="California"/>
    <s v="Alameda County"/>
    <n v="3"/>
    <n v="12"/>
    <x v="1"/>
  </r>
  <r>
    <s v="TX502039"/>
    <s v="Hoodies &amp; Sweatshirts"/>
    <n v="3"/>
    <n v="65.3"/>
    <n v="195.89999999999998"/>
    <d v="2025-03-16T00:00:00"/>
    <d v="2025-03-23T00:00:00"/>
    <s v="M"/>
    <x v="0"/>
    <n v="4"/>
    <s v="California"/>
    <s v="Contra Costa County"/>
    <n v="7"/>
    <n v="12"/>
    <x v="1"/>
  </r>
  <r>
    <s v="TX502040"/>
    <s v="Crop Tops"/>
    <n v="1"/>
    <n v="20.6"/>
    <n v="20.6"/>
    <d v="2025-03-16T00:00:00"/>
    <d v="2025-03-19T00:00:00"/>
    <s v="M"/>
    <x v="3"/>
    <n v="4"/>
    <s v="California"/>
    <s v="El Dorado County"/>
    <n v="3"/>
    <n v="12"/>
    <x v="1"/>
  </r>
  <r>
    <s v="TX502041"/>
    <s v="T-Shirts"/>
    <n v="7"/>
    <n v="16.5"/>
    <n v="115.5"/>
    <d v="2025-03-16T00:00:00"/>
    <d v="2025-03-17T00:00:00"/>
    <s v="M"/>
    <x v="1"/>
    <n v="3"/>
    <s v="California"/>
    <s v="Fresno County"/>
    <n v="1"/>
    <n v="12"/>
    <x v="1"/>
  </r>
  <r>
    <s v="TX502042"/>
    <s v="Sunglasses"/>
    <n v="10"/>
    <n v="36.200000000000003"/>
    <n v="362"/>
    <d v="2025-03-16T00:00:00"/>
    <d v="2025-03-18T00:00:00"/>
    <s v="M"/>
    <x v="0"/>
    <n v="5"/>
    <s v="California"/>
    <s v="Fresno County"/>
    <n v="2"/>
    <n v="12"/>
    <x v="1"/>
  </r>
  <r>
    <s v="TX502043"/>
    <s v="Jeans"/>
    <n v="1"/>
    <n v="53.2"/>
    <n v="53.2"/>
    <d v="2025-03-16T00:00:00"/>
    <d v="2025-03-17T00:00:00"/>
    <s v="F"/>
    <x v="0"/>
    <n v="3"/>
    <s v="California"/>
    <s v="Kern County"/>
    <n v="1"/>
    <n v="12"/>
    <x v="2"/>
  </r>
  <r>
    <s v="TX502044"/>
    <s v="Sneakers"/>
    <n v="14"/>
    <n v="176"/>
    <n v="2464"/>
    <d v="2025-03-16T00:00:00"/>
    <d v="2025-03-17T00:00:00"/>
    <s v="F"/>
    <x v="0"/>
    <n v="3"/>
    <s v="California"/>
    <s v="Los Angeles County"/>
    <n v="1"/>
    <n v="12"/>
    <x v="2"/>
  </r>
  <r>
    <s v="TX502045"/>
    <s v="Tank Tops"/>
    <n v="1"/>
    <n v="52.4"/>
    <n v="52.4"/>
    <d v="2025-03-16T00:00:00"/>
    <d v="2025-03-17T00:00:00"/>
    <s v="M"/>
    <x v="1"/>
    <n v="4"/>
    <s v="California"/>
    <s v="Los Angeles County"/>
    <n v="1"/>
    <n v="12"/>
    <x v="1"/>
  </r>
  <r>
    <s v="TX502046"/>
    <s v="Bikinis"/>
    <n v="3"/>
    <n v="48.2"/>
    <n v="144.60000000000002"/>
    <d v="2025-03-16T00:00:00"/>
    <d v="2025-03-17T00:00:00"/>
    <s v="F"/>
    <x v="1"/>
    <n v="5"/>
    <s v="California"/>
    <s v="Los Angeles County"/>
    <n v="1"/>
    <n v="12"/>
    <x v="2"/>
  </r>
  <r>
    <s v="TX502047"/>
    <s v="Crop Tops"/>
    <n v="1"/>
    <n v="51.6"/>
    <n v="51.6"/>
    <d v="2025-03-16T00:00:00"/>
    <d v="2025-03-20T00:00:00"/>
    <s v="F"/>
    <x v="2"/>
    <n v="3"/>
    <s v="California"/>
    <s v="Los Angeles County"/>
    <n v="4"/>
    <n v="12"/>
    <x v="2"/>
  </r>
  <r>
    <s v="TX502048"/>
    <s v="Shorts"/>
    <n v="4"/>
    <n v="33.700000000000003"/>
    <n v="134.80000000000001"/>
    <d v="2025-03-17T00:00:00"/>
    <d v="2025-03-18T00:00:00"/>
    <s v="M"/>
    <x v="0"/>
    <n v="4"/>
    <s v="California"/>
    <s v="Los Angeles County"/>
    <n v="1"/>
    <n v="12"/>
    <x v="1"/>
  </r>
  <r>
    <s v="TX502049"/>
    <s v="Graphic Tees"/>
    <n v="10"/>
    <n v="36.299999999999997"/>
    <n v="363"/>
    <d v="2025-03-17T00:00:00"/>
    <d v="2025-03-19T00:00:00"/>
    <s v="F"/>
    <x v="4"/>
    <n v="3"/>
    <s v="California"/>
    <s v="Los Angeles County"/>
    <n v="2"/>
    <n v="12"/>
    <x v="2"/>
  </r>
  <r>
    <s v="TX502050"/>
    <s v="T-Shirts"/>
    <n v="1"/>
    <n v="23.4"/>
    <n v="23.4"/>
    <d v="2025-03-17T00:00:00"/>
    <d v="2025-03-22T00:00:00"/>
    <s v="F"/>
    <x v="1"/>
    <n v="5"/>
    <s v="California"/>
    <s v="Los Angeles County"/>
    <n v="5"/>
    <n v="12"/>
    <x v="2"/>
  </r>
  <r>
    <s v="TX502051"/>
    <s v="Crop Tops"/>
    <n v="8"/>
    <n v="56.6"/>
    <n v="452.8"/>
    <d v="2025-03-17T00:00:00"/>
    <d v="2025-03-19T00:00:00"/>
    <s v="F"/>
    <x v="1"/>
    <n v="4"/>
    <s v="California"/>
    <s v="Los Angeles County"/>
    <n v="2"/>
    <n v="12"/>
    <x v="2"/>
  </r>
  <r>
    <s v="TX502052"/>
    <s v="Crop Tops"/>
    <n v="2"/>
    <n v="26.8"/>
    <n v="53.6"/>
    <d v="2025-03-17T00:00:00"/>
    <d v="2025-03-18T00:00:00"/>
    <s v="M"/>
    <x v="0"/>
    <n v="4"/>
    <s v="California"/>
    <s v="Nevada County"/>
    <n v="1"/>
    <n v="12"/>
    <x v="1"/>
  </r>
  <r>
    <s v="TX502053"/>
    <s v="Shorts"/>
    <n v="3"/>
    <n v="11.3"/>
    <n v="33.900000000000006"/>
    <d v="2025-03-17T00:00:00"/>
    <d v="2025-03-19T00:00:00"/>
    <s v="M"/>
    <x v="2"/>
    <n v="4"/>
    <s v="California"/>
    <s v="Orange County"/>
    <n v="2"/>
    <n v="12"/>
    <x v="1"/>
  </r>
  <r>
    <s v="TX502054"/>
    <s v="Jeans"/>
    <n v="3"/>
    <n v="60.1"/>
    <n v="180.3"/>
    <d v="2025-03-17T00:00:00"/>
    <d v="2025-03-20T00:00:00"/>
    <s v="F"/>
    <x v="0"/>
    <n v="4"/>
    <s v="California"/>
    <s v="San Bernardino County"/>
    <n v="3"/>
    <n v="12"/>
    <x v="2"/>
  </r>
  <r>
    <s v="TX502055"/>
    <s v="Shorts"/>
    <n v="11"/>
    <n v="27.7"/>
    <n v="304.7"/>
    <d v="2025-03-17T00:00:00"/>
    <d v="2025-03-22T00:00:00"/>
    <s v="F"/>
    <x v="0"/>
    <n v="4"/>
    <s v="California"/>
    <s v="San Diego County"/>
    <n v="5"/>
    <n v="12"/>
    <x v="2"/>
  </r>
  <r>
    <s v="TX502056"/>
    <s v="Crop Tops"/>
    <n v="1"/>
    <n v="71.400000000000006"/>
    <n v="71.400000000000006"/>
    <d v="2025-03-17T00:00:00"/>
    <d v="2025-03-20T00:00:00"/>
    <s v="M"/>
    <x v="0"/>
    <n v="5"/>
    <s v="California"/>
    <s v="San Diego County"/>
    <n v="3"/>
    <n v="12"/>
    <x v="1"/>
  </r>
  <r>
    <s v="TX502057"/>
    <s v="Sneakers"/>
    <n v="2"/>
    <n v="66.7"/>
    <n v="133.4"/>
    <d v="2025-03-17T00:00:00"/>
    <d v="2025-03-18T00:00:00"/>
    <s v="F"/>
    <x v="0"/>
    <n v="5"/>
    <s v="California"/>
    <s v="San Diego County"/>
    <n v="1"/>
    <n v="12"/>
    <x v="2"/>
  </r>
  <r>
    <s v="TX502058"/>
    <s v="Tote Bags"/>
    <n v="5"/>
    <n v="39.1"/>
    <n v="195.5"/>
    <d v="2025-03-17T00:00:00"/>
    <d v="2025-03-18T00:00:00"/>
    <s v="F"/>
    <x v="0"/>
    <n v="4"/>
    <s v="California"/>
    <s v="San Diego County"/>
    <n v="1"/>
    <n v="12"/>
    <x v="2"/>
  </r>
  <r>
    <s v="TX502059"/>
    <s v="T-Shirts"/>
    <n v="4"/>
    <n v="24.9"/>
    <n v="99.6"/>
    <d v="2025-03-17T00:00:00"/>
    <d v="2025-03-22T00:00:00"/>
    <s v="M"/>
    <x v="1"/>
    <n v="5"/>
    <s v="California"/>
    <s v="San Diego County"/>
    <n v="5"/>
    <n v="12"/>
    <x v="1"/>
  </r>
  <r>
    <s v="TX502060"/>
    <s v="Sandals"/>
    <n v="5"/>
    <n v="29.2"/>
    <n v="146"/>
    <d v="2025-03-17T00:00:00"/>
    <d v="2025-03-18T00:00:00"/>
    <s v="M"/>
    <x v="0"/>
    <n v="5"/>
    <s v="California"/>
    <s v="San Francisco"/>
    <n v="1"/>
    <n v="12"/>
    <x v="1"/>
  </r>
  <r>
    <s v="TX502061"/>
    <s v="Tote Bags"/>
    <n v="14"/>
    <n v="28.3"/>
    <n v="396.2"/>
    <d v="2025-03-17T00:00:00"/>
    <d v="2025-03-19T00:00:00"/>
    <s v="F"/>
    <x v="1"/>
    <n v="4"/>
    <s v="California"/>
    <s v="Santa Clara County"/>
    <n v="2"/>
    <n v="12"/>
    <x v="2"/>
  </r>
  <r>
    <s v="TX502062"/>
    <s v="Sundresses"/>
    <n v="3"/>
    <n v="37.799999999999997"/>
    <n v="113.39999999999999"/>
    <d v="2025-03-17T00:00:00"/>
    <d v="2025-03-18T00:00:00"/>
    <s v="F"/>
    <x v="0"/>
    <n v="3"/>
    <s v="California"/>
    <s v="Santa Clara County"/>
    <n v="1"/>
    <n v="12"/>
    <x v="2"/>
  </r>
  <r>
    <s v="TX502063"/>
    <s v="Baseball Caps"/>
    <n v="7"/>
    <n v="28.1"/>
    <n v="196.70000000000002"/>
    <d v="2025-03-17T00:00:00"/>
    <d v="2025-03-23T00:00:00"/>
    <s v="F"/>
    <x v="2"/>
    <n v="4"/>
    <s v="California"/>
    <s v="Santa Clara County"/>
    <n v="6"/>
    <n v="12"/>
    <x v="2"/>
  </r>
  <r>
    <s v="TX502064"/>
    <s v="Tank Tops"/>
    <n v="3"/>
    <n v="59.7"/>
    <n v="179.10000000000002"/>
    <d v="2025-03-17T00:00:00"/>
    <d v="2025-03-19T00:00:00"/>
    <s v="F"/>
    <x v="2"/>
    <n v="4"/>
    <s v="California"/>
    <s v="Santa Clara County"/>
    <n v="2"/>
    <n v="12"/>
    <x v="2"/>
  </r>
  <r>
    <s v="TX502065"/>
    <s v="Sunglasses"/>
    <n v="1"/>
    <n v="71.900000000000006"/>
    <n v="71.900000000000006"/>
    <d v="2025-03-17T00:00:00"/>
    <d v="2025-03-18T00:00:00"/>
    <s v="M"/>
    <x v="1"/>
    <n v="3"/>
    <s v="California"/>
    <s v="Santa Clara County"/>
    <n v="1"/>
    <n v="12"/>
    <x v="1"/>
  </r>
  <r>
    <s v="TX502066"/>
    <s v="Tank Tops"/>
    <n v="2"/>
    <n v="56.9"/>
    <n v="113.8"/>
    <d v="2025-03-17T00:00:00"/>
    <d v="2025-03-18T00:00:00"/>
    <s v="M"/>
    <x v="2"/>
    <n v="4"/>
    <s v="California"/>
    <s v="Ventura County"/>
    <n v="1"/>
    <n v="12"/>
    <x v="1"/>
  </r>
  <r>
    <s v="TX502067"/>
    <s v="T-Shirts"/>
    <n v="2"/>
    <n v="15.8"/>
    <n v="31.6"/>
    <d v="2025-03-17T00:00:00"/>
    <d v="2025-03-20T00:00:00"/>
    <s v="F"/>
    <x v="2"/>
    <n v="3"/>
    <s v="California"/>
    <s v="Contra Costa County"/>
    <n v="3"/>
    <n v="12"/>
    <x v="2"/>
  </r>
  <r>
    <s v="TX502068"/>
    <s v="Maxi Dresses"/>
    <n v="4"/>
    <n v="61.7"/>
    <n v="246.8"/>
    <d v="2025-03-17T00:00:00"/>
    <d v="2025-03-19T00:00:00"/>
    <s v="F"/>
    <x v="2"/>
    <n v="4"/>
    <s v="California"/>
    <s v="Kern County"/>
    <n v="2"/>
    <n v="12"/>
    <x v="2"/>
  </r>
  <r>
    <s v="TX502069"/>
    <s v="Sneakers"/>
    <n v="10"/>
    <n v="105.2"/>
    <n v="1052"/>
    <d v="2025-03-17T00:00:00"/>
    <d v="2025-03-19T00:00:00"/>
    <s v="M"/>
    <x v="1"/>
    <n v="2"/>
    <s v="California"/>
    <s v="Los Angeles County"/>
    <n v="2"/>
    <n v="12"/>
    <x v="1"/>
  </r>
  <r>
    <s v="TX502070"/>
    <s v="Shorts"/>
    <n v="2"/>
    <n v="17"/>
    <n v="34"/>
    <d v="2025-03-17T00:00:00"/>
    <d v="2025-03-19T00:00:00"/>
    <s v="F"/>
    <x v="2"/>
    <n v="4"/>
    <s v="California"/>
    <s v="Los Angeles County"/>
    <n v="2"/>
    <n v="12"/>
    <x v="2"/>
  </r>
  <r>
    <s v="TX502071"/>
    <s v="Jeans"/>
    <n v="3"/>
    <n v="84.1"/>
    <n v="252.29999999999998"/>
    <d v="2025-03-17T00:00:00"/>
    <d v="2025-03-18T00:00:00"/>
    <s v="M"/>
    <x v="2"/>
    <n v="4"/>
    <s v="California"/>
    <s v="Los Angeles County"/>
    <n v="1"/>
    <n v="12"/>
    <x v="1"/>
  </r>
  <r>
    <s v="TX502072"/>
    <s v="Workout Tops"/>
    <n v="4"/>
    <n v="59.5"/>
    <n v="238"/>
    <d v="2025-03-17T00:00:00"/>
    <d v="2025-03-22T00:00:00"/>
    <s v="M"/>
    <x v="0"/>
    <n v="5"/>
    <s v="California"/>
    <s v="Los Angeles County"/>
    <n v="5"/>
    <n v="12"/>
    <x v="1"/>
  </r>
  <r>
    <s v="TX502073"/>
    <s v="T-Shirts"/>
    <n v="2"/>
    <n v="57.5"/>
    <n v="115"/>
    <d v="2025-03-17T00:00:00"/>
    <d v="2025-03-19T00:00:00"/>
    <s v="M"/>
    <x v="1"/>
    <n v="5"/>
    <s v="California"/>
    <s v="Los Angeles County"/>
    <n v="2"/>
    <n v="12"/>
    <x v="1"/>
  </r>
  <r>
    <s v="TX502074"/>
    <s v="T-Shirts"/>
    <n v="1"/>
    <n v="34.299999999999997"/>
    <n v="34.299999999999997"/>
    <d v="2025-03-17T00:00:00"/>
    <d v="2025-03-18T00:00:00"/>
    <s v="F"/>
    <x v="4"/>
    <n v="5"/>
    <s v="California"/>
    <s v="Los Angeles County"/>
    <n v="1"/>
    <n v="12"/>
    <x v="2"/>
  </r>
  <r>
    <s v="TX502075"/>
    <s v="Sandals"/>
    <n v="2"/>
    <n v="27.8"/>
    <n v="55.6"/>
    <d v="2025-03-18T00:00:00"/>
    <d v="2025-03-20T00:00:00"/>
    <s v="F"/>
    <x v="0"/>
    <n v="4"/>
    <s v="California"/>
    <s v="Los Angeles County"/>
    <n v="2"/>
    <n v="12"/>
    <x v="2"/>
  </r>
  <r>
    <s v="TX502076"/>
    <s v="Casual Dresses"/>
    <n v="2"/>
    <n v="85"/>
    <n v="170"/>
    <d v="2025-03-18T00:00:00"/>
    <d v="2025-03-18T00:00:00"/>
    <s v="M"/>
    <x v="2"/>
    <n v="5"/>
    <s v="California"/>
    <s v="Los Angeles County"/>
    <n v="0"/>
    <n v="12"/>
    <x v="1"/>
  </r>
  <r>
    <s v="TX502077"/>
    <s v="Jeans"/>
    <n v="2"/>
    <n v="95"/>
    <n v="190"/>
    <d v="2025-03-18T00:00:00"/>
    <d v="2025-03-20T00:00:00"/>
    <s v="F"/>
    <x v="0"/>
    <n v="4"/>
    <s v="California"/>
    <s v="Los Angeles County"/>
    <n v="2"/>
    <n v="12"/>
    <x v="2"/>
  </r>
  <r>
    <s v="TX502078"/>
    <s v="Sunglasses"/>
    <n v="2"/>
    <n v="32"/>
    <n v="64"/>
    <d v="2025-03-18T00:00:00"/>
    <d v="2025-03-20T00:00:00"/>
    <s v="M"/>
    <x v="0"/>
    <n v="3"/>
    <s v="California"/>
    <s v="Los Angeles County"/>
    <n v="2"/>
    <n v="12"/>
    <x v="1"/>
  </r>
  <r>
    <s v="TX502079"/>
    <s v="Sneakers"/>
    <n v="2"/>
    <n v="65.2"/>
    <n v="130.4"/>
    <d v="2025-03-18T00:00:00"/>
    <d v="2025-03-19T00:00:00"/>
    <s v="F"/>
    <x v="1"/>
    <n v="4"/>
    <s v="California"/>
    <s v="Los Angeles County"/>
    <n v="1"/>
    <n v="12"/>
    <x v="2"/>
  </r>
  <r>
    <s v="TX502080"/>
    <s v="Pajama Sets"/>
    <n v="4"/>
    <n v="22"/>
    <n v="88"/>
    <d v="2025-03-18T00:00:00"/>
    <d v="2025-03-19T00:00:00"/>
    <s v="M"/>
    <x v="1"/>
    <n v="5"/>
    <s v="California"/>
    <s v="Los Angeles County"/>
    <n v="1"/>
    <n v="12"/>
    <x v="1"/>
  </r>
  <r>
    <s v="TX502081"/>
    <s v="Crop Tops"/>
    <n v="3"/>
    <n v="69.400000000000006"/>
    <n v="208.20000000000002"/>
    <d v="2025-03-18T00:00:00"/>
    <d v="2025-03-21T00:00:00"/>
    <s v="M"/>
    <x v="1"/>
    <n v="5"/>
    <s v="California"/>
    <s v="Los Angeles County"/>
    <n v="3"/>
    <n v="12"/>
    <x v="1"/>
  </r>
  <r>
    <s v="TX502082"/>
    <s v="Bikinis"/>
    <n v="6"/>
    <n v="31.5"/>
    <n v="189"/>
    <d v="2025-03-18T00:00:00"/>
    <d v="2025-03-20T00:00:00"/>
    <s v="F"/>
    <x v="0"/>
    <n v="5"/>
    <s v="California"/>
    <s v="Los Angeles County"/>
    <n v="2"/>
    <n v="12"/>
    <x v="2"/>
  </r>
  <r>
    <s v="TX502083"/>
    <s v="Jeans"/>
    <n v="1"/>
    <n v="45.8"/>
    <n v="45.8"/>
    <d v="2025-03-18T00:00:00"/>
    <d v="2025-03-22T00:00:00"/>
    <s v="O"/>
    <x v="0"/>
    <n v="4"/>
    <s v="California"/>
    <s v="Los Angeles County"/>
    <n v="4"/>
    <n v="12"/>
    <x v="3"/>
  </r>
  <r>
    <s v="TX502084"/>
    <s v="Jewelry"/>
    <n v="4"/>
    <n v="12.8"/>
    <n v="51.2"/>
    <d v="2025-03-18T00:00:00"/>
    <d v="2025-03-25T00:00:00"/>
    <s v="F"/>
    <x v="1"/>
    <n v="3"/>
    <s v="California"/>
    <s v="Placer County"/>
    <n v="7"/>
    <n v="12"/>
    <x v="2"/>
  </r>
  <r>
    <s v="TX502085"/>
    <s v="Sandals"/>
    <n v="3"/>
    <n v="115.3"/>
    <n v="345.9"/>
    <d v="2025-03-18T00:00:00"/>
    <d v="2025-03-19T00:00:00"/>
    <s v="F"/>
    <x v="2"/>
    <n v="5"/>
    <s v="California"/>
    <s v="Sacramento County"/>
    <n v="1"/>
    <n v="12"/>
    <x v="2"/>
  </r>
  <r>
    <s v="TX502086"/>
    <s v="Sandals"/>
    <n v="2"/>
    <n v="85"/>
    <n v="170"/>
    <d v="2025-03-18T00:00:00"/>
    <d v="2025-03-20T00:00:00"/>
    <s v="F"/>
    <x v="1"/>
    <n v="4"/>
    <s v="California"/>
    <s v="San Bernardino County"/>
    <n v="2"/>
    <n v="12"/>
    <x v="2"/>
  </r>
  <r>
    <s v="TX502087"/>
    <s v="T-Shirts"/>
    <n v="3"/>
    <n v="56.6"/>
    <n v="169.8"/>
    <d v="2025-03-18T00:00:00"/>
    <d v="2025-03-19T00:00:00"/>
    <s v="F"/>
    <x v="1"/>
    <n v="5"/>
    <s v="California"/>
    <s v="San Bernardino County"/>
    <n v="1"/>
    <n v="12"/>
    <x v="2"/>
  </r>
  <r>
    <s v="TX502088"/>
    <s v="Crop Tops"/>
    <n v="27"/>
    <n v="46.3"/>
    <n v="1250.0999999999999"/>
    <d v="2025-03-18T00:00:00"/>
    <d v="2025-03-21T00:00:00"/>
    <s v="M"/>
    <x v="0"/>
    <n v="4"/>
    <s v="California"/>
    <s v="San Bernardino County"/>
    <n v="3"/>
    <n v="12"/>
    <x v="1"/>
  </r>
  <r>
    <s v="TX502089"/>
    <s v="Baseball Caps"/>
    <n v="4"/>
    <n v="23"/>
    <n v="92"/>
    <d v="2025-03-18T00:00:00"/>
    <d v="2025-03-22T00:00:00"/>
    <s v="M"/>
    <x v="3"/>
    <n v="5"/>
    <s v="California"/>
    <s v="San Bernardino County"/>
    <n v="4"/>
    <n v="12"/>
    <x v="1"/>
  </r>
  <r>
    <s v="TX502090"/>
    <s v="T-Shirts"/>
    <n v="6"/>
    <n v="42.1"/>
    <n v="252.60000000000002"/>
    <d v="2025-03-18T00:00:00"/>
    <d v="2025-03-20T00:00:00"/>
    <s v="M"/>
    <x v="4"/>
    <n v="4"/>
    <s v="California"/>
    <s v="San Diego County"/>
    <n v="2"/>
    <n v="12"/>
    <x v="1"/>
  </r>
  <r>
    <s v="TX502091"/>
    <s v="Sandals"/>
    <n v="7"/>
    <n v="57.4"/>
    <n v="401.8"/>
    <d v="2025-03-18T00:00:00"/>
    <d v="2025-03-22T00:00:00"/>
    <s v="F"/>
    <x v="1"/>
    <n v="2"/>
    <s v="California"/>
    <s v="San Diego County"/>
    <n v="4"/>
    <n v="12"/>
    <x v="2"/>
  </r>
  <r>
    <s v="TX502092"/>
    <s v="Shorts"/>
    <n v="6"/>
    <n v="13.2"/>
    <n v="79.199999999999989"/>
    <d v="2025-03-18T00:00:00"/>
    <d v="2025-03-22T00:00:00"/>
    <s v="M"/>
    <x v="2"/>
    <n v="4"/>
    <s v="California"/>
    <s v="San Diego County"/>
    <n v="4"/>
    <n v="12"/>
    <x v="1"/>
  </r>
  <r>
    <s v="TX502093"/>
    <s v="Jeans"/>
    <n v="3"/>
    <n v="52.3"/>
    <n v="156.89999999999998"/>
    <d v="2025-03-18T00:00:00"/>
    <d v="2025-03-19T00:00:00"/>
    <s v="M"/>
    <x v="1"/>
    <n v="4"/>
    <s v="California"/>
    <s v="San Diego County"/>
    <n v="1"/>
    <n v="12"/>
    <x v="1"/>
  </r>
  <r>
    <s v="TX502094"/>
    <s v="T-Shirts"/>
    <n v="2"/>
    <n v="15.7"/>
    <n v="31.4"/>
    <d v="2025-03-18T00:00:00"/>
    <d v="2025-03-21T00:00:00"/>
    <s v="M"/>
    <x v="1"/>
    <n v="5"/>
    <s v="California"/>
    <s v="San Diego County"/>
    <n v="3"/>
    <n v="12"/>
    <x v="1"/>
  </r>
  <r>
    <s v="TX502095"/>
    <s v="Hoodies &amp; Sweatshirts"/>
    <n v="3"/>
    <n v="35"/>
    <n v="105"/>
    <d v="2025-03-18T00:00:00"/>
    <d v="2025-03-21T00:00:00"/>
    <s v="F"/>
    <x v="1"/>
    <n v="5"/>
    <s v="California"/>
    <s v="San Mateo County"/>
    <n v="3"/>
    <n v="12"/>
    <x v="2"/>
  </r>
  <r>
    <s v="TX502096"/>
    <s v="Graphic Tees"/>
    <n v="3"/>
    <n v="26.6"/>
    <n v="79.800000000000011"/>
    <d v="2025-03-18T00:00:00"/>
    <d v="2025-03-18T00:00:00"/>
    <s v="M"/>
    <x v="1"/>
    <n v="5"/>
    <s v="California"/>
    <s v="Santa Clara County"/>
    <n v="0"/>
    <n v="12"/>
    <x v="1"/>
  </r>
  <r>
    <s v="TX502097"/>
    <s v="Graphic Tees"/>
    <n v="8"/>
    <n v="47.9"/>
    <n v="383.2"/>
    <d v="2025-03-19T00:00:00"/>
    <d v="2025-03-20T00:00:00"/>
    <s v="F"/>
    <x v="3"/>
    <n v="5"/>
    <s v="California"/>
    <s v="Tulare County"/>
    <n v="1"/>
    <n v="12"/>
    <x v="2"/>
  </r>
  <r>
    <s v="TX502098"/>
    <s v="Sandals"/>
    <n v="1"/>
    <n v="80.099999999999994"/>
    <n v="80.099999999999994"/>
    <d v="2025-03-19T00:00:00"/>
    <d v="2025-03-20T00:00:00"/>
    <s v="M"/>
    <x v="2"/>
    <n v="4"/>
    <s v="California"/>
    <s v="Alameda County"/>
    <n v="1"/>
    <n v="12"/>
    <x v="1"/>
  </r>
  <r>
    <s v="TX502099"/>
    <s v="Jeans"/>
    <n v="5"/>
    <n v="50.4"/>
    <n v="252"/>
    <d v="2025-03-19T00:00:00"/>
    <d v="2025-03-20T00:00:00"/>
    <s v="M"/>
    <x v="1"/>
    <n v="5"/>
    <s v="California"/>
    <s v="Alameda County"/>
    <n v="1"/>
    <n v="12"/>
    <x v="1"/>
  </r>
  <r>
    <s v="TX502100"/>
    <s v="Bikinis"/>
    <n v="7"/>
    <n v="43.3"/>
    <n v="303.09999999999997"/>
    <d v="2025-03-19T00:00:00"/>
    <d v="2025-03-20T00:00:00"/>
    <s v="M"/>
    <x v="2"/>
    <n v="4"/>
    <s v="California"/>
    <s v="Alameda County"/>
    <n v="1"/>
    <n v="12"/>
    <x v="1"/>
  </r>
  <r>
    <s v="TX502101"/>
    <s v="Bikinis"/>
    <n v="4"/>
    <n v="57.5"/>
    <n v="230"/>
    <d v="2025-03-19T00:00:00"/>
    <d v="2025-03-20T00:00:00"/>
    <s v="F"/>
    <x v="1"/>
    <n v="5"/>
    <s v="California"/>
    <s v="Contra Costa County"/>
    <n v="1"/>
    <n v="12"/>
    <x v="2"/>
  </r>
  <r>
    <s v="TX502102"/>
    <s v="Sundresses"/>
    <n v="13"/>
    <n v="24.8"/>
    <n v="322.40000000000003"/>
    <d v="2025-03-19T00:00:00"/>
    <d v="2025-03-20T00:00:00"/>
    <s v="M"/>
    <x v="0"/>
    <n v="4"/>
    <s v="California"/>
    <s v="Del Norte County"/>
    <n v="1"/>
    <n v="12"/>
    <x v="1"/>
  </r>
  <r>
    <s v="TX502103"/>
    <s v="Sneakers"/>
    <n v="9"/>
    <n v="85.7"/>
    <n v="771.30000000000007"/>
    <d v="2025-03-19T00:00:00"/>
    <d v="2025-03-20T00:00:00"/>
    <s v="F"/>
    <x v="0"/>
    <n v="4"/>
    <s v="California"/>
    <s v="El Dorado County"/>
    <n v="1"/>
    <n v="12"/>
    <x v="2"/>
  </r>
  <r>
    <s v="TX502104"/>
    <s v="Hoodies &amp; Sweatshirts"/>
    <n v="1"/>
    <n v="47.1"/>
    <n v="47.1"/>
    <d v="2025-03-19T00:00:00"/>
    <d v="2025-03-21T00:00:00"/>
    <s v="F"/>
    <x v="0"/>
    <n v="4"/>
    <s v="California"/>
    <s v="Fresno County"/>
    <n v="2"/>
    <n v="12"/>
    <x v="2"/>
  </r>
  <r>
    <s v="TX502105"/>
    <s v="Sandals"/>
    <n v="10"/>
    <n v="83.2"/>
    <n v="832"/>
    <d v="2025-03-19T00:00:00"/>
    <d v="2025-03-23T00:00:00"/>
    <s v="F"/>
    <x v="0"/>
    <n v="4"/>
    <s v="California"/>
    <s v="Imperial County"/>
    <n v="4"/>
    <n v="12"/>
    <x v="2"/>
  </r>
  <r>
    <s v="TX502106"/>
    <s v="Sneakers"/>
    <n v="3"/>
    <n v="157"/>
    <n v="471"/>
    <d v="2025-03-19T00:00:00"/>
    <d v="2025-03-21T00:00:00"/>
    <s v="F"/>
    <x v="0"/>
    <n v="5"/>
    <s v="California"/>
    <s v="Kern County"/>
    <n v="2"/>
    <n v="12"/>
    <x v="2"/>
  </r>
  <r>
    <s v="TX502107"/>
    <s v="Sunglasses"/>
    <n v="4"/>
    <n v="33.700000000000003"/>
    <n v="134.80000000000001"/>
    <d v="2025-03-19T00:00:00"/>
    <d v="2025-03-20T00:00:00"/>
    <s v="M"/>
    <x v="2"/>
    <n v="5"/>
    <s v="California"/>
    <s v="Kern County"/>
    <n v="1"/>
    <n v="12"/>
    <x v="1"/>
  </r>
  <r>
    <s v="TX502108"/>
    <s v="Sneakers"/>
    <n v="3"/>
    <n v="60.8"/>
    <n v="182.39999999999998"/>
    <d v="2025-03-19T00:00:00"/>
    <d v="2025-03-23T00:00:00"/>
    <s v="F"/>
    <x v="1"/>
    <n v="3"/>
    <s v="California"/>
    <s v="Los Angeles County"/>
    <n v="4"/>
    <n v="12"/>
    <x v="2"/>
  </r>
  <r>
    <s v="TX502109"/>
    <s v="Hoodies &amp; Sweatshirts"/>
    <n v="1"/>
    <n v="57.6"/>
    <n v="57.6"/>
    <d v="2025-03-19T00:00:00"/>
    <d v="2025-03-20T00:00:00"/>
    <s v="M"/>
    <x v="1"/>
    <n v="2"/>
    <s v="California"/>
    <s v="Los Angeles County"/>
    <n v="1"/>
    <n v="12"/>
    <x v="1"/>
  </r>
  <r>
    <s v="TX502110"/>
    <s v="Bikinis"/>
    <n v="1"/>
    <n v="32"/>
    <n v="32"/>
    <d v="2025-03-19T00:00:00"/>
    <d v="2025-03-21T00:00:00"/>
    <s v="M"/>
    <x v="0"/>
    <n v="4"/>
    <s v="California"/>
    <s v="Los Angeles County"/>
    <n v="2"/>
    <n v="12"/>
    <x v="1"/>
  </r>
  <r>
    <s v="TX502111"/>
    <s v="Bikinis"/>
    <n v="4"/>
    <n v="23.5"/>
    <n v="94"/>
    <d v="2025-03-19T00:00:00"/>
    <d v="2025-03-20T00:00:00"/>
    <s v="F"/>
    <x v="0"/>
    <n v="5"/>
    <s v="California"/>
    <s v="Los Angeles County"/>
    <n v="1"/>
    <n v="12"/>
    <x v="2"/>
  </r>
  <r>
    <s v="TX502112"/>
    <s v="Casual Dresses"/>
    <n v="3"/>
    <n v="44.8"/>
    <n v="134.39999999999998"/>
    <d v="2025-03-19T00:00:00"/>
    <d v="2025-03-20T00:00:00"/>
    <s v="O"/>
    <x v="4"/>
    <n v="4"/>
    <s v="California"/>
    <s v="Los Angeles County"/>
    <n v="1"/>
    <n v="12"/>
    <x v="3"/>
  </r>
  <r>
    <s v="TX502113"/>
    <s v="Shorts"/>
    <n v="8"/>
    <n v="11.7"/>
    <n v="93.6"/>
    <d v="2025-03-19T00:00:00"/>
    <d v="2025-03-20T00:00:00"/>
    <s v="M"/>
    <x v="2"/>
    <n v="5"/>
    <s v="California"/>
    <s v="Los Angeles County"/>
    <n v="1"/>
    <n v="12"/>
    <x v="1"/>
  </r>
  <r>
    <s v="TX502114"/>
    <s v="Hoodies &amp; Sweatshirts"/>
    <n v="2"/>
    <n v="38.799999999999997"/>
    <n v="77.599999999999994"/>
    <d v="2025-03-19T00:00:00"/>
    <d v="2025-03-22T00:00:00"/>
    <s v="F"/>
    <x v="2"/>
    <n v="4"/>
    <s v="California"/>
    <s v="Los Angeles County"/>
    <n v="3"/>
    <n v="12"/>
    <x v="2"/>
  </r>
  <r>
    <s v="TX502115"/>
    <s v="Sandals"/>
    <n v="14"/>
    <n v="86.9"/>
    <n v="1216.6000000000001"/>
    <d v="2025-03-19T00:00:00"/>
    <d v="2025-03-24T00:00:00"/>
    <s v="F"/>
    <x v="1"/>
    <n v="4"/>
    <s v="California"/>
    <s v="Los Angeles County"/>
    <n v="5"/>
    <n v="12"/>
    <x v="2"/>
  </r>
  <r>
    <s v="TX502116"/>
    <s v="T-Shirts"/>
    <n v="1"/>
    <n v="18.3"/>
    <n v="18.3"/>
    <d v="2025-03-19T00:00:00"/>
    <d v="2025-03-20T00:00:00"/>
    <s v="F"/>
    <x v="0"/>
    <n v="4"/>
    <s v="California"/>
    <s v="Los Angeles County"/>
    <n v="1"/>
    <n v="12"/>
    <x v="2"/>
  </r>
  <r>
    <s v="TX502117"/>
    <s v="Sandals"/>
    <n v="1"/>
    <n v="47.5"/>
    <n v="47.5"/>
    <d v="2025-03-19T00:00:00"/>
    <d v="2025-03-23T00:00:00"/>
    <s v="M"/>
    <x v="4"/>
    <n v="5"/>
    <s v="California"/>
    <s v="Los Angeles County"/>
    <n v="4"/>
    <n v="12"/>
    <x v="1"/>
  </r>
  <r>
    <s v="TX502118"/>
    <s v="Tank Tops"/>
    <n v="2"/>
    <n v="78.599999999999994"/>
    <n v="157.19999999999999"/>
    <d v="2025-03-19T00:00:00"/>
    <d v="2025-03-20T00:00:00"/>
    <s v="M"/>
    <x v="2"/>
    <n v="5"/>
    <s v="California"/>
    <s v="Los Angeles County"/>
    <n v="1"/>
    <n v="12"/>
    <x v="1"/>
  </r>
  <r>
    <s v="TX502119"/>
    <s v="Jeans"/>
    <n v="4"/>
    <n v="87.3"/>
    <n v="349.2"/>
    <d v="2025-03-19T00:00:00"/>
    <d v="2025-03-20T00:00:00"/>
    <s v="M"/>
    <x v="0"/>
    <n v="4"/>
    <s v="California"/>
    <s v="Los Angeles County"/>
    <n v="1"/>
    <n v="12"/>
    <x v="1"/>
  </r>
  <r>
    <s v="TX502120"/>
    <s v="Sundresses"/>
    <n v="2"/>
    <n v="63.2"/>
    <n v="126.4"/>
    <d v="2025-03-19T00:00:00"/>
    <d v="2025-03-19T00:00:00"/>
    <s v="M"/>
    <x v="4"/>
    <n v="3"/>
    <s v="California"/>
    <s v="Los Angeles County"/>
    <n v="0"/>
    <n v="12"/>
    <x v="1"/>
  </r>
  <r>
    <s v="TX502121"/>
    <s v="Sandals"/>
    <n v="5"/>
    <n v="33.700000000000003"/>
    <n v="168.5"/>
    <d v="2025-03-19T00:00:00"/>
    <d v="2025-03-20T00:00:00"/>
    <s v="F"/>
    <x v="0"/>
    <n v="4"/>
    <s v="California"/>
    <s v="Los Angeles County"/>
    <n v="1"/>
    <n v="12"/>
    <x v="2"/>
  </r>
  <r>
    <s v="TX502122"/>
    <s v="Sneakers"/>
    <n v="3"/>
    <n v="107.4"/>
    <n v="322.20000000000005"/>
    <d v="2025-03-19T00:00:00"/>
    <d v="2025-04-01T00:00:00"/>
    <s v="F"/>
    <x v="1"/>
    <n v="5"/>
    <s v="California"/>
    <s v="Los Angeles County"/>
    <n v="13"/>
    <n v="12"/>
    <x v="2"/>
  </r>
  <r>
    <s v="TX502123"/>
    <s v="Graphic Tees"/>
    <n v="4"/>
    <n v="22.2"/>
    <n v="88.8"/>
    <d v="2025-03-19T00:00:00"/>
    <d v="2025-03-20T00:00:00"/>
    <s v=""/>
    <x v="1"/>
    <n v="5"/>
    <s v="California"/>
    <s v="Merced County"/>
    <n v="1"/>
    <n v="12"/>
    <x v="0"/>
  </r>
  <r>
    <s v="TX502124"/>
    <s v="Leggings"/>
    <n v="3"/>
    <n v="52.8"/>
    <n v="158.39999999999998"/>
    <d v="2025-03-19T00:00:00"/>
    <d v="2025-03-20T00:00:00"/>
    <s v="M"/>
    <x v="3"/>
    <n v="5"/>
    <s v="California"/>
    <s v="Merced County"/>
    <n v="1"/>
    <n v="12"/>
    <x v="1"/>
  </r>
  <r>
    <s v="TX502125"/>
    <s v="T-Shirts"/>
    <n v="3"/>
    <n v="41.5"/>
    <n v="124.5"/>
    <d v="2025-03-19T00:00:00"/>
    <d v="2025-03-22T00:00:00"/>
    <s v="F"/>
    <x v="0"/>
    <n v="4"/>
    <s v="California"/>
    <s v="Orange County"/>
    <n v="3"/>
    <n v="12"/>
    <x v="2"/>
  </r>
  <r>
    <s v="TX502126"/>
    <s v="Casual Dresses"/>
    <n v="8"/>
    <n v="103.5"/>
    <n v="828"/>
    <d v="2025-03-19T00:00:00"/>
    <d v="2025-03-22T00:00:00"/>
    <s v="F"/>
    <x v="0"/>
    <n v="5"/>
    <s v="California"/>
    <s v="Riverside County"/>
    <n v="3"/>
    <n v="12"/>
    <x v="2"/>
  </r>
  <r>
    <s v="TX502127"/>
    <s v="Graphic Tees"/>
    <n v="14"/>
    <n v="37.5"/>
    <n v="525"/>
    <d v="2025-03-19T00:00:00"/>
    <d v="2025-03-19T00:00:00"/>
    <s v="F"/>
    <x v="1"/>
    <n v="5"/>
    <s v="California"/>
    <s v="Sacramento County"/>
    <n v="0"/>
    <n v="12"/>
    <x v="2"/>
  </r>
  <r>
    <s v="TX502128"/>
    <s v="Crop Tops"/>
    <n v="8"/>
    <n v="44.4"/>
    <n v="355.2"/>
    <d v="2025-03-19T00:00:00"/>
    <d v="2025-03-25T00:00:00"/>
    <s v="F"/>
    <x v="3"/>
    <n v="5"/>
    <s v="California"/>
    <s v="San Bernardino County"/>
    <n v="6"/>
    <n v="12"/>
    <x v="2"/>
  </r>
  <r>
    <s v="TX502129"/>
    <s v="T-Shirts"/>
    <n v="3"/>
    <n v="26.2"/>
    <n v="78.599999999999994"/>
    <d v="2025-03-19T00:00:00"/>
    <d v="2025-03-20T00:00:00"/>
    <s v="M"/>
    <x v="0"/>
    <n v="4"/>
    <s v="California"/>
    <s v="San Diego County"/>
    <n v="1"/>
    <n v="12"/>
    <x v="1"/>
  </r>
  <r>
    <s v="TX502130"/>
    <s v="Tank Tops"/>
    <n v="7"/>
    <n v="32.200000000000003"/>
    <n v="225.40000000000003"/>
    <d v="2025-03-19T00:00:00"/>
    <d v="2025-03-20T00:00:00"/>
    <s v="F"/>
    <x v="1"/>
    <n v="5"/>
    <s v="California"/>
    <s v="San Diego County"/>
    <n v="1"/>
    <n v="12"/>
    <x v="2"/>
  </r>
  <r>
    <s v="TX502131"/>
    <s v="T-Shirts"/>
    <n v="1"/>
    <n v="17.399999999999999"/>
    <n v="17.399999999999999"/>
    <d v="2025-03-19T00:00:00"/>
    <d v="2025-03-23T00:00:00"/>
    <s v=""/>
    <x v="2"/>
    <n v="3"/>
    <s v="California"/>
    <s v="San Diego County"/>
    <n v="4"/>
    <n v="12"/>
    <x v="0"/>
  </r>
  <r>
    <s v="TX502132"/>
    <s v="T-Shirts"/>
    <n v="6"/>
    <n v="72.3"/>
    <n v="433.79999999999995"/>
    <d v="2025-03-19T00:00:00"/>
    <d v="2025-03-22T00:00:00"/>
    <s v="F"/>
    <x v="0"/>
    <n v="4"/>
    <s v="California"/>
    <s v="San Diego County"/>
    <n v="3"/>
    <n v="12"/>
    <x v="2"/>
  </r>
  <r>
    <s v="TX502133"/>
    <s v="T-Shirts"/>
    <n v="11"/>
    <n v="24.3"/>
    <n v="267.3"/>
    <d v="2025-03-19T00:00:00"/>
    <d v="2025-03-20T00:00:00"/>
    <s v="M"/>
    <x v="0"/>
    <n v="4"/>
    <s v="California"/>
    <s v="San Diego County"/>
    <n v="1"/>
    <n v="12"/>
    <x v="1"/>
  </r>
  <r>
    <s v="TX502134"/>
    <s v="Tote Bags"/>
    <n v="3"/>
    <n v="49.1"/>
    <n v="147.30000000000001"/>
    <d v="2025-03-19T00:00:00"/>
    <d v="2025-03-25T00:00:00"/>
    <s v="M"/>
    <x v="2"/>
    <n v="2"/>
    <s v="California"/>
    <s v="San Diego County"/>
    <n v="6"/>
    <n v="12"/>
    <x v="1"/>
  </r>
  <r>
    <s v="TX502135"/>
    <s v="Sneakers"/>
    <n v="10"/>
    <n v="234.7"/>
    <n v="2347"/>
    <d v="2025-03-19T00:00:00"/>
    <d v="2025-03-20T00:00:00"/>
    <s v="M"/>
    <x v="3"/>
    <n v="3"/>
    <s v="California"/>
    <s v="San Diego County"/>
    <n v="1"/>
    <n v="12"/>
    <x v="1"/>
  </r>
  <r>
    <s v="TX502136"/>
    <s v="Workout Tops"/>
    <n v="5"/>
    <n v="76.099999999999994"/>
    <n v="380.5"/>
    <d v="2025-03-19T00:00:00"/>
    <d v="2025-03-21T00:00:00"/>
    <s v="M"/>
    <x v="1"/>
    <n v="3"/>
    <s v="California"/>
    <s v="San Francisco"/>
    <n v="2"/>
    <n v="12"/>
    <x v="1"/>
  </r>
  <r>
    <s v="TX502137"/>
    <s v="Tank Tops"/>
    <n v="3"/>
    <n v="93.9"/>
    <n v="281.70000000000005"/>
    <d v="2025-03-19T00:00:00"/>
    <d v="2025-03-20T00:00:00"/>
    <s v="M"/>
    <x v="1"/>
    <n v="2"/>
    <s v="California"/>
    <s v="Santa Clara County"/>
    <n v="1"/>
    <n v="12"/>
    <x v="1"/>
  </r>
  <r>
    <s v="TX502138"/>
    <s v="Sneakers"/>
    <n v="4"/>
    <n v="187"/>
    <n v="748"/>
    <d v="2025-03-20T00:00:00"/>
    <d v="2025-03-23T00:00:00"/>
    <s v="M"/>
    <x v="0"/>
    <n v="4"/>
    <s v="California"/>
    <s v="Santa Clara County"/>
    <n v="3"/>
    <n v="12"/>
    <x v="1"/>
  </r>
  <r>
    <s v="TX502139"/>
    <s v="T-Shirts"/>
    <n v="2"/>
    <n v="18"/>
    <n v="36"/>
    <d v="2025-03-20T00:00:00"/>
    <d v="2025-03-21T00:00:00"/>
    <s v="F"/>
    <x v="1"/>
    <n v="5"/>
    <s v="California"/>
    <s v="Shasta County"/>
    <n v="1"/>
    <n v="12"/>
    <x v="2"/>
  </r>
  <r>
    <s v="TX502140"/>
    <s v="Graphic Tees"/>
    <n v="1"/>
    <n v="24.4"/>
    <n v="24.4"/>
    <d v="2025-03-20T00:00:00"/>
    <d v="2025-03-21T00:00:00"/>
    <s v="F"/>
    <x v="4"/>
    <n v="5"/>
    <s v="California"/>
    <s v="Alameda County"/>
    <n v="1"/>
    <n v="12"/>
    <x v="2"/>
  </r>
  <r>
    <s v="TX502141"/>
    <s v="Bikinis"/>
    <n v="2"/>
    <n v="38.799999999999997"/>
    <n v="77.599999999999994"/>
    <d v="2025-03-20T00:00:00"/>
    <d v="2025-03-21T00:00:00"/>
    <s v="M"/>
    <x v="4"/>
    <n v="3"/>
    <s v="California"/>
    <s v="Los Angeles County"/>
    <n v="1"/>
    <n v="12"/>
    <x v="1"/>
  </r>
  <r>
    <s v="TX502142"/>
    <s v="Workout Tops"/>
    <n v="1"/>
    <n v="59.7"/>
    <n v="59.7"/>
    <d v="2025-03-20T00:00:00"/>
    <d v="2025-03-23T00:00:00"/>
    <s v="M"/>
    <x v="3"/>
    <n v="4"/>
    <s v="California"/>
    <s v="Los Angeles County"/>
    <n v="3"/>
    <n v="12"/>
    <x v="1"/>
  </r>
  <r>
    <s v="TX502143"/>
    <s v="Hoodies &amp; Sweatshirts"/>
    <n v="1"/>
    <n v="31.2"/>
    <n v="31.2"/>
    <d v="2025-03-20T00:00:00"/>
    <d v="2025-03-21T00:00:00"/>
    <s v="M"/>
    <x v="1"/>
    <n v="5"/>
    <s v="California"/>
    <s v="Los Angeles County"/>
    <n v="1"/>
    <n v="12"/>
    <x v="1"/>
  </r>
  <r>
    <s v="TX502144"/>
    <s v="Shorts"/>
    <n v="1"/>
    <n v="16.8"/>
    <n v="16.8"/>
    <d v="2025-03-20T00:00:00"/>
    <d v="2025-03-21T00:00:00"/>
    <s v="F"/>
    <x v="2"/>
    <n v="3"/>
    <s v="California"/>
    <s v="Los Angeles County"/>
    <n v="1"/>
    <n v="12"/>
    <x v="2"/>
  </r>
  <r>
    <s v="TX502145"/>
    <s v="T-Shirts"/>
    <n v="1"/>
    <n v="46"/>
    <n v="46"/>
    <d v="2025-03-20T00:00:00"/>
    <d v="2025-03-21T00:00:00"/>
    <s v="M"/>
    <x v="0"/>
    <n v="4"/>
    <s v="California"/>
    <s v="Los Angeles County"/>
    <n v="1"/>
    <n v="12"/>
    <x v="1"/>
  </r>
  <r>
    <s v="TX502146"/>
    <s v="Sundresses"/>
    <n v="8"/>
    <n v="42.2"/>
    <n v="337.6"/>
    <d v="2025-03-20T00:00:00"/>
    <d v="2025-03-23T00:00:00"/>
    <s v="F"/>
    <x v="3"/>
    <n v="5"/>
    <s v="California"/>
    <s v="Los Angeles County"/>
    <n v="3"/>
    <n v="12"/>
    <x v="2"/>
  </r>
  <r>
    <s v="TX502147"/>
    <s v="Tank Tops"/>
    <n v="3"/>
    <n v="71.5"/>
    <n v="214.5"/>
    <d v="2025-03-20T00:00:00"/>
    <d v="2025-04-03T00:00:00"/>
    <s v="F"/>
    <x v="0"/>
    <n v="4"/>
    <s v="California"/>
    <s v="Los Angeles County"/>
    <n v="14"/>
    <n v="12"/>
    <x v="2"/>
  </r>
  <r>
    <s v="TX502148"/>
    <s v="Tank Tops"/>
    <n v="2"/>
    <n v="76.599999999999994"/>
    <n v="153.19999999999999"/>
    <d v="2025-03-20T00:00:00"/>
    <d v="2025-03-20T00:00:00"/>
    <s v="M"/>
    <x v="0"/>
    <n v="5"/>
    <s v="California"/>
    <s v="Los Angeles County"/>
    <n v="0"/>
    <n v="12"/>
    <x v="1"/>
  </r>
  <r>
    <s v="TX502149"/>
    <s v="Casual Dresses"/>
    <n v="2"/>
    <n v="87.3"/>
    <n v="174.6"/>
    <d v="2025-03-20T00:00:00"/>
    <d v="2025-03-28T00:00:00"/>
    <s v="F"/>
    <x v="3"/>
    <n v="5"/>
    <s v="California"/>
    <s v="Los Angeles County"/>
    <n v="8"/>
    <n v="12"/>
    <x v="2"/>
  </r>
  <r>
    <s v="TX502150"/>
    <s v="Tank Tops"/>
    <n v="1"/>
    <n v="63"/>
    <n v="63"/>
    <d v="2025-03-20T00:00:00"/>
    <d v="2025-03-23T00:00:00"/>
    <s v="M"/>
    <x v="3"/>
    <n v="4"/>
    <s v="California"/>
    <s v="Los Angeles County"/>
    <n v="3"/>
    <n v="12"/>
    <x v="1"/>
  </r>
  <r>
    <s v="TX502151"/>
    <s v="T-Shirts"/>
    <n v="2"/>
    <n v="41.7"/>
    <n v="83.4"/>
    <d v="2025-03-20T00:00:00"/>
    <d v="2025-03-21T00:00:00"/>
    <s v="F"/>
    <x v="4"/>
    <n v="3"/>
    <s v="California"/>
    <s v="Marin County"/>
    <n v="1"/>
    <n v="12"/>
    <x v="2"/>
  </r>
  <r>
    <s v="TX502152"/>
    <s v="Jeans"/>
    <n v="2"/>
    <n v="76.099999999999994"/>
    <n v="152.19999999999999"/>
    <d v="2025-03-20T00:00:00"/>
    <d v="2025-03-20T00:00:00"/>
    <s v="F"/>
    <x v="4"/>
    <n v="5"/>
    <s v="California"/>
    <s v="Napa County"/>
    <n v="0"/>
    <n v="12"/>
    <x v="2"/>
  </r>
  <r>
    <s v="TX502153"/>
    <s v="Tote Bags"/>
    <n v="2"/>
    <n v="28.5"/>
    <n v="57"/>
    <d v="2025-03-20T00:00:00"/>
    <d v="2025-03-21T00:00:00"/>
    <s v="F"/>
    <x v="0"/>
    <n v="5"/>
    <s v="California"/>
    <s v="Nevada County"/>
    <n v="1"/>
    <n v="12"/>
    <x v="2"/>
  </r>
  <r>
    <s v="TX502154"/>
    <s v="Shorts"/>
    <n v="4"/>
    <n v="32.1"/>
    <n v="128.4"/>
    <d v="2025-03-20T00:00:00"/>
    <d v="2025-03-21T00:00:00"/>
    <s v="F"/>
    <x v="1"/>
    <n v="5"/>
    <s v="California"/>
    <s v="Orange County"/>
    <n v="1"/>
    <n v="12"/>
    <x v="2"/>
  </r>
  <r>
    <s v="TX502155"/>
    <s v="Graphic Tees"/>
    <n v="3"/>
    <n v="39"/>
    <n v="117"/>
    <d v="2025-03-20T00:00:00"/>
    <d v="2025-03-23T00:00:00"/>
    <s v="M"/>
    <x v="1"/>
    <n v="5"/>
    <s v="California"/>
    <s v="Orange County"/>
    <n v="3"/>
    <n v="12"/>
    <x v="1"/>
  </r>
  <r>
    <s v="TX502156"/>
    <s v="Jeans"/>
    <n v="1"/>
    <n v="78.5"/>
    <n v="78.5"/>
    <d v="2025-03-20T00:00:00"/>
    <d v="2025-03-21T00:00:00"/>
    <s v="M"/>
    <x v="1"/>
    <n v="4"/>
    <s v="California"/>
    <s v="Sacramento County"/>
    <n v="1"/>
    <n v="12"/>
    <x v="1"/>
  </r>
  <r>
    <s v="TX502157"/>
    <s v="Graphic Tees"/>
    <n v="5"/>
    <n v="49.7"/>
    <n v="248.5"/>
    <d v="2025-03-20T00:00:00"/>
    <d v="2025-03-22T00:00:00"/>
    <s v="F"/>
    <x v="0"/>
    <n v="4"/>
    <s v="California"/>
    <s v="Sacramento County"/>
    <n v="2"/>
    <n v="12"/>
    <x v="2"/>
  </r>
  <r>
    <s v="TX502158"/>
    <s v="Tank Tops"/>
    <n v="4"/>
    <n v="68.400000000000006"/>
    <n v="273.60000000000002"/>
    <d v="2025-03-20T00:00:00"/>
    <d v="2025-03-21T00:00:00"/>
    <s v="F"/>
    <x v="2"/>
    <n v="5"/>
    <s v="California"/>
    <s v="San Bernardino County"/>
    <n v="1"/>
    <n v="12"/>
    <x v="2"/>
  </r>
  <r>
    <s v="TX502159"/>
    <s v="Workout Tops"/>
    <n v="2"/>
    <n v="72.900000000000006"/>
    <n v="145.80000000000001"/>
    <d v="2025-03-20T00:00:00"/>
    <d v="2025-03-23T00:00:00"/>
    <s v=""/>
    <x v="0"/>
    <n v="5"/>
    <s v="California"/>
    <s v="San Bernardino County"/>
    <n v="3"/>
    <n v="12"/>
    <x v="0"/>
  </r>
  <r>
    <s v="TX502160"/>
    <s v="Sandals"/>
    <n v="13"/>
    <n v="30.3"/>
    <n v="393.90000000000003"/>
    <d v="2025-03-20T00:00:00"/>
    <d v="2025-03-21T00:00:00"/>
    <s v="M"/>
    <x v="4"/>
    <n v="4"/>
    <s v="California"/>
    <s v="San Bernardino County"/>
    <n v="1"/>
    <n v="12"/>
    <x v="1"/>
  </r>
  <r>
    <s v="TX502161"/>
    <s v="Jeans"/>
    <n v="11"/>
    <n v="57.9"/>
    <n v="636.9"/>
    <d v="2025-03-20T00:00:00"/>
    <d v="2025-03-21T00:00:00"/>
    <s v="F"/>
    <x v="0"/>
    <n v="4"/>
    <s v="California"/>
    <s v="San Diego County"/>
    <n v="1"/>
    <n v="12"/>
    <x v="2"/>
  </r>
  <r>
    <s v="TX502162"/>
    <s v="Tank Tops"/>
    <n v="1"/>
    <n v="96.7"/>
    <n v="96.7"/>
    <d v="2025-03-20T00:00:00"/>
    <d v="2025-03-21T00:00:00"/>
    <s v="M"/>
    <x v="0"/>
    <n v="4"/>
    <s v="California"/>
    <s v="San Diego County"/>
    <n v="1"/>
    <n v="12"/>
    <x v="1"/>
  </r>
  <r>
    <s v="TX502163"/>
    <s v="T-Shirts"/>
    <n v="12"/>
    <n v="27.6"/>
    <n v="331.20000000000005"/>
    <d v="2025-03-20T00:00:00"/>
    <d v="2025-03-22T00:00:00"/>
    <s v="M"/>
    <x v="2"/>
    <n v="5"/>
    <s v="California"/>
    <s v="San Diego County"/>
    <n v="2"/>
    <n v="12"/>
    <x v="1"/>
  </r>
  <r>
    <s v="TX502164"/>
    <s v="Jeans"/>
    <n v="4"/>
    <n v="64.7"/>
    <n v="258.8"/>
    <d v="2025-03-20T00:00:00"/>
    <d v="2025-03-20T00:00:00"/>
    <s v="M"/>
    <x v="3"/>
    <n v="5"/>
    <s v="California"/>
    <s v="San Diego County"/>
    <n v="0"/>
    <n v="12"/>
    <x v="1"/>
  </r>
  <r>
    <s v="TX502165"/>
    <s v="Bikinis"/>
    <n v="6"/>
    <n v="30.5"/>
    <n v="183"/>
    <d v="2025-03-20T00:00:00"/>
    <d v="2025-03-21T00:00:00"/>
    <s v="M"/>
    <x v="4"/>
    <n v="4"/>
    <s v="California"/>
    <s v="San Diego County"/>
    <n v="1"/>
    <n v="12"/>
    <x v="1"/>
  </r>
  <r>
    <s v="TX502166"/>
    <s v="Jeans"/>
    <n v="70"/>
    <n v="106"/>
    <n v="7420"/>
    <d v="2025-03-21T00:00:00"/>
    <d v="2025-03-23T00:00:00"/>
    <s v="M"/>
    <x v="4"/>
    <n v="5"/>
    <s v="California"/>
    <s v="San Diego County"/>
    <n v="2"/>
    <n v="12"/>
    <x v="1"/>
  </r>
  <r>
    <s v="TX502167"/>
    <s v="Casual Dresses"/>
    <n v="5"/>
    <n v="76.8"/>
    <n v="384"/>
    <d v="2025-03-21T00:00:00"/>
    <d v="2025-03-27T00:00:00"/>
    <s v=""/>
    <x v="1"/>
    <n v="3"/>
    <s v="California"/>
    <s v="Sonoma County"/>
    <n v="6"/>
    <n v="12"/>
    <x v="0"/>
  </r>
  <r>
    <s v="TX502168"/>
    <s v="Jeans"/>
    <n v="2"/>
    <n v="80.400000000000006"/>
    <n v="160.80000000000001"/>
    <d v="2025-03-21T00:00:00"/>
    <d v="2025-03-22T00:00:00"/>
    <s v="F"/>
    <x v="2"/>
    <n v="4"/>
    <s v="California"/>
    <s v="Ventura County"/>
    <n v="1"/>
    <n v="12"/>
    <x v="2"/>
  </r>
  <r>
    <s v="TX502169"/>
    <s v="Jeans"/>
    <n v="4"/>
    <n v="69.099999999999994"/>
    <n v="276.39999999999998"/>
    <d v="2025-03-21T00:00:00"/>
    <d v="2025-03-22T00:00:00"/>
    <s v="M"/>
    <x v="1"/>
    <n v="5"/>
    <s v="California"/>
    <s v="Alameda County"/>
    <n v="1"/>
    <n v="12"/>
    <x v="1"/>
  </r>
  <r>
    <s v="TX502170"/>
    <s v="Leggings"/>
    <n v="2"/>
    <n v="76.400000000000006"/>
    <n v="152.80000000000001"/>
    <d v="2025-03-21T00:00:00"/>
    <d v="2025-03-21T00:00:00"/>
    <s v="M"/>
    <x v="3"/>
    <n v="4"/>
    <s v="California"/>
    <s v="Alameda County"/>
    <n v="0"/>
    <n v="12"/>
    <x v="1"/>
  </r>
  <r>
    <s v="TX502171"/>
    <s v="Sneakers"/>
    <n v="2"/>
    <n v="61.3"/>
    <n v="122.6"/>
    <d v="2025-03-21T00:00:00"/>
    <d v="2025-03-22T00:00:00"/>
    <s v="F"/>
    <x v="1"/>
    <n v="3"/>
    <s v="California"/>
    <s v="Alameda County"/>
    <n v="1"/>
    <n v="12"/>
    <x v="2"/>
  </r>
  <r>
    <s v="TX502172"/>
    <s v="Hoodies &amp; Sweatshirts"/>
    <n v="1"/>
    <n v="58"/>
    <n v="58"/>
    <d v="2025-03-21T00:00:00"/>
    <d v="2025-03-22T00:00:00"/>
    <s v="M"/>
    <x v="3"/>
    <n v="3"/>
    <s v="California"/>
    <s v="Contra Costa County"/>
    <n v="1"/>
    <n v="12"/>
    <x v="1"/>
  </r>
  <r>
    <s v="TX502173"/>
    <s v="Sneakers"/>
    <n v="8"/>
    <n v="102.3"/>
    <n v="818.4"/>
    <d v="2025-03-21T00:00:00"/>
    <d v="2025-03-23T00:00:00"/>
    <s v="M"/>
    <x v="2"/>
    <n v="4"/>
    <s v="California"/>
    <s v="El Dorado County"/>
    <n v="2"/>
    <n v="12"/>
    <x v="1"/>
  </r>
  <r>
    <s v="TX502174"/>
    <s v="Jewelry"/>
    <n v="2"/>
    <n v="13.8"/>
    <n v="27.6"/>
    <d v="2025-03-21T00:00:00"/>
    <d v="2025-03-22T00:00:00"/>
    <s v="F"/>
    <x v="4"/>
    <n v="5"/>
    <s v="California"/>
    <s v="Fresno County"/>
    <n v="1"/>
    <n v="12"/>
    <x v="2"/>
  </r>
  <r>
    <s v="TX502175"/>
    <s v="T-Shirts"/>
    <n v="3"/>
    <n v="33.299999999999997"/>
    <n v="99.899999999999991"/>
    <d v="2025-03-21T00:00:00"/>
    <d v="2025-03-24T00:00:00"/>
    <s v="F"/>
    <x v="2"/>
    <n v="4"/>
    <s v="California"/>
    <s v="Kern County"/>
    <n v="3"/>
    <n v="12"/>
    <x v="2"/>
  </r>
  <r>
    <s v="TX502176"/>
    <s v="Bikinis"/>
    <n v="1"/>
    <n v="27.4"/>
    <n v="27.4"/>
    <d v="2025-03-21T00:00:00"/>
    <d v="2025-03-24T00:00:00"/>
    <s v="M"/>
    <x v="0"/>
    <n v="5"/>
    <s v="California"/>
    <s v="Kern County"/>
    <n v="3"/>
    <n v="12"/>
    <x v="1"/>
  </r>
  <r>
    <s v="TX502177"/>
    <s v="Baseball Caps"/>
    <n v="2"/>
    <n v="25.6"/>
    <n v="51.2"/>
    <d v="2025-03-21T00:00:00"/>
    <d v="2025-03-22T00:00:00"/>
    <s v="F"/>
    <x v="1"/>
    <n v="3"/>
    <s v="California"/>
    <s v="Los Angeles County"/>
    <n v="1"/>
    <n v="12"/>
    <x v="2"/>
  </r>
  <r>
    <s v="TX502178"/>
    <s v="Tote Bags"/>
    <n v="1"/>
    <n v="58.4"/>
    <n v="58.4"/>
    <d v="2025-03-21T00:00:00"/>
    <d v="2025-03-22T00:00:00"/>
    <s v="F"/>
    <x v="2"/>
    <n v="5"/>
    <s v="California"/>
    <s v="Los Angeles County"/>
    <n v="1"/>
    <n v="12"/>
    <x v="2"/>
  </r>
  <r>
    <s v="TX502179"/>
    <s v="Maxi Dresses"/>
    <n v="30"/>
    <n v="27"/>
    <n v="810"/>
    <d v="2025-03-21T00:00:00"/>
    <d v="2025-03-22T00:00:00"/>
    <s v="F"/>
    <x v="4"/>
    <n v="4"/>
    <s v="California"/>
    <s v="Los Angeles County"/>
    <n v="1"/>
    <n v="12"/>
    <x v="2"/>
  </r>
  <r>
    <s v="TX502180"/>
    <s v="Shorts"/>
    <n v="4"/>
    <n v="14.2"/>
    <n v="56.8"/>
    <d v="2025-03-21T00:00:00"/>
    <d v="2025-03-22T00:00:00"/>
    <s v="M"/>
    <x v="0"/>
    <n v="5"/>
    <s v="California"/>
    <s v="Los Angeles County"/>
    <n v="1"/>
    <n v="12"/>
    <x v="1"/>
  </r>
  <r>
    <s v="TX502181"/>
    <s v="Hoodies &amp; Sweatshirts"/>
    <n v="2"/>
    <n v="68"/>
    <n v="136"/>
    <d v="2025-03-21T00:00:00"/>
    <d v="2025-03-31T00:00:00"/>
    <s v="M"/>
    <x v="2"/>
    <n v="3"/>
    <s v="California"/>
    <s v="Los Angeles County"/>
    <n v="10"/>
    <n v="12"/>
    <x v="1"/>
  </r>
  <r>
    <s v="TX502182"/>
    <s v="T-Shirts"/>
    <n v="1"/>
    <n v="30.7"/>
    <n v="30.7"/>
    <d v="2025-03-21T00:00:00"/>
    <d v="2025-03-22T00:00:00"/>
    <s v="M"/>
    <x v="0"/>
    <n v="4"/>
    <s v="California"/>
    <s v="Los Angeles County"/>
    <n v="1"/>
    <n v="12"/>
    <x v="1"/>
  </r>
  <r>
    <s v="TX502183"/>
    <s v="Pajama Sets"/>
    <n v="13"/>
    <n v="51.6"/>
    <n v="670.80000000000007"/>
    <d v="2025-03-21T00:00:00"/>
    <d v="2025-03-24T00:00:00"/>
    <s v="O"/>
    <x v="1"/>
    <n v="5"/>
    <s v="California"/>
    <s v="Los Angeles County"/>
    <n v="3"/>
    <n v="12"/>
    <x v="3"/>
  </r>
  <r>
    <s v="TX502184"/>
    <s v="T-Shirts"/>
    <n v="3"/>
    <n v="20.6"/>
    <n v="61.800000000000004"/>
    <d v="2025-03-21T00:00:00"/>
    <d v="2025-03-25T00:00:00"/>
    <s v="F"/>
    <x v="4"/>
    <n v="5"/>
    <s v="California"/>
    <s v="Los Angeles County"/>
    <n v="4"/>
    <n v="12"/>
    <x v="2"/>
  </r>
  <r>
    <s v="TX502185"/>
    <s v="T-Shirts"/>
    <n v="1"/>
    <n v="24.8"/>
    <n v="24.8"/>
    <d v="2025-03-21T00:00:00"/>
    <d v="2025-03-22T00:00:00"/>
    <s v="M"/>
    <x v="4"/>
    <n v="4"/>
    <s v="California"/>
    <s v="Los Angeles County"/>
    <n v="1"/>
    <n v="12"/>
    <x v="1"/>
  </r>
  <r>
    <s v="TX502186"/>
    <s v="Shorts"/>
    <n v="7"/>
    <n v="11.2"/>
    <n v="78.399999999999991"/>
    <d v="2025-03-21T00:00:00"/>
    <d v="2025-03-24T00:00:00"/>
    <s v="M"/>
    <x v="1"/>
    <n v="4"/>
    <s v="California"/>
    <s v="Los Angeles County"/>
    <n v="3"/>
    <n v="12"/>
    <x v="1"/>
  </r>
  <r>
    <s v="TX502187"/>
    <s v="Maxi Dresses"/>
    <n v="2"/>
    <n v="51.2"/>
    <n v="102.4"/>
    <d v="2025-03-21T00:00:00"/>
    <d v="2025-03-22T00:00:00"/>
    <s v="F"/>
    <x v="1"/>
    <n v="5"/>
    <s v="California"/>
    <s v="Los Angeles County"/>
    <n v="1"/>
    <n v="12"/>
    <x v="2"/>
  </r>
  <r>
    <s v="TX502188"/>
    <s v="Hoodies &amp; Sweatshirts"/>
    <n v="6"/>
    <n v="90.5"/>
    <n v="543"/>
    <d v="2025-03-21T00:00:00"/>
    <d v="2025-03-22T00:00:00"/>
    <s v="F"/>
    <x v="1"/>
    <n v="2"/>
    <s v="California"/>
    <s v="Los Angeles County"/>
    <n v="1"/>
    <n v="12"/>
    <x v="2"/>
  </r>
  <r>
    <s v="TX502189"/>
    <s v="Tank Tops"/>
    <n v="2"/>
    <n v="42.4"/>
    <n v="84.8"/>
    <d v="2025-03-21T00:00:00"/>
    <d v="2025-03-22T00:00:00"/>
    <s v="M"/>
    <x v="1"/>
    <n v="5"/>
    <s v="California"/>
    <s v="Nevada County"/>
    <n v="1"/>
    <n v="12"/>
    <x v="1"/>
  </r>
  <r>
    <s v="TX502190"/>
    <s v="Tank Tops"/>
    <n v="2"/>
    <n v="38.200000000000003"/>
    <n v="76.400000000000006"/>
    <d v="2025-03-21T00:00:00"/>
    <d v="2025-03-22T00:00:00"/>
    <s v="M"/>
    <x v="0"/>
    <n v="4"/>
    <s v="California"/>
    <s v="Placer County"/>
    <n v="1"/>
    <n v="12"/>
    <x v="1"/>
  </r>
  <r>
    <s v="TX502191"/>
    <s v="Sneakers"/>
    <n v="9"/>
    <n v="121.3"/>
    <n v="1091.7"/>
    <d v="2025-03-21T00:00:00"/>
    <d v="2025-03-26T00:00:00"/>
    <s v="M"/>
    <x v="0"/>
    <n v="4"/>
    <s v="California"/>
    <s v="Sacramento County"/>
    <n v="5"/>
    <n v="12"/>
    <x v="1"/>
  </r>
  <r>
    <s v="TX502192"/>
    <s v="Jeans"/>
    <n v="2"/>
    <n v="46.9"/>
    <n v="93.8"/>
    <d v="2025-03-21T00:00:00"/>
    <d v="2025-03-28T00:00:00"/>
    <s v="M"/>
    <x v="0"/>
    <n v="4"/>
    <s v="California"/>
    <s v="San Diego County"/>
    <n v="7"/>
    <n v="12"/>
    <x v="1"/>
  </r>
  <r>
    <s v="TX502193"/>
    <s v="Bikinis"/>
    <n v="1"/>
    <n v="55.3"/>
    <n v="55.3"/>
    <d v="2025-03-21T00:00:00"/>
    <d v="2025-03-23T00:00:00"/>
    <s v="M"/>
    <x v="0"/>
    <n v="4"/>
    <s v="California"/>
    <s v="San Diego County"/>
    <n v="2"/>
    <n v="12"/>
    <x v="1"/>
  </r>
  <r>
    <s v="TX502194"/>
    <s v="Sneakers"/>
    <n v="3"/>
    <n v="70.599999999999994"/>
    <n v="211.79999999999998"/>
    <d v="2025-03-22T00:00:00"/>
    <d v="2025-03-22T00:00:00"/>
    <s v="F"/>
    <x v="0"/>
    <n v="3"/>
    <s v="California"/>
    <s v="San Diego County"/>
    <n v="0"/>
    <n v="12"/>
    <x v="2"/>
  </r>
  <r>
    <s v="TX502195"/>
    <s v="Baseball Caps"/>
    <n v="4"/>
    <n v="26.1"/>
    <n v="104.4"/>
    <d v="2025-03-22T00:00:00"/>
    <d v="2025-03-24T00:00:00"/>
    <s v="M"/>
    <x v="0"/>
    <n v="4"/>
    <s v="California"/>
    <s v="San Diego County"/>
    <n v="2"/>
    <n v="12"/>
    <x v="1"/>
  </r>
  <r>
    <s v="TX502196"/>
    <s v="Sundresses"/>
    <n v="11"/>
    <n v="34.5"/>
    <n v="379.5"/>
    <d v="2025-03-22T00:00:00"/>
    <d v="2025-03-26T00:00:00"/>
    <s v="M"/>
    <x v="2"/>
    <n v="4"/>
    <s v="California"/>
    <s v="San Francisco"/>
    <n v="4"/>
    <n v="12"/>
    <x v="1"/>
  </r>
  <r>
    <s v="TX502197"/>
    <s v="Tank Tops"/>
    <n v="2"/>
    <n v="64.2"/>
    <n v="128.4"/>
    <d v="2025-03-22T00:00:00"/>
    <d v="2025-03-23T00:00:00"/>
    <s v="F"/>
    <x v="0"/>
    <n v="3"/>
    <s v="California"/>
    <s v="San Francisco"/>
    <n v="1"/>
    <n v="12"/>
    <x v="2"/>
  </r>
  <r>
    <s v="TX502198"/>
    <s v="Sneakers"/>
    <n v="4"/>
    <n v="145.69999999999999"/>
    <n v="582.79999999999995"/>
    <d v="2025-03-22T00:00:00"/>
    <d v="2025-03-23T00:00:00"/>
    <s v="F"/>
    <x v="0"/>
    <n v="2"/>
    <s v="California"/>
    <s v="San Francisco"/>
    <n v="1"/>
    <n v="12"/>
    <x v="2"/>
  </r>
  <r>
    <s v="TX502199"/>
    <s v="Casual Dresses"/>
    <n v="2"/>
    <n v="78.5"/>
    <n v="157"/>
    <d v="2025-03-22T00:00:00"/>
    <d v="2025-03-23T00:00:00"/>
    <s v="M"/>
    <x v="2"/>
    <n v="4"/>
    <s v="California"/>
    <s v="San Joaquin County"/>
    <n v="1"/>
    <n v="12"/>
    <x v="1"/>
  </r>
  <r>
    <s v="TX502200"/>
    <s v="Tank Tops"/>
    <n v="1"/>
    <n v="34.200000000000003"/>
    <n v="34.200000000000003"/>
    <d v="2025-03-22T00:00:00"/>
    <d v="2025-03-24T00:00:00"/>
    <s v="M"/>
    <x v="0"/>
    <n v="4"/>
    <s v="California"/>
    <s v="San Mateo County"/>
    <n v="2"/>
    <n v="12"/>
    <x v="1"/>
  </r>
  <r>
    <s v="TX502201"/>
    <s v="Jewelry"/>
    <n v="1"/>
    <n v="26.2"/>
    <n v="26.2"/>
    <d v="2025-03-22T00:00:00"/>
    <d v="2025-03-23T00:00:00"/>
    <s v="M"/>
    <x v="2"/>
    <n v="4"/>
    <s v="California"/>
    <s v="San Mateo County"/>
    <n v="1"/>
    <n v="12"/>
    <x v="1"/>
  </r>
  <r>
    <s v="TX502202"/>
    <s v="Jeans"/>
    <n v="4"/>
    <n v="53.2"/>
    <n v="212.8"/>
    <d v="2025-03-22T00:00:00"/>
    <d v="2025-03-23T00:00:00"/>
    <s v="M"/>
    <x v="1"/>
    <n v="3"/>
    <s v="California"/>
    <s v="Santa Clara County"/>
    <n v="1"/>
    <n v="12"/>
    <x v="1"/>
  </r>
  <r>
    <s v="TX502203"/>
    <s v="Tank Tops"/>
    <n v="1"/>
    <n v="35.4"/>
    <n v="35.4"/>
    <d v="2025-03-22T00:00:00"/>
    <d v="2025-03-26T00:00:00"/>
    <s v="M"/>
    <x v="1"/>
    <n v="2"/>
    <s v="California"/>
    <s v="Sonoma County"/>
    <n v="4"/>
    <n v="12"/>
    <x v="1"/>
  </r>
  <r>
    <s v="TX502204"/>
    <s v="Baseball Caps"/>
    <n v="2"/>
    <n v="21.3"/>
    <n v="42.6"/>
    <d v="2025-03-22T00:00:00"/>
    <d v="2025-03-23T00:00:00"/>
    <s v="M"/>
    <x v="2"/>
    <n v="4"/>
    <s v="California"/>
    <s v="Tulare County"/>
    <n v="1"/>
    <n v="12"/>
    <x v="1"/>
  </r>
  <r>
    <s v="TX502205"/>
    <s v="T-Shirts"/>
    <n v="4"/>
    <n v="32.9"/>
    <n v="131.6"/>
    <d v="2025-03-22T00:00:00"/>
    <d v="2025-03-25T00:00:00"/>
    <s v="F"/>
    <x v="4"/>
    <n v="5"/>
    <s v="California"/>
    <s v="Alameda County"/>
    <n v="3"/>
    <n v="12"/>
    <x v="2"/>
  </r>
  <r>
    <s v="TX502206"/>
    <s v="Sandals"/>
    <n v="15"/>
    <n v="85.5"/>
    <n v="1282.5"/>
    <d v="2025-03-22T00:00:00"/>
    <d v="2025-03-24T00:00:00"/>
    <s v="F"/>
    <x v="3"/>
    <n v="3"/>
    <s v="California"/>
    <s v="Alameda County"/>
    <n v="2"/>
    <n v="12"/>
    <x v="2"/>
  </r>
  <r>
    <s v="TX502207"/>
    <s v="Graphic Tees"/>
    <n v="1"/>
    <n v="26.8"/>
    <n v="26.8"/>
    <d v="2025-03-22T00:00:00"/>
    <d v="2025-03-23T00:00:00"/>
    <s v="F"/>
    <x v="0"/>
    <n v="3"/>
    <s v="California"/>
    <s v="Fresno County"/>
    <n v="1"/>
    <n v="12"/>
    <x v="2"/>
  </r>
  <r>
    <s v="TX502208"/>
    <s v="Sundresses"/>
    <n v="26"/>
    <n v="31.7"/>
    <n v="824.19999999999993"/>
    <d v="2025-03-22T00:00:00"/>
    <d v="2025-03-22T00:00:00"/>
    <s v="F"/>
    <x v="3"/>
    <n v="4"/>
    <s v="California"/>
    <s v="Fresno County"/>
    <n v="0"/>
    <n v="12"/>
    <x v="2"/>
  </r>
  <r>
    <s v="TX502209"/>
    <s v="Tank Tops"/>
    <n v="2"/>
    <n v="78.3"/>
    <n v="156.6"/>
    <d v="2025-03-22T00:00:00"/>
    <d v="2025-03-24T00:00:00"/>
    <s v="F"/>
    <x v="1"/>
    <n v="3"/>
    <s v="California"/>
    <s v="Los Angeles County"/>
    <n v="2"/>
    <n v="12"/>
    <x v="2"/>
  </r>
  <r>
    <s v="TX502210"/>
    <s v="Jeans"/>
    <n v="1"/>
    <n v="43.9"/>
    <n v="43.9"/>
    <d v="2025-03-22T00:00:00"/>
    <d v="2025-03-23T00:00:00"/>
    <s v="M"/>
    <x v="0"/>
    <n v="4"/>
    <s v="California"/>
    <s v="Los Angeles County"/>
    <n v="1"/>
    <n v="12"/>
    <x v="1"/>
  </r>
  <r>
    <s v="TX502211"/>
    <s v="Leggings"/>
    <n v="3"/>
    <n v="84"/>
    <n v="252"/>
    <d v="2025-03-22T00:00:00"/>
    <d v="2025-03-24T00:00:00"/>
    <s v=""/>
    <x v="3"/>
    <n v="5"/>
    <s v="California"/>
    <s v="Los Angeles County"/>
    <n v="2"/>
    <n v="12"/>
    <x v="0"/>
  </r>
  <r>
    <s v="TX502212"/>
    <s v="Shorts"/>
    <n v="3"/>
    <n v="11.4"/>
    <n v="34.200000000000003"/>
    <d v="2025-03-22T00:00:00"/>
    <d v="2025-03-23T00:00:00"/>
    <s v="M"/>
    <x v="4"/>
    <n v="4"/>
    <s v="California"/>
    <s v="Los Angeles County"/>
    <n v="1"/>
    <n v="12"/>
    <x v="1"/>
  </r>
  <r>
    <s v="TX502213"/>
    <s v="Casual Dresses"/>
    <n v="8"/>
    <n v="47.5"/>
    <n v="380"/>
    <d v="2025-03-22T00:00:00"/>
    <d v="2025-03-30T00:00:00"/>
    <s v="F"/>
    <x v="0"/>
    <n v="4"/>
    <s v="California"/>
    <s v="Los Angeles County"/>
    <n v="8"/>
    <n v="12"/>
    <x v="2"/>
  </r>
  <r>
    <s v="TX502214"/>
    <s v="Sundresses"/>
    <n v="11"/>
    <n v="50.5"/>
    <n v="555.5"/>
    <d v="2025-03-22T00:00:00"/>
    <d v="2025-03-24T00:00:00"/>
    <s v="M"/>
    <x v="2"/>
    <n v="4"/>
    <s v="California"/>
    <s v="Los Angeles County"/>
    <n v="2"/>
    <n v="12"/>
    <x v="1"/>
  </r>
  <r>
    <s v="TX502215"/>
    <s v="Crop Tops"/>
    <n v="1"/>
    <n v="36.299999999999997"/>
    <n v="36.299999999999997"/>
    <d v="2025-03-22T00:00:00"/>
    <d v="2025-03-25T00:00:00"/>
    <s v="O"/>
    <x v="0"/>
    <n v="3"/>
    <s v="California"/>
    <s v="San Diego County"/>
    <n v="3"/>
    <n v="12"/>
    <x v="3"/>
  </r>
  <r>
    <s v="TX502216"/>
    <s v="T-Shirts"/>
    <n v="2"/>
    <n v="35.4"/>
    <n v="70.8"/>
    <d v="2025-03-22T00:00:00"/>
    <d v="2025-03-23T00:00:00"/>
    <s v="F"/>
    <x v="0"/>
    <n v="4"/>
    <s v="California"/>
    <s v="San Francisco"/>
    <n v="1"/>
    <n v="12"/>
    <x v="2"/>
  </r>
  <r>
    <s v="TX502217"/>
    <s v="Tank Tops"/>
    <n v="3"/>
    <n v="45.9"/>
    <n v="137.69999999999999"/>
    <d v="2025-03-23T00:00:00"/>
    <d v="2025-03-24T00:00:00"/>
    <s v="M"/>
    <x v="3"/>
    <n v="4"/>
    <s v="California"/>
    <s v="San Mateo County"/>
    <n v="1"/>
    <n v="13"/>
    <x v="1"/>
  </r>
  <r>
    <s v="TX502218"/>
    <s v="Jeans"/>
    <n v="10"/>
    <n v="41.2"/>
    <n v="412"/>
    <d v="2025-03-23T00:00:00"/>
    <d v="2025-03-27T00:00:00"/>
    <s v="M"/>
    <x v="0"/>
    <n v="4"/>
    <s v="California"/>
    <s v="Santa Clara County"/>
    <n v="4"/>
    <n v="13"/>
    <x v="1"/>
  </r>
  <r>
    <s v="TX502219"/>
    <s v="Pajama Sets"/>
    <n v="2"/>
    <n v="45.1"/>
    <n v="90.2"/>
    <d v="2025-03-23T00:00:00"/>
    <d v="2025-03-24T00:00:00"/>
    <s v="M"/>
    <x v="1"/>
    <n v="3"/>
    <s v="California"/>
    <s v="Alameda County"/>
    <n v="1"/>
    <n v="13"/>
    <x v="1"/>
  </r>
  <r>
    <s v="TX502220"/>
    <s v="Jeans"/>
    <n v="10"/>
    <n v="63.6"/>
    <n v="636"/>
    <d v="2025-03-23T00:00:00"/>
    <d v="2025-03-23T00:00:00"/>
    <s v="M"/>
    <x v="2"/>
    <n v="4"/>
    <s v="California"/>
    <s v="Contra Costa County"/>
    <n v="0"/>
    <n v="13"/>
    <x v="1"/>
  </r>
  <r>
    <s v="TX502221"/>
    <s v="T-Shirts"/>
    <n v="1"/>
    <n v="70.5"/>
    <n v="70.5"/>
    <d v="2025-03-23T00:00:00"/>
    <d v="2025-03-24T00:00:00"/>
    <s v="M"/>
    <x v="0"/>
    <n v="4"/>
    <s v="California"/>
    <s v="Los Angeles County"/>
    <n v="1"/>
    <n v="13"/>
    <x v="1"/>
  </r>
  <r>
    <s v="TX502222"/>
    <s v="Jeans"/>
    <n v="1"/>
    <n v="41.3"/>
    <n v="41.3"/>
    <d v="2025-03-23T00:00:00"/>
    <d v="2025-03-23T00:00:00"/>
    <s v="M"/>
    <x v="4"/>
    <n v="4"/>
    <s v="California"/>
    <s v="Los Angeles County"/>
    <n v="0"/>
    <n v="13"/>
    <x v="1"/>
  </r>
  <r>
    <s v="TX502223"/>
    <s v="Graphic Tees"/>
    <n v="1"/>
    <n v="35.299999999999997"/>
    <n v="35.299999999999997"/>
    <d v="2025-03-23T00:00:00"/>
    <d v="2025-03-26T00:00:00"/>
    <s v="F"/>
    <x v="4"/>
    <n v="5"/>
    <s v="California"/>
    <s v="Los Angeles County"/>
    <n v="3"/>
    <n v="13"/>
    <x v="2"/>
  </r>
  <r>
    <s v="TX502224"/>
    <s v="T-Shirts"/>
    <n v="5"/>
    <n v="34.700000000000003"/>
    <n v="173.5"/>
    <d v="2025-03-23T00:00:00"/>
    <d v="2025-03-24T00:00:00"/>
    <s v="F"/>
    <x v="0"/>
    <n v="5"/>
    <s v="California"/>
    <s v="Los Angeles County"/>
    <n v="1"/>
    <n v="13"/>
    <x v="2"/>
  </r>
  <r>
    <s v="TX502225"/>
    <s v="T-Shirts"/>
    <n v="3"/>
    <n v="26.1"/>
    <n v="78.300000000000011"/>
    <d v="2025-03-23T00:00:00"/>
    <d v="2025-03-24T00:00:00"/>
    <s v="F"/>
    <x v="0"/>
    <n v="4"/>
    <s v="California"/>
    <s v="Los Angeles County"/>
    <n v="1"/>
    <n v="13"/>
    <x v="2"/>
  </r>
  <r>
    <s v="TX502226"/>
    <s v="Sundresses"/>
    <n v="5"/>
    <n v="22.6"/>
    <n v="113"/>
    <d v="2025-03-23T00:00:00"/>
    <d v="2025-03-23T00:00:00"/>
    <s v="F"/>
    <x v="1"/>
    <n v="5"/>
    <s v="California"/>
    <s v="Los Angeles County"/>
    <n v="0"/>
    <n v="13"/>
    <x v="2"/>
  </r>
  <r>
    <s v="TX502227"/>
    <s v="Sneakers"/>
    <n v="2"/>
    <n v="154.4"/>
    <n v="308.8"/>
    <d v="2025-03-23T00:00:00"/>
    <d v="2025-03-26T00:00:00"/>
    <s v="M"/>
    <x v="1"/>
    <n v="3"/>
    <s v="California"/>
    <s v="Los Angeles County"/>
    <n v="3"/>
    <n v="13"/>
    <x v="1"/>
  </r>
  <r>
    <s v="TX502228"/>
    <s v="T-Shirts"/>
    <n v="2"/>
    <n v="18.399999999999999"/>
    <n v="36.799999999999997"/>
    <d v="2025-03-23T00:00:00"/>
    <d v="2025-03-24T00:00:00"/>
    <s v="M"/>
    <x v="0"/>
    <n v="4"/>
    <s v="California"/>
    <s v="Los Angeles County"/>
    <n v="1"/>
    <n v="13"/>
    <x v="1"/>
  </r>
  <r>
    <s v="TX502229"/>
    <s v="Baseball Caps"/>
    <n v="1"/>
    <n v="25"/>
    <n v="25"/>
    <d v="2025-03-23T00:00:00"/>
    <d v="2025-03-26T00:00:00"/>
    <s v="F"/>
    <x v="0"/>
    <n v="4"/>
    <s v="California"/>
    <s v="Los Angeles County"/>
    <n v="3"/>
    <n v="13"/>
    <x v="2"/>
  </r>
  <r>
    <s v="TX502230"/>
    <s v="Sneakers"/>
    <n v="6"/>
    <n v="105.6"/>
    <n v="633.59999999999991"/>
    <d v="2025-03-23T00:00:00"/>
    <d v="2025-03-23T00:00:00"/>
    <s v="F"/>
    <x v="0"/>
    <n v="4"/>
    <s v="California"/>
    <s v="Los Angeles County"/>
    <n v="0"/>
    <n v="13"/>
    <x v="2"/>
  </r>
  <r>
    <s v="TX502231"/>
    <s v="Leggings"/>
    <n v="8"/>
    <n v="59.6"/>
    <n v="476.8"/>
    <d v="2025-03-23T00:00:00"/>
    <d v="2025-03-23T00:00:00"/>
    <s v="F"/>
    <x v="0"/>
    <n v="5"/>
    <s v="California"/>
    <s v="Riverside County"/>
    <n v="0"/>
    <n v="13"/>
    <x v="2"/>
  </r>
  <r>
    <s v="TX502232"/>
    <s v="Crop Tops"/>
    <n v="3"/>
    <n v="75.400000000000006"/>
    <n v="226.20000000000002"/>
    <d v="2025-03-23T00:00:00"/>
    <d v="2025-03-28T00:00:00"/>
    <s v="M"/>
    <x v="0"/>
    <n v="3"/>
    <s v="California"/>
    <s v="San Bernardino County"/>
    <n v="5"/>
    <n v="13"/>
    <x v="1"/>
  </r>
  <r>
    <s v="TX502233"/>
    <s v="Hoodies &amp; Sweatshirts"/>
    <n v="1"/>
    <n v="104.4"/>
    <n v="104.4"/>
    <d v="2025-03-23T00:00:00"/>
    <d v="2025-03-24T00:00:00"/>
    <s v="F"/>
    <x v="0"/>
    <n v="4"/>
    <s v="California"/>
    <s v="San Diego County"/>
    <n v="1"/>
    <n v="13"/>
    <x v="2"/>
  </r>
  <r>
    <s v="TX502234"/>
    <s v="Sneakers"/>
    <n v="10"/>
    <n v="208.2"/>
    <n v="2082"/>
    <d v="2025-03-23T00:00:00"/>
    <d v="2025-03-24T00:00:00"/>
    <s v="M"/>
    <x v="0"/>
    <n v="5"/>
    <s v="California"/>
    <s v="San Diego County"/>
    <n v="1"/>
    <n v="13"/>
    <x v="1"/>
  </r>
  <r>
    <s v="TX502235"/>
    <s v="Jeans"/>
    <n v="2"/>
    <n v="45"/>
    <n v="90"/>
    <d v="2025-03-23T00:00:00"/>
    <d v="2025-03-26T00:00:00"/>
    <s v="F"/>
    <x v="0"/>
    <n v="4"/>
    <s v="California"/>
    <s v="Santa Barbara County"/>
    <n v="3"/>
    <n v="13"/>
    <x v="2"/>
  </r>
  <r>
    <s v="TX502236"/>
    <s v="Crop Tops"/>
    <n v="2"/>
    <n v="20.3"/>
    <n v="40.6"/>
    <d v="2025-03-24T00:00:00"/>
    <d v="2025-03-26T00:00:00"/>
    <s v=""/>
    <x v="1"/>
    <n v="4"/>
    <s v="California"/>
    <s v="Santa Clara County"/>
    <n v="2"/>
    <n v="13"/>
    <x v="0"/>
  </r>
  <r>
    <s v="TX502237"/>
    <s v="Sneakers"/>
    <n v="3"/>
    <n v="94.4"/>
    <n v="283.20000000000005"/>
    <d v="2025-03-24T00:00:00"/>
    <d v="2025-03-25T00:00:00"/>
    <s v="F"/>
    <x v="0"/>
    <n v="5"/>
    <s v="California"/>
    <s v="Santa Clara County"/>
    <n v="1"/>
    <n v="13"/>
    <x v="2"/>
  </r>
  <r>
    <s v="TX502238"/>
    <s v="Sundresses"/>
    <n v="1"/>
    <n v="49"/>
    <n v="49"/>
    <d v="2025-03-24T00:00:00"/>
    <d v="2025-03-26T00:00:00"/>
    <s v="F"/>
    <x v="0"/>
    <n v="5"/>
    <s v="California"/>
    <s v="Tulare County"/>
    <n v="2"/>
    <n v="13"/>
    <x v="2"/>
  </r>
  <r>
    <s v="TX502239"/>
    <s v="Graphic Tees"/>
    <n v="2"/>
    <n v="27.2"/>
    <n v="54.4"/>
    <d v="2025-03-24T00:00:00"/>
    <d v="2025-03-26T00:00:00"/>
    <s v="M"/>
    <x v="0"/>
    <n v="5"/>
    <s v="California"/>
    <s v="Contra Costa County"/>
    <n v="2"/>
    <n v="13"/>
    <x v="1"/>
  </r>
  <r>
    <s v="TX502240"/>
    <s v="Sneakers"/>
    <n v="6"/>
    <n v="72.599999999999994"/>
    <n v="435.59999999999997"/>
    <d v="2025-03-24T00:00:00"/>
    <d v="2025-03-25T00:00:00"/>
    <s v="F"/>
    <x v="0"/>
    <n v="5"/>
    <s v="California"/>
    <s v="Fresno County"/>
    <n v="1"/>
    <n v="13"/>
    <x v="2"/>
  </r>
  <r>
    <s v="TX502241"/>
    <s v="Crop Tops"/>
    <n v="4"/>
    <n v="62.4"/>
    <n v="249.6"/>
    <d v="2025-03-24T00:00:00"/>
    <d v="2025-03-25T00:00:00"/>
    <s v="F"/>
    <x v="0"/>
    <n v="4"/>
    <s v="California"/>
    <s v="Los Angeles County"/>
    <n v="1"/>
    <n v="13"/>
    <x v="2"/>
  </r>
  <r>
    <s v="TX502242"/>
    <s v="T-Shirts"/>
    <n v="3"/>
    <n v="19.100000000000001"/>
    <n v="57.300000000000004"/>
    <d v="2025-03-24T00:00:00"/>
    <d v="2025-03-26T00:00:00"/>
    <s v="M"/>
    <x v="0"/>
    <n v="3"/>
    <s v="California"/>
    <s v="Los Angeles County"/>
    <n v="2"/>
    <n v="13"/>
    <x v="1"/>
  </r>
  <r>
    <s v="TX502243"/>
    <s v="Bikinis"/>
    <n v="1"/>
    <n v="29.6"/>
    <n v="29.6"/>
    <d v="2025-03-24T00:00:00"/>
    <d v="2025-03-28T00:00:00"/>
    <s v="M"/>
    <x v="0"/>
    <n v="2"/>
    <s v="California"/>
    <s v="Los Angeles County"/>
    <n v="4"/>
    <n v="13"/>
    <x v="1"/>
  </r>
  <r>
    <s v="TX502244"/>
    <s v="T-Shirts"/>
    <n v="2"/>
    <n v="18.899999999999999"/>
    <n v="37.799999999999997"/>
    <d v="2025-03-24T00:00:00"/>
    <d v="2025-03-26T00:00:00"/>
    <s v="F"/>
    <x v="4"/>
    <n v="5"/>
    <s v="California"/>
    <s v="Los Angeles County"/>
    <n v="2"/>
    <n v="13"/>
    <x v="2"/>
  </r>
  <r>
    <s v="TX502245"/>
    <s v="Bikinis"/>
    <n v="5"/>
    <n v="41.4"/>
    <n v="207"/>
    <d v="2025-03-24T00:00:00"/>
    <d v="2025-03-25T00:00:00"/>
    <s v="M"/>
    <x v="3"/>
    <n v="4"/>
    <s v="California"/>
    <s v="Los Angeles County"/>
    <n v="1"/>
    <n v="13"/>
    <x v="1"/>
  </r>
  <r>
    <s v="TX502246"/>
    <s v="Sneakers"/>
    <n v="1"/>
    <n v="118.4"/>
    <n v="118.4"/>
    <d v="2025-03-24T00:00:00"/>
    <d v="2025-03-25T00:00:00"/>
    <s v="F"/>
    <x v="0"/>
    <n v="5"/>
    <s v="California"/>
    <s v="Los Angeles County"/>
    <n v="1"/>
    <n v="13"/>
    <x v="2"/>
  </r>
  <r>
    <s v="TX502247"/>
    <s v="Sneakers"/>
    <n v="2"/>
    <n v="125.3"/>
    <n v="250.6"/>
    <d v="2025-03-24T00:00:00"/>
    <d v="2025-03-27T00:00:00"/>
    <s v="F"/>
    <x v="0"/>
    <n v="5"/>
    <s v="California"/>
    <s v="Los Angeles County"/>
    <n v="3"/>
    <n v="13"/>
    <x v="2"/>
  </r>
  <r>
    <s v="TX502248"/>
    <s v="Workout Tops"/>
    <n v="2"/>
    <n v="85.8"/>
    <n v="171.6"/>
    <d v="2025-03-24T00:00:00"/>
    <d v="2025-03-25T00:00:00"/>
    <s v="F"/>
    <x v="1"/>
    <n v="2"/>
    <s v="California"/>
    <s v="Los Angeles County"/>
    <n v="1"/>
    <n v="13"/>
    <x v="2"/>
  </r>
  <r>
    <s v="TX502249"/>
    <s v="Jeans"/>
    <n v="1"/>
    <n v="44.2"/>
    <n v="44.2"/>
    <d v="2025-03-24T00:00:00"/>
    <d v="2025-03-27T00:00:00"/>
    <s v="M"/>
    <x v="1"/>
    <n v="4"/>
    <s v="California"/>
    <s v="Los Angeles County"/>
    <n v="3"/>
    <n v="13"/>
    <x v="1"/>
  </r>
  <r>
    <s v="TX502250"/>
    <s v="Sandals"/>
    <n v="4"/>
    <n v="74.099999999999994"/>
    <n v="296.39999999999998"/>
    <d v="2025-03-24T00:00:00"/>
    <d v="2025-03-26T00:00:00"/>
    <s v="F"/>
    <x v="0"/>
    <n v="4"/>
    <s v="California"/>
    <s v="Los Angeles County"/>
    <n v="2"/>
    <n v="13"/>
    <x v="2"/>
  </r>
  <r>
    <s v="TX502251"/>
    <s v="T-Shirts"/>
    <n v="1"/>
    <n v="33.799999999999997"/>
    <n v="33.799999999999997"/>
    <d v="2025-03-24T00:00:00"/>
    <d v="2025-03-25T00:00:00"/>
    <s v="F"/>
    <x v="2"/>
    <n v="5"/>
    <s v="California"/>
    <s v="Merced County"/>
    <n v="1"/>
    <n v="13"/>
    <x v="2"/>
  </r>
  <r>
    <s v="TX502252"/>
    <s v="Tank Tops"/>
    <n v="2"/>
    <n v="39.1"/>
    <n v="78.2"/>
    <d v="2025-03-24T00:00:00"/>
    <d v="2025-03-25T00:00:00"/>
    <s v="M"/>
    <x v="0"/>
    <n v="3"/>
    <s v="California"/>
    <s v="Merced County"/>
    <n v="1"/>
    <n v="13"/>
    <x v="1"/>
  </r>
  <r>
    <s v="TX502253"/>
    <s v="Shorts"/>
    <n v="1"/>
    <n v="37.200000000000003"/>
    <n v="37.200000000000003"/>
    <d v="2025-03-24T00:00:00"/>
    <d v="2025-03-25T00:00:00"/>
    <s v="M"/>
    <x v="0"/>
    <n v="3"/>
    <s v="California"/>
    <s v="Napa County"/>
    <n v="1"/>
    <n v="13"/>
    <x v="1"/>
  </r>
  <r>
    <s v="TX502254"/>
    <s v="Crop Tops"/>
    <n v="3"/>
    <n v="33.9"/>
    <n v="101.69999999999999"/>
    <d v="2025-03-24T00:00:00"/>
    <d v="2025-03-26T00:00:00"/>
    <s v="M"/>
    <x v="2"/>
    <n v="4"/>
    <s v="California"/>
    <s v="Sacramento County"/>
    <n v="2"/>
    <n v="13"/>
    <x v="1"/>
  </r>
  <r>
    <s v="TX502255"/>
    <s v="Hoodies &amp; Sweatshirts"/>
    <n v="15"/>
    <n v="73.3"/>
    <n v="1099.5"/>
    <d v="2025-03-24T00:00:00"/>
    <d v="2025-03-27T00:00:00"/>
    <s v="F"/>
    <x v="2"/>
    <n v="3"/>
    <s v="California"/>
    <s v="San Diego County"/>
    <n v="3"/>
    <n v="13"/>
    <x v="2"/>
  </r>
  <r>
    <s v="TX502256"/>
    <s v="T-Shirts"/>
    <n v="4"/>
    <n v="35"/>
    <n v="140"/>
    <d v="2025-03-24T00:00:00"/>
    <d v="2025-03-26T00:00:00"/>
    <s v="F"/>
    <x v="1"/>
    <n v="4"/>
    <s v="California"/>
    <s v="San Diego County"/>
    <n v="2"/>
    <n v="13"/>
    <x v="2"/>
  </r>
  <r>
    <s v="TX502257"/>
    <s v="Shorts"/>
    <n v="3"/>
    <n v="22.2"/>
    <n v="66.599999999999994"/>
    <d v="2025-03-24T00:00:00"/>
    <d v="2025-03-25T00:00:00"/>
    <s v="M"/>
    <x v="1"/>
    <n v="4"/>
    <s v="California"/>
    <s v="San Francisco"/>
    <n v="1"/>
    <n v="13"/>
    <x v="1"/>
  </r>
  <r>
    <s v="TX502258"/>
    <s v="Bikinis"/>
    <n v="1"/>
    <n v="32.4"/>
    <n v="32.4"/>
    <d v="2025-03-24T00:00:00"/>
    <d v="2025-03-25T00:00:00"/>
    <s v="F"/>
    <x v="0"/>
    <n v="4"/>
    <s v="California"/>
    <s v="Santa Clara County"/>
    <n v="1"/>
    <n v="13"/>
    <x v="2"/>
  </r>
  <r>
    <s v="TX502259"/>
    <s v="Sandals"/>
    <n v="3"/>
    <n v="88.4"/>
    <n v="265.20000000000005"/>
    <d v="2025-03-25T00:00:00"/>
    <d v="2025-03-27T00:00:00"/>
    <s v="F"/>
    <x v="1"/>
    <n v="3"/>
    <s v="California"/>
    <s v="Santa Clara County"/>
    <n v="2"/>
    <n v="13"/>
    <x v="2"/>
  </r>
  <r>
    <s v="TX502260"/>
    <s v="Sandals"/>
    <n v="16"/>
    <n v="30.5"/>
    <n v="488"/>
    <d v="2025-03-25T00:00:00"/>
    <d v="2025-03-26T00:00:00"/>
    <s v="F"/>
    <x v="2"/>
    <n v="4"/>
    <s v="California"/>
    <s v="Santa Clara County"/>
    <n v="1"/>
    <n v="13"/>
    <x v="2"/>
  </r>
  <r>
    <s v="TX502261"/>
    <s v="Tank Tops"/>
    <n v="6"/>
    <n v="38.1"/>
    <n v="228.60000000000002"/>
    <d v="2025-03-25T00:00:00"/>
    <d v="2025-03-27T00:00:00"/>
    <s v="F"/>
    <x v="0"/>
    <n v="3"/>
    <s v="California"/>
    <s v="Santa Clara County"/>
    <n v="2"/>
    <n v="13"/>
    <x v="2"/>
  </r>
  <r>
    <s v="TX502262"/>
    <s v="Bikinis"/>
    <n v="5"/>
    <n v="37.6"/>
    <n v="188"/>
    <d v="2025-03-25T00:00:00"/>
    <d v="2025-03-29T00:00:00"/>
    <s v="M"/>
    <x v="0"/>
    <n v="4"/>
    <s v="California"/>
    <s v="Santa Clara County"/>
    <n v="4"/>
    <n v="13"/>
    <x v="1"/>
  </r>
  <r>
    <s v="TX502263"/>
    <s v="Crop Tops"/>
    <n v="2"/>
    <n v="31.4"/>
    <n v="62.8"/>
    <d v="2025-03-25T00:00:00"/>
    <d v="2025-03-26T00:00:00"/>
    <s v="M"/>
    <x v="0"/>
    <n v="5"/>
    <s v="California"/>
    <s v="Santa Clara County"/>
    <n v="1"/>
    <n v="13"/>
    <x v="1"/>
  </r>
  <r>
    <s v="TX502264"/>
    <s v="Jeans"/>
    <n v="2"/>
    <n v="61.5"/>
    <n v="123"/>
    <d v="2025-03-25T00:00:00"/>
    <d v="2025-03-26T00:00:00"/>
    <s v="M"/>
    <x v="3"/>
    <n v="4"/>
    <s v="California"/>
    <s v="Sutter County"/>
    <n v="1"/>
    <n v="13"/>
    <x v="1"/>
  </r>
  <r>
    <s v="TX502265"/>
    <s v="Jeans"/>
    <n v="1"/>
    <n v="72.599999999999994"/>
    <n v="72.599999999999994"/>
    <d v="2025-03-25T00:00:00"/>
    <d v="2025-03-26T00:00:00"/>
    <s v="M"/>
    <x v="0"/>
    <n v="3"/>
    <s v="California"/>
    <s v="Alameda County"/>
    <n v="1"/>
    <n v="13"/>
    <x v="1"/>
  </r>
  <r>
    <s v="TX502266"/>
    <s v="Sundresses"/>
    <n v="3"/>
    <n v="26.9"/>
    <n v="80.699999999999989"/>
    <d v="2025-03-25T00:00:00"/>
    <d v="2025-03-30T00:00:00"/>
    <s v="O"/>
    <x v="4"/>
    <n v="3"/>
    <s v="California"/>
    <s v="Amador County"/>
    <n v="5"/>
    <n v="13"/>
    <x v="3"/>
  </r>
  <r>
    <s v="TX502267"/>
    <s v="Pajama Sets"/>
    <n v="12"/>
    <n v="29.4"/>
    <n v="352.79999999999995"/>
    <d v="2025-03-25T00:00:00"/>
    <d v="2025-03-26T00:00:00"/>
    <s v="F"/>
    <x v="1"/>
    <n v="4"/>
    <s v="California"/>
    <s v="Butte County"/>
    <n v="1"/>
    <n v="13"/>
    <x v="2"/>
  </r>
  <r>
    <s v="TX502268"/>
    <s v="Pajama Sets"/>
    <n v="2"/>
    <n v="42.1"/>
    <n v="84.2"/>
    <d v="2025-03-25T00:00:00"/>
    <d v="2025-03-26T00:00:00"/>
    <s v="F"/>
    <x v="3"/>
    <n v="3"/>
    <s v="California"/>
    <s v="Contra Costa County"/>
    <n v="1"/>
    <n v="13"/>
    <x v="2"/>
  </r>
  <r>
    <s v="TX502269"/>
    <s v="Sandals"/>
    <n v="1"/>
    <n v="40.5"/>
    <n v="40.5"/>
    <d v="2025-03-25T00:00:00"/>
    <d v="2025-03-26T00:00:00"/>
    <s v="F"/>
    <x v="2"/>
    <n v="3"/>
    <s v="California"/>
    <s v="Contra Costa County"/>
    <n v="1"/>
    <n v="13"/>
    <x v="2"/>
  </r>
  <r>
    <s v="TX502270"/>
    <s v="Sneakers"/>
    <n v="4"/>
    <n v="182.3"/>
    <n v="729.2"/>
    <d v="2025-03-25T00:00:00"/>
    <d v="2025-03-26T00:00:00"/>
    <s v="F"/>
    <x v="1"/>
    <n v="4"/>
    <s v="California"/>
    <s v="Contra Costa County"/>
    <n v="1"/>
    <n v="13"/>
    <x v="2"/>
  </r>
  <r>
    <s v="TX502271"/>
    <s v="Sneakers"/>
    <n v="5"/>
    <n v="157"/>
    <n v="785"/>
    <d v="2025-03-25T00:00:00"/>
    <d v="2025-03-28T00:00:00"/>
    <s v="F"/>
    <x v="1"/>
    <n v="5"/>
    <s v="California"/>
    <s v="Fresno County"/>
    <n v="3"/>
    <n v="13"/>
    <x v="2"/>
  </r>
  <r>
    <s v="TX502272"/>
    <s v="Pajama Sets"/>
    <n v="5"/>
    <n v="45.2"/>
    <n v="226"/>
    <d v="2025-03-25T00:00:00"/>
    <d v="2025-03-28T00:00:00"/>
    <s v="F"/>
    <x v="1"/>
    <n v="4"/>
    <s v="California"/>
    <s v="Kern County"/>
    <n v="3"/>
    <n v="13"/>
    <x v="2"/>
  </r>
  <r>
    <s v="TX502273"/>
    <s v="Crop Tops"/>
    <n v="4"/>
    <n v="27.4"/>
    <n v="109.6"/>
    <d v="2025-03-25T00:00:00"/>
    <d v="2025-03-27T00:00:00"/>
    <s v="F"/>
    <x v="0"/>
    <n v="4"/>
    <s v="California"/>
    <s v="Los Angeles County"/>
    <n v="2"/>
    <n v="13"/>
    <x v="2"/>
  </r>
  <r>
    <s v="TX502274"/>
    <s v="Sandals"/>
    <n v="5"/>
    <n v="34.1"/>
    <n v="170.5"/>
    <d v="2025-03-25T00:00:00"/>
    <d v="2025-03-27T00:00:00"/>
    <s v="M"/>
    <x v="0"/>
    <n v="5"/>
    <s v="California"/>
    <s v="Los Angeles County"/>
    <n v="2"/>
    <n v="13"/>
    <x v="1"/>
  </r>
  <r>
    <s v="TX502275"/>
    <s v="Shorts"/>
    <n v="2"/>
    <n v="26"/>
    <n v="52"/>
    <d v="2025-03-25T00:00:00"/>
    <d v="2025-03-27T00:00:00"/>
    <s v="M"/>
    <x v="2"/>
    <n v="3"/>
    <s v="California"/>
    <s v="Los Angeles County"/>
    <n v="2"/>
    <n v="13"/>
    <x v="1"/>
  </r>
  <r>
    <s v="TX502276"/>
    <s v="T-Shirts"/>
    <n v="7"/>
    <n v="19.399999999999999"/>
    <n v="135.79999999999998"/>
    <d v="2025-03-25T00:00:00"/>
    <d v="2025-03-27T00:00:00"/>
    <s v=""/>
    <x v="1"/>
    <n v="3"/>
    <s v="California"/>
    <s v="Los Angeles County"/>
    <n v="2"/>
    <n v="13"/>
    <x v="0"/>
  </r>
  <r>
    <s v="TX502277"/>
    <s v="Sunglasses"/>
    <n v="3"/>
    <n v="30.3"/>
    <n v="90.9"/>
    <d v="2025-03-25T00:00:00"/>
    <d v="2025-03-28T00:00:00"/>
    <s v="F"/>
    <x v="1"/>
    <n v="5"/>
    <s v="California"/>
    <s v="Los Angeles County"/>
    <n v="3"/>
    <n v="13"/>
    <x v="2"/>
  </r>
  <r>
    <s v="TX502278"/>
    <s v="Sneakers"/>
    <n v="3"/>
    <n v="101.4"/>
    <n v="304.20000000000005"/>
    <d v="2025-03-25T00:00:00"/>
    <d v="2025-03-26T00:00:00"/>
    <s v="M"/>
    <x v="0"/>
    <n v="4"/>
    <s v="California"/>
    <s v="Los Angeles County"/>
    <n v="1"/>
    <n v="13"/>
    <x v="1"/>
  </r>
  <r>
    <s v="TX502279"/>
    <s v="Workout Tops"/>
    <n v="5"/>
    <n v="55.5"/>
    <n v="277.5"/>
    <d v="2025-03-25T00:00:00"/>
    <d v="2025-03-28T00:00:00"/>
    <s v="M"/>
    <x v="1"/>
    <n v="4"/>
    <s v="California"/>
    <s v="Merced County"/>
    <n v="3"/>
    <n v="13"/>
    <x v="1"/>
  </r>
  <r>
    <s v="TX502280"/>
    <s v="T-Shirts"/>
    <n v="1"/>
    <n v="23.1"/>
    <n v="23.1"/>
    <d v="2025-03-25T00:00:00"/>
    <d v="2025-03-26T00:00:00"/>
    <s v="M"/>
    <x v="0"/>
    <n v="4"/>
    <s v="California"/>
    <s v="Orange County"/>
    <n v="1"/>
    <n v="13"/>
    <x v="1"/>
  </r>
  <r>
    <s v="TX502281"/>
    <s v="Leggings"/>
    <n v="2"/>
    <n v="38.9"/>
    <n v="77.8"/>
    <d v="2025-03-25T00:00:00"/>
    <d v="2025-03-26T00:00:00"/>
    <s v="M"/>
    <x v="2"/>
    <n v="4"/>
    <s v="California"/>
    <s v="Orange County"/>
    <n v="1"/>
    <n v="13"/>
    <x v="1"/>
  </r>
  <r>
    <s v="TX502282"/>
    <s v="Jeans"/>
    <n v="9"/>
    <n v="116.3"/>
    <n v="1046.7"/>
    <d v="2025-03-25T00:00:00"/>
    <d v="2025-03-29T00:00:00"/>
    <s v="F"/>
    <x v="0"/>
    <n v="4"/>
    <s v="California"/>
    <s v="Placer County"/>
    <n v="4"/>
    <n v="13"/>
    <x v="2"/>
  </r>
  <r>
    <s v="TX502283"/>
    <s v="Sunglasses"/>
    <n v="9"/>
    <n v="64.099999999999994"/>
    <n v="576.9"/>
    <d v="2025-03-25T00:00:00"/>
    <d v="2025-03-25T00:00:00"/>
    <s v="F"/>
    <x v="0"/>
    <n v="5"/>
    <s v="California"/>
    <s v="Sacramento County"/>
    <n v="0"/>
    <n v="13"/>
    <x v="2"/>
  </r>
  <r>
    <s v="TX502284"/>
    <s v="Sneakers"/>
    <n v="6"/>
    <n v="109.2"/>
    <n v="655.20000000000005"/>
    <d v="2025-03-25T00:00:00"/>
    <d v="2025-03-27T00:00:00"/>
    <s v="M"/>
    <x v="0"/>
    <n v="3"/>
    <s v="California"/>
    <s v="San Diego County"/>
    <n v="2"/>
    <n v="13"/>
    <x v="1"/>
  </r>
  <r>
    <s v="TX502285"/>
    <s v="Bikinis"/>
    <n v="5"/>
    <n v="23.2"/>
    <n v="116"/>
    <d v="2025-03-26T00:00:00"/>
    <d v="2025-03-27T00:00:00"/>
    <s v="M"/>
    <x v="0"/>
    <n v="3"/>
    <s v="California"/>
    <s v="San Diego County"/>
    <n v="1"/>
    <n v="13"/>
    <x v="1"/>
  </r>
  <r>
    <s v="TX502286"/>
    <s v="Leggings"/>
    <n v="6"/>
    <n v="81.2"/>
    <n v="487.20000000000005"/>
    <d v="2025-03-26T00:00:00"/>
    <d v="2025-03-28T00:00:00"/>
    <s v="M"/>
    <x v="2"/>
    <n v="5"/>
    <s v="California"/>
    <s v="San Diego County"/>
    <n v="2"/>
    <n v="13"/>
    <x v="1"/>
  </r>
  <r>
    <s v="TX502287"/>
    <s v="Tank Tops"/>
    <n v="14"/>
    <n v="35.700000000000003"/>
    <n v="499.80000000000007"/>
    <d v="2025-03-26T00:00:00"/>
    <d v="2025-03-27T00:00:00"/>
    <s v="M"/>
    <x v="3"/>
    <n v="4"/>
    <s v="California"/>
    <s v="San Diego County"/>
    <n v="1"/>
    <n v="13"/>
    <x v="1"/>
  </r>
  <r>
    <s v="TX502288"/>
    <s v="Hoodies &amp; Sweatshirts"/>
    <n v="2"/>
    <n v="44.5"/>
    <n v="89"/>
    <d v="2025-03-26T00:00:00"/>
    <d v="2025-03-29T00:00:00"/>
    <s v="M"/>
    <x v="4"/>
    <n v="4"/>
    <s v="California"/>
    <s v="San Mateo County"/>
    <n v="3"/>
    <n v="13"/>
    <x v="1"/>
  </r>
  <r>
    <s v="TX502289"/>
    <s v="Tank Tops"/>
    <n v="5"/>
    <n v="32"/>
    <n v="160"/>
    <d v="2025-03-26T00:00:00"/>
    <d v="2025-03-28T00:00:00"/>
    <s v="O"/>
    <x v="1"/>
    <n v="3"/>
    <s v="California"/>
    <s v="San Mateo County"/>
    <n v="2"/>
    <n v="13"/>
    <x v="3"/>
  </r>
  <r>
    <s v="TX502290"/>
    <s v="T-Shirts"/>
    <n v="1"/>
    <n v="25.7"/>
    <n v="25.7"/>
    <d v="2025-03-26T00:00:00"/>
    <d v="2025-03-27T00:00:00"/>
    <s v="M"/>
    <x v="0"/>
    <n v="4"/>
    <s v="California"/>
    <s v="Santa Barbara County"/>
    <n v="1"/>
    <n v="13"/>
    <x v="1"/>
  </r>
  <r>
    <s v="TX502291"/>
    <s v="Sunglasses"/>
    <n v="3"/>
    <n v="65.599999999999994"/>
    <n v="196.79999999999998"/>
    <d v="2025-03-26T00:00:00"/>
    <d v="2025-04-01T00:00:00"/>
    <s v="M"/>
    <x v="0"/>
    <n v="4"/>
    <s v="California"/>
    <s v="Santa Clara County"/>
    <n v="6"/>
    <n v="13"/>
    <x v="1"/>
  </r>
  <r>
    <s v="TX502292"/>
    <s v="Tank Tops"/>
    <n v="4"/>
    <n v="52.1"/>
    <n v="208.4"/>
    <d v="2025-03-26T00:00:00"/>
    <d v="2025-03-27T00:00:00"/>
    <s v="F"/>
    <x v="0"/>
    <n v="5"/>
    <s v="California"/>
    <s v="Santa Clara County"/>
    <n v="1"/>
    <n v="13"/>
    <x v="2"/>
  </r>
  <r>
    <s v="TX502293"/>
    <s v="T-Shirts"/>
    <n v="1"/>
    <n v="31"/>
    <n v="31"/>
    <d v="2025-03-26T00:00:00"/>
    <d v="2025-03-27T00:00:00"/>
    <s v="M"/>
    <x v="0"/>
    <n v="3"/>
    <s v="California"/>
    <s v="Stanislaus County"/>
    <n v="1"/>
    <n v="13"/>
    <x v="1"/>
  </r>
  <r>
    <s v="TX502294"/>
    <s v="T-Shirts"/>
    <n v="1"/>
    <n v="32"/>
    <n v="32"/>
    <d v="2025-03-26T00:00:00"/>
    <d v="2025-03-28T00:00:00"/>
    <s v="O"/>
    <x v="3"/>
    <n v="3"/>
    <s v="California"/>
    <s v="Sutter County"/>
    <n v="2"/>
    <n v="13"/>
    <x v="3"/>
  </r>
  <r>
    <s v="TX502295"/>
    <s v="Sunglasses"/>
    <n v="4"/>
    <n v="58.3"/>
    <n v="233.2"/>
    <d v="2025-03-26T00:00:00"/>
    <d v="2025-03-30T00:00:00"/>
    <s v="M"/>
    <x v="1"/>
    <n v="2"/>
    <s v="California"/>
    <s v="Tulare County"/>
    <n v="4"/>
    <n v="13"/>
    <x v="1"/>
  </r>
  <r>
    <s v="TX502296"/>
    <s v="T-Shirts"/>
    <n v="3"/>
    <n v="31"/>
    <n v="93"/>
    <d v="2025-03-26T00:00:00"/>
    <d v="2025-03-28T00:00:00"/>
    <s v="F"/>
    <x v="2"/>
    <n v="2"/>
    <s v="California"/>
    <s v="Ventura County"/>
    <n v="2"/>
    <n v="13"/>
    <x v="2"/>
  </r>
  <r>
    <s v="TX502297"/>
    <s v="Workout Tops"/>
    <n v="1"/>
    <n v="40.299999999999997"/>
    <n v="40.299999999999997"/>
    <d v="2025-03-26T00:00:00"/>
    <d v="2025-03-27T00:00:00"/>
    <s v="M"/>
    <x v="1"/>
    <n v="5"/>
    <s v="California"/>
    <s v="Colusa County"/>
    <n v="1"/>
    <n v="13"/>
    <x v="1"/>
  </r>
  <r>
    <s v="TX502298"/>
    <s v="Jeans"/>
    <n v="3"/>
    <n v="47.3"/>
    <n v="141.89999999999998"/>
    <d v="2025-03-26T00:00:00"/>
    <d v="2025-03-28T00:00:00"/>
    <s v="M"/>
    <x v="4"/>
    <n v="5"/>
    <s v="California"/>
    <s v="Fresno County"/>
    <n v="2"/>
    <n v="13"/>
    <x v="1"/>
  </r>
  <r>
    <s v="TX502299"/>
    <s v="Sneakers"/>
    <n v="1"/>
    <n v="82.8"/>
    <n v="82.8"/>
    <d v="2025-03-26T00:00:00"/>
    <d v="2025-03-27T00:00:00"/>
    <s v="M"/>
    <x v="0"/>
    <n v="4"/>
    <s v="California"/>
    <s v="Fresno County"/>
    <n v="1"/>
    <n v="13"/>
    <x v="1"/>
  </r>
  <r>
    <s v="TX502300"/>
    <s v="T-Shirts"/>
    <n v="1"/>
    <n v="18.5"/>
    <n v="18.5"/>
    <d v="2025-03-26T00:00:00"/>
    <d v="2025-04-09T00:00:00"/>
    <s v="F"/>
    <x v="0"/>
    <n v="4"/>
    <s v="California"/>
    <s v="Humboldt County"/>
    <n v="14"/>
    <n v="13"/>
    <x v="2"/>
  </r>
  <r>
    <s v="TX502301"/>
    <s v="Workout Tops"/>
    <n v="2"/>
    <n v="60.4"/>
    <n v="120.8"/>
    <d v="2025-03-26T00:00:00"/>
    <d v="2025-03-27T00:00:00"/>
    <s v="M"/>
    <x v="2"/>
    <n v="4"/>
    <s v="California"/>
    <s v="Kern County"/>
    <n v="1"/>
    <n v="13"/>
    <x v="1"/>
  </r>
  <r>
    <s v="TX502302"/>
    <s v="Jeans"/>
    <n v="5"/>
    <n v="80.2"/>
    <n v="401"/>
    <d v="2025-03-26T00:00:00"/>
    <d v="2025-04-02T00:00:00"/>
    <s v="M"/>
    <x v="1"/>
    <n v="3"/>
    <s v="California"/>
    <s v="Lake County"/>
    <n v="7"/>
    <n v="13"/>
    <x v="1"/>
  </r>
  <r>
    <s v="TX502303"/>
    <s v="Graphic Tees"/>
    <n v="1"/>
    <n v="41.5"/>
    <n v="41.5"/>
    <d v="2025-03-26T00:00:00"/>
    <d v="2025-03-28T00:00:00"/>
    <s v="M"/>
    <x v="2"/>
    <n v="4"/>
    <s v="California"/>
    <s v="Los Angeles County"/>
    <n v="2"/>
    <n v="13"/>
    <x v="1"/>
  </r>
  <r>
    <s v="TX502304"/>
    <s v="Sneakers"/>
    <n v="2"/>
    <n v="83.9"/>
    <n v="167.8"/>
    <d v="2025-03-26T00:00:00"/>
    <d v="2025-03-29T00:00:00"/>
    <s v="F"/>
    <x v="0"/>
    <n v="4"/>
    <s v="California"/>
    <s v="Los Angeles County"/>
    <n v="3"/>
    <n v="13"/>
    <x v="2"/>
  </r>
  <r>
    <s v="TX502305"/>
    <s v="T-Shirts"/>
    <n v="2"/>
    <n v="16.7"/>
    <n v="33.4"/>
    <d v="2025-03-26T00:00:00"/>
    <d v="2025-03-30T00:00:00"/>
    <s v="F"/>
    <x v="0"/>
    <n v="3"/>
    <s v="California"/>
    <s v="Los Angeles County"/>
    <n v="4"/>
    <n v="13"/>
    <x v="2"/>
  </r>
  <r>
    <s v="TX502306"/>
    <s v="Sundresses"/>
    <n v="2"/>
    <n v="72.900000000000006"/>
    <n v="145.80000000000001"/>
    <d v="2025-03-26T00:00:00"/>
    <d v="2025-03-27T00:00:00"/>
    <s v="M"/>
    <x v="2"/>
    <n v="3"/>
    <s v="California"/>
    <s v="Los Angeles County"/>
    <n v="1"/>
    <n v="13"/>
    <x v="1"/>
  </r>
  <r>
    <s v="TX502307"/>
    <s v="Sandals"/>
    <n v="2"/>
    <n v="50.2"/>
    <n v="100.4"/>
    <d v="2025-03-26T00:00:00"/>
    <d v="2025-03-28T00:00:00"/>
    <s v="F"/>
    <x v="1"/>
    <n v="5"/>
    <s v="California"/>
    <s v="Los Angeles County"/>
    <n v="2"/>
    <n v="13"/>
    <x v="2"/>
  </r>
  <r>
    <s v="TX502308"/>
    <s v="Workout Tops"/>
    <n v="2"/>
    <n v="34.200000000000003"/>
    <n v="68.400000000000006"/>
    <d v="2025-03-26T00:00:00"/>
    <d v="2025-04-05T00:00:00"/>
    <s v=""/>
    <x v="1"/>
    <n v="4"/>
    <s v="California"/>
    <s v="Los Angeles County"/>
    <n v="10"/>
    <n v="13"/>
    <x v="0"/>
  </r>
  <r>
    <s v="TX502309"/>
    <s v="Sandals"/>
    <n v="2"/>
    <n v="107.9"/>
    <n v="215.8"/>
    <d v="2025-03-26T00:00:00"/>
    <d v="2025-03-26T00:00:00"/>
    <s v="M"/>
    <x v="1"/>
    <n v="2"/>
    <s v="California"/>
    <s v="Los Angeles County"/>
    <n v="0"/>
    <n v="13"/>
    <x v="1"/>
  </r>
  <r>
    <s v="TX502310"/>
    <s v="Shorts"/>
    <n v="3"/>
    <n v="17.5"/>
    <n v="52.5"/>
    <d v="2025-03-26T00:00:00"/>
    <d v="2025-03-28T00:00:00"/>
    <s v="M"/>
    <x v="4"/>
    <n v="4"/>
    <s v="California"/>
    <s v="Los Angeles County"/>
    <n v="2"/>
    <n v="13"/>
    <x v="1"/>
  </r>
  <r>
    <s v="TX502311"/>
    <s v="Tote Bags"/>
    <n v="15"/>
    <n v="44.7"/>
    <n v="670.5"/>
    <d v="2025-03-26T00:00:00"/>
    <d v="2025-03-27T00:00:00"/>
    <s v="M"/>
    <x v="0"/>
    <n v="3"/>
    <s v="California"/>
    <s v="Los Angeles County"/>
    <n v="1"/>
    <n v="13"/>
    <x v="1"/>
  </r>
  <r>
    <s v="TX502312"/>
    <s v="Casual Dresses"/>
    <n v="6"/>
    <n v="92.7"/>
    <n v="556.20000000000005"/>
    <d v="2025-03-26T00:00:00"/>
    <d v="2025-03-28T00:00:00"/>
    <s v="F"/>
    <x v="2"/>
    <n v="3"/>
    <s v="California"/>
    <s v="Los Angeles County"/>
    <n v="2"/>
    <n v="13"/>
    <x v="2"/>
  </r>
  <r>
    <s v="TX502313"/>
    <s v="Hoodies &amp; Sweatshirts"/>
    <n v="3"/>
    <n v="48.8"/>
    <n v="146.39999999999998"/>
    <d v="2025-03-26T00:00:00"/>
    <d v="2025-03-28T00:00:00"/>
    <s v="F"/>
    <x v="2"/>
    <n v="4"/>
    <s v="California"/>
    <s v="Los Angeles County"/>
    <n v="2"/>
    <n v="13"/>
    <x v="2"/>
  </r>
  <r>
    <s v="TX502314"/>
    <s v="Graphic Tees"/>
    <n v="16"/>
    <n v="21.3"/>
    <n v="340.8"/>
    <d v="2025-03-26T00:00:00"/>
    <d v="2025-03-30T00:00:00"/>
    <s v="F"/>
    <x v="3"/>
    <n v="1"/>
    <s v="California"/>
    <s v="Los Angeles County"/>
    <n v="4"/>
    <n v="13"/>
    <x v="2"/>
  </r>
  <r>
    <s v="TX502315"/>
    <s v="Sunglasses"/>
    <n v="1"/>
    <n v="52.5"/>
    <n v="52.5"/>
    <d v="2025-03-26T00:00:00"/>
    <d v="2025-03-27T00:00:00"/>
    <s v="F"/>
    <x v="0"/>
    <n v="4"/>
    <s v="California"/>
    <s v="Los Angeles County"/>
    <n v="1"/>
    <n v="13"/>
    <x v="2"/>
  </r>
  <r>
    <s v="TX502316"/>
    <s v="Tank Tops"/>
    <n v="2"/>
    <n v="92.4"/>
    <n v="184.8"/>
    <d v="2025-03-26T00:00:00"/>
    <d v="2025-04-01T00:00:00"/>
    <s v="F"/>
    <x v="0"/>
    <n v="5"/>
    <s v="California"/>
    <s v="Los Angeles County"/>
    <n v="6"/>
    <n v="13"/>
    <x v="2"/>
  </r>
  <r>
    <s v="TX502317"/>
    <s v="Graphic Tees"/>
    <n v="11"/>
    <n v="58.3"/>
    <n v="641.29999999999995"/>
    <d v="2025-03-26T00:00:00"/>
    <d v="2025-03-28T00:00:00"/>
    <s v="M"/>
    <x v="1"/>
    <n v="5"/>
    <s v="California"/>
    <s v="Los Angeles County"/>
    <n v="2"/>
    <n v="13"/>
    <x v="1"/>
  </r>
  <r>
    <s v="TX502318"/>
    <s v="Jeans"/>
    <n v="23"/>
    <n v="152.6"/>
    <n v="3509.7999999999997"/>
    <d v="2025-03-27T00:00:00"/>
    <d v="2025-03-29T00:00:00"/>
    <s v=""/>
    <x v="0"/>
    <n v="4"/>
    <s v="California"/>
    <s v="Los Angeles County"/>
    <n v="2"/>
    <n v="13"/>
    <x v="0"/>
  </r>
  <r>
    <s v="TX502319"/>
    <s v="T-Shirts"/>
    <n v="2"/>
    <n v="26"/>
    <n v="52"/>
    <d v="2025-03-27T00:00:00"/>
    <d v="2025-03-27T00:00:00"/>
    <s v=""/>
    <x v="0"/>
    <n v="3"/>
    <s v="California"/>
    <s v="Los Angeles County"/>
    <n v="0"/>
    <n v="13"/>
    <x v="0"/>
  </r>
  <r>
    <s v="TX502320"/>
    <s v="Tank Tops"/>
    <n v="4"/>
    <n v="33.1"/>
    <n v="132.4"/>
    <d v="2025-03-27T00:00:00"/>
    <d v="2025-03-27T00:00:00"/>
    <s v="M"/>
    <x v="2"/>
    <n v="2"/>
    <s v="California"/>
    <s v="Placer County"/>
    <n v="0"/>
    <n v="13"/>
    <x v="1"/>
  </r>
  <r>
    <s v="TX502321"/>
    <s v="Leggings"/>
    <n v="1"/>
    <n v="51.4"/>
    <n v="51.4"/>
    <d v="2025-03-27T00:00:00"/>
    <d v="2025-03-29T00:00:00"/>
    <s v="F"/>
    <x v="1"/>
    <n v="3"/>
    <s v="California"/>
    <s v="Placer County"/>
    <n v="2"/>
    <n v="13"/>
    <x v="2"/>
  </r>
  <r>
    <s v="TX502322"/>
    <s v="T-Shirts"/>
    <n v="2"/>
    <n v="30.2"/>
    <n v="60.4"/>
    <d v="2025-03-27T00:00:00"/>
    <d v="2025-03-28T00:00:00"/>
    <s v="F"/>
    <x v="2"/>
    <n v="5"/>
    <s v="California"/>
    <s v="Sacramento County"/>
    <n v="1"/>
    <n v="13"/>
    <x v="2"/>
  </r>
  <r>
    <s v="TX502323"/>
    <s v="Sneakers"/>
    <n v="6"/>
    <n v="97"/>
    <n v="582"/>
    <d v="2025-03-27T00:00:00"/>
    <d v="2025-03-31T00:00:00"/>
    <s v="F"/>
    <x v="0"/>
    <n v="5"/>
    <s v="California"/>
    <s v="San Bernardino County"/>
    <n v="4"/>
    <n v="13"/>
    <x v="2"/>
  </r>
  <r>
    <s v="TX502324"/>
    <s v="Sneakers"/>
    <n v="1"/>
    <n v="76.900000000000006"/>
    <n v="76.900000000000006"/>
    <d v="2025-03-27T00:00:00"/>
    <d v="2025-03-28T00:00:00"/>
    <s v="M"/>
    <x v="1"/>
    <n v="5"/>
    <s v="California"/>
    <s v="San Diego County"/>
    <n v="1"/>
    <n v="13"/>
    <x v="1"/>
  </r>
  <r>
    <s v="TX502325"/>
    <s v="Hoodies &amp; Sweatshirts"/>
    <n v="6"/>
    <n v="36.1"/>
    <n v="216.60000000000002"/>
    <d v="2025-03-27T00:00:00"/>
    <d v="2025-03-31T00:00:00"/>
    <s v="F"/>
    <x v="0"/>
    <n v="4"/>
    <s v="California"/>
    <s v="San Diego County"/>
    <n v="4"/>
    <n v="13"/>
    <x v="2"/>
  </r>
  <r>
    <s v="TX502326"/>
    <s v="Tank Tops"/>
    <n v="7"/>
    <n v="34.4"/>
    <n v="240.79999999999998"/>
    <d v="2025-03-27T00:00:00"/>
    <d v="2025-03-27T00:00:00"/>
    <s v="F"/>
    <x v="2"/>
    <n v="3"/>
    <s v="California"/>
    <s v="Santa Clara County"/>
    <n v="0"/>
    <n v="13"/>
    <x v="2"/>
  </r>
  <r>
    <s v="TX502327"/>
    <s v="Tank Tops"/>
    <n v="28"/>
    <n v="53.4"/>
    <n v="1495.2"/>
    <d v="2025-03-27T00:00:00"/>
    <d v="2025-03-29T00:00:00"/>
    <s v="F"/>
    <x v="1"/>
    <n v="4"/>
    <s v="California"/>
    <s v="Sonoma County"/>
    <n v="2"/>
    <n v="13"/>
    <x v="2"/>
  </r>
  <r>
    <s v="TX502328"/>
    <s v="Sneakers"/>
    <n v="1"/>
    <n v="77.599999999999994"/>
    <n v="77.599999999999994"/>
    <d v="2025-03-27T00:00:00"/>
    <d v="2025-03-28T00:00:00"/>
    <s v="F"/>
    <x v="0"/>
    <n v="3"/>
    <s v="California"/>
    <s v="Stanislaus County"/>
    <n v="1"/>
    <n v="13"/>
    <x v="2"/>
  </r>
  <r>
    <s v="TX502329"/>
    <s v="Tank Tops"/>
    <n v="3"/>
    <n v="71.7"/>
    <n v="215.10000000000002"/>
    <d v="2025-03-27T00:00:00"/>
    <d v="2025-03-30T00:00:00"/>
    <s v="F"/>
    <x v="1"/>
    <n v="4"/>
    <s v="California"/>
    <s v="Stanislaus County"/>
    <n v="3"/>
    <n v="13"/>
    <x v="2"/>
  </r>
  <r>
    <s v="TX502330"/>
    <s v="Workout Tops"/>
    <n v="3"/>
    <n v="80.599999999999994"/>
    <n v="241.79999999999998"/>
    <d v="2025-03-27T00:00:00"/>
    <d v="2025-03-28T00:00:00"/>
    <s v="M"/>
    <x v="4"/>
    <n v="3"/>
    <s v="California"/>
    <s v="Stanislaus County"/>
    <n v="1"/>
    <n v="13"/>
    <x v="1"/>
  </r>
  <r>
    <s v="TX502331"/>
    <s v="Tank Tops"/>
    <n v="15"/>
    <n v="70"/>
    <n v="1050"/>
    <d v="2025-03-27T00:00:00"/>
    <d v="2025-03-29T00:00:00"/>
    <s v="M"/>
    <x v="0"/>
    <n v="4"/>
    <s v="California"/>
    <s v="Tulare County"/>
    <n v="2"/>
    <n v="13"/>
    <x v="1"/>
  </r>
  <r>
    <s v="TX502332"/>
    <s v="Graphic Tees"/>
    <n v="6"/>
    <n v="27.3"/>
    <n v="163.80000000000001"/>
    <d v="2025-03-27T00:00:00"/>
    <d v="2025-03-29T00:00:00"/>
    <s v="F"/>
    <x v="1"/>
    <n v="3"/>
    <s v="California"/>
    <s v="Fresno County"/>
    <n v="2"/>
    <n v="13"/>
    <x v="2"/>
  </r>
  <r>
    <s v="TX502333"/>
    <s v="T-Shirts"/>
    <n v="14"/>
    <n v="37.6"/>
    <n v="526.4"/>
    <d v="2025-03-27T00:00:00"/>
    <d v="2025-03-29T00:00:00"/>
    <s v="M"/>
    <x v="1"/>
    <n v="4"/>
    <s v="California"/>
    <s v="Los Angeles County"/>
    <n v="2"/>
    <n v="13"/>
    <x v="1"/>
  </r>
  <r>
    <s v="TX502334"/>
    <s v="Sandals"/>
    <n v="3"/>
    <n v="36.6"/>
    <n v="109.80000000000001"/>
    <d v="2025-03-27T00:00:00"/>
    <d v="2025-03-29T00:00:00"/>
    <s v="F"/>
    <x v="4"/>
    <n v="4"/>
    <s v="California"/>
    <s v="Los Angeles County"/>
    <n v="2"/>
    <n v="13"/>
    <x v="2"/>
  </r>
  <r>
    <s v="TX502335"/>
    <s v="Tote Bags"/>
    <n v="1"/>
    <n v="55.2"/>
    <n v="55.2"/>
    <d v="2025-03-27T00:00:00"/>
    <d v="2025-03-29T00:00:00"/>
    <s v="M"/>
    <x v="3"/>
    <n v="4"/>
    <s v="California"/>
    <s v="Los Angeles County"/>
    <n v="2"/>
    <n v="13"/>
    <x v="1"/>
  </r>
  <r>
    <s v="TX502336"/>
    <s v="Jeans"/>
    <n v="5"/>
    <n v="59.9"/>
    <n v="299.5"/>
    <d v="2025-03-27T00:00:00"/>
    <d v="2025-03-29T00:00:00"/>
    <s v="M"/>
    <x v="0"/>
    <n v="4"/>
    <s v="California"/>
    <s v="Los Angeles County"/>
    <n v="2"/>
    <n v="13"/>
    <x v="1"/>
  </r>
  <r>
    <s v="TX502337"/>
    <s v="Jeans"/>
    <n v="1"/>
    <n v="44"/>
    <n v="44"/>
    <d v="2025-03-27T00:00:00"/>
    <d v="2025-03-28T00:00:00"/>
    <s v="F"/>
    <x v="2"/>
    <n v="5"/>
    <s v="California"/>
    <s v="Los Angeles County"/>
    <n v="1"/>
    <n v="13"/>
    <x v="2"/>
  </r>
  <r>
    <s v="TX502338"/>
    <s v="Sundresses"/>
    <n v="2"/>
    <n v="68.7"/>
    <n v="137.4"/>
    <d v="2025-03-27T00:00:00"/>
    <d v="2025-03-27T00:00:00"/>
    <s v="M"/>
    <x v="0"/>
    <n v="4"/>
    <s v="California"/>
    <s v="Los Angeles County"/>
    <n v="0"/>
    <n v="13"/>
    <x v="1"/>
  </r>
  <r>
    <s v="TX502339"/>
    <s v="Sandals"/>
    <n v="2"/>
    <n v="61.6"/>
    <n v="123.2"/>
    <d v="2025-03-27T00:00:00"/>
    <d v="2025-03-31T00:00:00"/>
    <s v="M"/>
    <x v="3"/>
    <n v="3"/>
    <s v="California"/>
    <s v="Los Angeles County"/>
    <n v="4"/>
    <n v="13"/>
    <x v="1"/>
  </r>
  <r>
    <s v="TX502340"/>
    <s v="Hoodies &amp; Sweatshirts"/>
    <n v="7"/>
    <n v="51.8"/>
    <n v="362.59999999999997"/>
    <d v="2025-03-27T00:00:00"/>
    <d v="2025-03-28T00:00:00"/>
    <s v="M"/>
    <x v="0"/>
    <n v="4"/>
    <s v="California"/>
    <s v="Los Angeles County"/>
    <n v="1"/>
    <n v="13"/>
    <x v="1"/>
  </r>
  <r>
    <s v="TX502341"/>
    <s v="T-Shirts"/>
    <n v="10"/>
    <n v="46.2"/>
    <n v="462"/>
    <d v="2025-03-27T00:00:00"/>
    <d v="2025-03-29T00:00:00"/>
    <s v="M"/>
    <x v="1"/>
    <n v="5"/>
    <s v="California"/>
    <s v="Los Angeles County"/>
    <n v="2"/>
    <n v="13"/>
    <x v="1"/>
  </r>
  <r>
    <s v="TX502342"/>
    <s v="Shorts"/>
    <n v="2"/>
    <n v="19.399999999999999"/>
    <n v="38.799999999999997"/>
    <d v="2025-03-27T00:00:00"/>
    <d v="2025-03-29T00:00:00"/>
    <s v="F"/>
    <x v="1"/>
    <n v="5"/>
    <s v="California"/>
    <s v="Sacramento County"/>
    <n v="2"/>
    <n v="13"/>
    <x v="2"/>
  </r>
  <r>
    <s v="TX502343"/>
    <s v="Maxi Dresses"/>
    <n v="3"/>
    <n v="52.1"/>
    <n v="156.30000000000001"/>
    <d v="2025-03-27T00:00:00"/>
    <d v="2025-03-30T00:00:00"/>
    <s v="M"/>
    <x v="3"/>
    <n v="1"/>
    <s v="California"/>
    <s v="Sacramento County"/>
    <n v="3"/>
    <n v="13"/>
    <x v="1"/>
  </r>
  <r>
    <s v="TX502344"/>
    <s v="Jeans"/>
    <n v="1"/>
    <n v="74.900000000000006"/>
    <n v="74.900000000000006"/>
    <d v="2025-03-27T00:00:00"/>
    <d v="2025-03-29T00:00:00"/>
    <s v="O"/>
    <x v="0"/>
    <n v="4"/>
    <s v="California"/>
    <s v="San Bernardino County"/>
    <n v="2"/>
    <n v="13"/>
    <x v="3"/>
  </r>
  <r>
    <s v="TX502345"/>
    <s v="Sundresses"/>
    <n v="7"/>
    <n v="49.6"/>
    <n v="347.2"/>
    <d v="2025-03-27T00:00:00"/>
    <d v="2025-03-30T00:00:00"/>
    <s v="F"/>
    <x v="4"/>
    <n v="4"/>
    <s v="California"/>
    <s v="San Diego County"/>
    <n v="3"/>
    <n v="13"/>
    <x v="2"/>
  </r>
  <r>
    <s v="TX502346"/>
    <s v="Sunglasses"/>
    <n v="4"/>
    <n v="82.8"/>
    <n v="331.2"/>
    <d v="2025-03-28T00:00:00"/>
    <d v="2025-03-31T00:00:00"/>
    <s v="F"/>
    <x v="4"/>
    <n v="4"/>
    <s v="California"/>
    <s v="San Diego County"/>
    <n v="3"/>
    <n v="13"/>
    <x v="2"/>
  </r>
  <r>
    <s v="TX502347"/>
    <s v="Sneakers"/>
    <n v="1"/>
    <n v="97.7"/>
    <n v="97.7"/>
    <d v="2025-03-28T00:00:00"/>
    <d v="2025-03-29T00:00:00"/>
    <s v="F"/>
    <x v="1"/>
    <n v="4"/>
    <s v="California"/>
    <s v="San Diego County"/>
    <n v="1"/>
    <n v="13"/>
    <x v="2"/>
  </r>
  <r>
    <s v="TX502348"/>
    <s v="Jeans"/>
    <n v="5"/>
    <n v="83.6"/>
    <n v="418"/>
    <d v="2025-03-28T00:00:00"/>
    <d v="2025-03-29T00:00:00"/>
    <s v="F"/>
    <x v="4"/>
    <n v="4"/>
    <s v="California"/>
    <s v="San Diego County"/>
    <n v="1"/>
    <n v="13"/>
    <x v="2"/>
  </r>
  <r>
    <s v="TX502349"/>
    <s v="T-Shirts"/>
    <n v="5"/>
    <n v="23.5"/>
    <n v="117.5"/>
    <d v="2025-03-28T00:00:00"/>
    <d v="2025-04-01T00:00:00"/>
    <s v="O"/>
    <x v="0"/>
    <n v="4"/>
    <s v="California"/>
    <s v="San Diego County"/>
    <n v="4"/>
    <n v="13"/>
    <x v="3"/>
  </r>
  <r>
    <s v="TX502350"/>
    <s v="Sundresses"/>
    <n v="3"/>
    <n v="44.6"/>
    <n v="133.80000000000001"/>
    <d v="2025-03-28T00:00:00"/>
    <d v="2025-03-31T00:00:00"/>
    <s v="F"/>
    <x v="4"/>
    <n v="3"/>
    <s v="California"/>
    <s v="San Joaquin County"/>
    <n v="3"/>
    <n v="13"/>
    <x v="2"/>
  </r>
  <r>
    <s v="TX502351"/>
    <s v="Shorts"/>
    <n v="3"/>
    <n v="20.100000000000001"/>
    <n v="60.300000000000004"/>
    <d v="2025-03-28T00:00:00"/>
    <d v="2025-03-30T00:00:00"/>
    <s v="F"/>
    <x v="3"/>
    <n v="2"/>
    <s v="California"/>
    <s v="Santa Clara County"/>
    <n v="2"/>
    <n v="13"/>
    <x v="2"/>
  </r>
  <r>
    <s v="TX502352"/>
    <s v="Sneakers"/>
    <n v="5"/>
    <n v="153.6"/>
    <n v="768"/>
    <d v="2025-03-28T00:00:00"/>
    <d v="2025-03-29T00:00:00"/>
    <s v="F"/>
    <x v="1"/>
    <n v="5"/>
    <s v="California"/>
    <s v="Shasta County"/>
    <n v="1"/>
    <n v="13"/>
    <x v="2"/>
  </r>
  <r>
    <s v="TX502353"/>
    <s v="Tank Tops"/>
    <n v="2"/>
    <n v="71.8"/>
    <n v="143.6"/>
    <d v="2025-03-28T00:00:00"/>
    <d v="2025-04-01T00:00:00"/>
    <s v="F"/>
    <x v="1"/>
    <n v="4"/>
    <s v="California"/>
    <s v="Contra Costa County"/>
    <n v="4"/>
    <n v="13"/>
    <x v="2"/>
  </r>
  <r>
    <s v="TX502354"/>
    <s v="Bikinis"/>
    <n v="1"/>
    <n v="64.7"/>
    <n v="64.7"/>
    <d v="2025-03-28T00:00:00"/>
    <d v="2025-03-30T00:00:00"/>
    <s v=""/>
    <x v="0"/>
    <n v="3"/>
    <s v="California"/>
    <s v="Contra Costa County"/>
    <n v="2"/>
    <n v="13"/>
    <x v="0"/>
  </r>
  <r>
    <s v="TX502355"/>
    <s v="Sundresses"/>
    <n v="8"/>
    <n v="60.4"/>
    <n v="483.2"/>
    <d v="2025-03-28T00:00:00"/>
    <d v="2025-03-30T00:00:00"/>
    <s v="F"/>
    <x v="3"/>
    <n v="5"/>
    <s v="California"/>
    <s v="Fresno County"/>
    <n v="2"/>
    <n v="13"/>
    <x v="2"/>
  </r>
  <r>
    <s v="TX502356"/>
    <s v="Jeans"/>
    <n v="4"/>
    <n v="86"/>
    <n v="344"/>
    <d v="2025-03-28T00:00:00"/>
    <d v="2025-03-31T00:00:00"/>
    <s v="F"/>
    <x v="2"/>
    <n v="5"/>
    <s v="California"/>
    <s v="Kern County"/>
    <n v="3"/>
    <n v="13"/>
    <x v="2"/>
  </r>
  <r>
    <s v="TX502357"/>
    <s v="Casual Dresses"/>
    <n v="2"/>
    <n v="42.1"/>
    <n v="84.2"/>
    <d v="2025-03-28T00:00:00"/>
    <d v="2025-03-29T00:00:00"/>
    <s v="F"/>
    <x v="4"/>
    <n v="3"/>
    <s v="California"/>
    <s v="Kings County"/>
    <n v="1"/>
    <n v="13"/>
    <x v="2"/>
  </r>
  <r>
    <s v="TX502358"/>
    <s v="Sunglasses"/>
    <n v="9"/>
    <n v="51.1"/>
    <n v="459.90000000000003"/>
    <d v="2025-03-28T00:00:00"/>
    <d v="2025-03-29T00:00:00"/>
    <s v="M"/>
    <x v="2"/>
    <n v="3"/>
    <s v="California"/>
    <s v="Los Angeles County"/>
    <n v="1"/>
    <n v="13"/>
    <x v="1"/>
  </r>
  <r>
    <s v="TX502359"/>
    <s v="Sundresses"/>
    <n v="4"/>
    <n v="73.8"/>
    <n v="295.2"/>
    <d v="2025-03-28T00:00:00"/>
    <d v="2025-03-29T00:00:00"/>
    <s v="M"/>
    <x v="4"/>
    <n v="4"/>
    <s v="California"/>
    <s v="Los Angeles County"/>
    <n v="1"/>
    <n v="13"/>
    <x v="1"/>
  </r>
  <r>
    <s v="TX502360"/>
    <s v="T-Shirts"/>
    <n v="5"/>
    <n v="27"/>
    <n v="135"/>
    <d v="2025-03-28T00:00:00"/>
    <d v="2025-03-31T00:00:00"/>
    <s v="F"/>
    <x v="2"/>
    <n v="5"/>
    <s v="California"/>
    <s v="Los Angeles County"/>
    <n v="3"/>
    <n v="13"/>
    <x v="2"/>
  </r>
  <r>
    <s v="TX502361"/>
    <s v="T-Shirts"/>
    <n v="6"/>
    <n v="60.1"/>
    <n v="360.6"/>
    <d v="2025-03-28T00:00:00"/>
    <d v="2025-03-29T00:00:00"/>
    <s v="M"/>
    <x v="3"/>
    <n v="4"/>
    <s v="California"/>
    <s v="Los Angeles County"/>
    <n v="1"/>
    <n v="13"/>
    <x v="1"/>
  </r>
  <r>
    <s v="TX502362"/>
    <s v="Sneakers"/>
    <n v="7"/>
    <n v="94.1"/>
    <n v="658.69999999999993"/>
    <d v="2025-03-28T00:00:00"/>
    <d v="2025-03-30T00:00:00"/>
    <s v="F"/>
    <x v="4"/>
    <n v="3"/>
    <s v="California"/>
    <s v="Los Angeles County"/>
    <n v="2"/>
    <n v="13"/>
    <x v="2"/>
  </r>
  <r>
    <s v="TX502363"/>
    <s v="Sneakers"/>
    <n v="2"/>
    <n v="124.1"/>
    <n v="248.2"/>
    <d v="2025-03-28T00:00:00"/>
    <d v="2025-03-28T00:00:00"/>
    <s v="F"/>
    <x v="2"/>
    <n v="1"/>
    <s v="California"/>
    <s v="Marin County"/>
    <n v="0"/>
    <n v="13"/>
    <x v="2"/>
  </r>
  <r>
    <s v="TX502364"/>
    <s v="T-Shirts"/>
    <n v="4"/>
    <n v="16.899999999999999"/>
    <n v="67.599999999999994"/>
    <d v="2025-03-28T00:00:00"/>
    <d v="2025-03-31T00:00:00"/>
    <s v="M"/>
    <x v="3"/>
    <n v="4"/>
    <s v="California"/>
    <s v="Sacramento County"/>
    <n v="3"/>
    <n v="13"/>
    <x v="1"/>
  </r>
  <r>
    <s v="TX502365"/>
    <s v="Tank Tops"/>
    <n v="1"/>
    <n v="36.9"/>
    <n v="36.9"/>
    <d v="2025-03-28T00:00:00"/>
    <d v="2025-03-29T00:00:00"/>
    <s v="M"/>
    <x v="0"/>
    <n v="4"/>
    <s v="California"/>
    <s v="Sacramento County"/>
    <n v="1"/>
    <n v="13"/>
    <x v="1"/>
  </r>
  <r>
    <s v="TX502366"/>
    <s v="Sundresses"/>
    <n v="2"/>
    <n v="22.6"/>
    <n v="45.2"/>
    <d v="2025-03-28T00:00:00"/>
    <d v="2025-04-10T00:00:00"/>
    <s v="F"/>
    <x v="2"/>
    <n v="3"/>
    <s v="California"/>
    <s v="San Diego County"/>
    <n v="13"/>
    <n v="13"/>
    <x v="2"/>
  </r>
  <r>
    <s v="TX502367"/>
    <s v="Hoodies &amp; Sweatshirts"/>
    <n v="4"/>
    <n v="35"/>
    <n v="140"/>
    <d v="2025-03-28T00:00:00"/>
    <d v="2025-04-02T00:00:00"/>
    <s v="M"/>
    <x v="3"/>
    <n v="3"/>
    <s v="California"/>
    <s v="San Diego County"/>
    <n v="5"/>
    <n v="13"/>
    <x v="1"/>
  </r>
  <r>
    <s v="TX502368"/>
    <s v="Sundresses"/>
    <n v="6"/>
    <n v="63.6"/>
    <n v="381.6"/>
    <d v="2025-03-28T00:00:00"/>
    <d v="2025-04-04T00:00:00"/>
    <s v=""/>
    <x v="1"/>
    <n v="5"/>
    <s v="California"/>
    <s v="San Diego County"/>
    <n v="7"/>
    <n v="13"/>
    <x v="0"/>
  </r>
  <r>
    <s v="TX502369"/>
    <s v="Crop Tops"/>
    <n v="4"/>
    <n v="78.599999999999994"/>
    <n v="314.39999999999998"/>
    <d v="2025-03-28T00:00:00"/>
    <d v="2025-03-29T00:00:00"/>
    <s v="M"/>
    <x v="4"/>
    <n v="3"/>
    <s v="California"/>
    <s v="San Diego County"/>
    <n v="1"/>
    <n v="13"/>
    <x v="1"/>
  </r>
  <r>
    <s v="TX502370"/>
    <s v="Workout Tops"/>
    <n v="2"/>
    <n v="38.5"/>
    <n v="77"/>
    <d v="2025-03-28T00:00:00"/>
    <d v="2025-03-29T00:00:00"/>
    <s v="M"/>
    <x v="0"/>
    <n v="5"/>
    <s v="California"/>
    <s v="San Diego County"/>
    <n v="1"/>
    <n v="13"/>
    <x v="1"/>
  </r>
  <r>
    <s v="TX502371"/>
    <s v="T-Shirts"/>
    <n v="11"/>
    <n v="71.5"/>
    <n v="786.5"/>
    <d v="2025-03-28T00:00:00"/>
    <d v="2025-03-29T00:00:00"/>
    <s v="F"/>
    <x v="1"/>
    <n v="2"/>
    <s v="California"/>
    <s v="San Diego County"/>
    <n v="1"/>
    <n v="13"/>
    <x v="2"/>
  </r>
  <r>
    <s v="TX502372"/>
    <s v="Jeans"/>
    <n v="4"/>
    <n v="121.4"/>
    <n v="485.6"/>
    <d v="2025-03-28T00:00:00"/>
    <d v="2025-04-01T00:00:00"/>
    <s v="M"/>
    <x v="1"/>
    <n v="5"/>
    <s v="California"/>
    <s v="San Francisco"/>
    <n v="4"/>
    <n v="13"/>
    <x v="1"/>
  </r>
  <r>
    <s v="TX502373"/>
    <s v="Maxi Dresses"/>
    <n v="1"/>
    <n v="40.200000000000003"/>
    <n v="40.200000000000003"/>
    <d v="2025-03-28T00:00:00"/>
    <d v="2025-03-31T00:00:00"/>
    <s v="F"/>
    <x v="0"/>
    <n v="5"/>
    <s v="California"/>
    <s v="Santa Clara County"/>
    <n v="3"/>
    <n v="13"/>
    <x v="2"/>
  </r>
  <r>
    <s v="TX502374"/>
    <s v="Sandals"/>
    <n v="5"/>
    <n v="31.9"/>
    <n v="159.5"/>
    <d v="2025-03-28T00:00:00"/>
    <d v="2025-03-30T00:00:00"/>
    <s v="F"/>
    <x v="2"/>
    <n v="5"/>
    <s v="California"/>
    <s v="Yolo County"/>
    <n v="2"/>
    <n v="13"/>
    <x v="2"/>
  </r>
  <r>
    <s v="TX502375"/>
    <s v="Baseball Caps"/>
    <n v="5"/>
    <n v="15.8"/>
    <n v="79"/>
    <d v="2025-03-29T00:00:00"/>
    <d v="2025-03-30T00:00:00"/>
    <s v="M"/>
    <x v="3"/>
    <n v="5"/>
    <s v="California"/>
    <s v="Alameda County"/>
    <n v="1"/>
    <n v="13"/>
    <x v="1"/>
  </r>
  <r>
    <s v="TX502376"/>
    <s v="Bikinis"/>
    <n v="2"/>
    <n v="25.1"/>
    <n v="50.2"/>
    <d v="2025-03-29T00:00:00"/>
    <d v="2025-03-31T00:00:00"/>
    <s v=""/>
    <x v="1"/>
    <n v="4"/>
    <s v="California"/>
    <s v="Alameda County"/>
    <n v="2"/>
    <n v="13"/>
    <x v="0"/>
  </r>
  <r>
    <s v="TX502377"/>
    <s v="Tank Tops"/>
    <n v="23"/>
    <n v="38.1"/>
    <n v="876.30000000000007"/>
    <d v="2025-03-29T00:00:00"/>
    <d v="2025-03-30T00:00:00"/>
    <s v="F"/>
    <x v="4"/>
    <n v="4"/>
    <s v="California"/>
    <s v="Contra Costa County"/>
    <n v="1"/>
    <n v="13"/>
    <x v="2"/>
  </r>
  <r>
    <s v="TX502378"/>
    <s v="Workout Tops"/>
    <n v="2"/>
    <n v="42.2"/>
    <n v="84.4"/>
    <d v="2025-03-29T00:00:00"/>
    <d v="2025-03-31T00:00:00"/>
    <s v="F"/>
    <x v="0"/>
    <n v="5"/>
    <s v="California"/>
    <s v="Contra Costa County"/>
    <n v="2"/>
    <n v="13"/>
    <x v="2"/>
  </r>
  <r>
    <s v="TX502379"/>
    <s v="Shorts"/>
    <n v="10"/>
    <n v="12.3"/>
    <n v="123"/>
    <d v="2025-03-29T00:00:00"/>
    <d v="2025-03-30T00:00:00"/>
    <s v="F"/>
    <x v="4"/>
    <n v="4"/>
    <s v="California"/>
    <s v="Fresno County"/>
    <n v="1"/>
    <n v="13"/>
    <x v="2"/>
  </r>
  <r>
    <s v="TX502380"/>
    <s v="Hoodies &amp; Sweatshirts"/>
    <n v="1"/>
    <n v="30.2"/>
    <n v="30.2"/>
    <d v="2025-03-29T00:00:00"/>
    <d v="2025-03-31T00:00:00"/>
    <s v="F"/>
    <x v="1"/>
    <n v="5"/>
    <s v="California"/>
    <s v="Kings County"/>
    <n v="2"/>
    <n v="13"/>
    <x v="2"/>
  </r>
  <r>
    <s v="TX502381"/>
    <s v="Sandals"/>
    <n v="3"/>
    <n v="25.3"/>
    <n v="75.900000000000006"/>
    <d v="2025-03-29T00:00:00"/>
    <d v="2025-04-01T00:00:00"/>
    <s v="F"/>
    <x v="2"/>
    <n v="4"/>
    <s v="California"/>
    <s v="Los Angeles County"/>
    <n v="3"/>
    <n v="13"/>
    <x v="2"/>
  </r>
  <r>
    <s v="TX502382"/>
    <s v="T-Shirts"/>
    <n v="5"/>
    <n v="29.7"/>
    <n v="148.5"/>
    <d v="2025-03-29T00:00:00"/>
    <d v="2025-03-31T00:00:00"/>
    <s v="M"/>
    <x v="3"/>
    <n v="4"/>
    <s v="California"/>
    <s v="Los Angeles County"/>
    <n v="2"/>
    <n v="13"/>
    <x v="1"/>
  </r>
  <r>
    <s v="TX502383"/>
    <s v="Sundresses"/>
    <n v="8"/>
    <n v="32.9"/>
    <n v="263.2"/>
    <d v="2025-03-29T00:00:00"/>
    <d v="2025-03-30T00:00:00"/>
    <s v=""/>
    <x v="3"/>
    <n v="5"/>
    <s v="California"/>
    <s v="Los Angeles County"/>
    <n v="1"/>
    <n v="13"/>
    <x v="0"/>
  </r>
  <r>
    <s v="TX502384"/>
    <s v="Bikinis"/>
    <n v="2"/>
    <n v="43.6"/>
    <n v="87.2"/>
    <d v="2025-03-29T00:00:00"/>
    <d v="2025-03-30T00:00:00"/>
    <s v="M"/>
    <x v="1"/>
    <n v="5"/>
    <s v="California"/>
    <s v="Los Angeles County"/>
    <n v="1"/>
    <n v="13"/>
    <x v="1"/>
  </r>
  <r>
    <s v="TX502385"/>
    <s v="Crop Tops"/>
    <n v="4"/>
    <n v="78.400000000000006"/>
    <n v="313.60000000000002"/>
    <d v="2025-03-29T00:00:00"/>
    <d v="2025-03-30T00:00:00"/>
    <s v="M"/>
    <x v="2"/>
    <n v="4"/>
    <s v="California"/>
    <s v="Los Angeles County"/>
    <n v="1"/>
    <n v="13"/>
    <x v="1"/>
  </r>
  <r>
    <s v="TX502386"/>
    <s v="Jeans"/>
    <n v="2"/>
    <n v="56.5"/>
    <n v="113"/>
    <d v="2025-03-29T00:00:00"/>
    <d v="2025-04-02T00:00:00"/>
    <s v="M"/>
    <x v="1"/>
    <n v="3"/>
    <s v="California"/>
    <s v="Los Angeles County"/>
    <n v="4"/>
    <n v="13"/>
    <x v="1"/>
  </r>
  <r>
    <s v="TX502387"/>
    <s v="Sunglasses"/>
    <n v="1"/>
    <n v="36.700000000000003"/>
    <n v="36.700000000000003"/>
    <d v="2025-03-29T00:00:00"/>
    <d v="2025-03-30T00:00:00"/>
    <s v="F"/>
    <x v="0"/>
    <n v="5"/>
    <s v="California"/>
    <s v="Los Angeles County"/>
    <n v="1"/>
    <n v="13"/>
    <x v="2"/>
  </r>
  <r>
    <s v="TX502388"/>
    <s v="Sneakers"/>
    <n v="4"/>
    <n v="103.6"/>
    <n v="414.4"/>
    <d v="2025-03-29T00:00:00"/>
    <d v="2025-04-09T00:00:00"/>
    <s v="M"/>
    <x v="4"/>
    <n v="5"/>
    <s v="California"/>
    <s v="Los Angeles County"/>
    <n v="11"/>
    <n v="13"/>
    <x v="1"/>
  </r>
  <r>
    <s v="TX502389"/>
    <s v="T-Shirts"/>
    <n v="6"/>
    <n v="16.2"/>
    <n v="97.199999999999989"/>
    <d v="2025-03-29T00:00:00"/>
    <d v="2025-04-02T00:00:00"/>
    <s v="M"/>
    <x v="1"/>
    <n v="5"/>
    <s v="California"/>
    <s v="Sacramento County"/>
    <n v="4"/>
    <n v="13"/>
    <x v="1"/>
  </r>
  <r>
    <s v="TX502390"/>
    <s v="T-Shirts"/>
    <n v="2"/>
    <n v="20.2"/>
    <n v="40.4"/>
    <d v="2025-03-29T00:00:00"/>
    <d v="2025-03-30T00:00:00"/>
    <s v="F"/>
    <x v="0"/>
    <n v="4"/>
    <s v="California"/>
    <s v="Sacramento County"/>
    <n v="1"/>
    <n v="13"/>
    <x v="2"/>
  </r>
  <r>
    <s v="TX502391"/>
    <s v="Maxi Dresses"/>
    <n v="2"/>
    <n v="26.9"/>
    <n v="53.8"/>
    <d v="2025-03-29T00:00:00"/>
    <d v="2025-03-31T00:00:00"/>
    <s v="F"/>
    <x v="2"/>
    <n v="4"/>
    <s v="California"/>
    <s v="Sacramento County"/>
    <n v="2"/>
    <n v="13"/>
    <x v="2"/>
  </r>
  <r>
    <s v="TX502392"/>
    <s v="Tank Tops"/>
    <n v="2"/>
    <n v="82.4"/>
    <n v="164.8"/>
    <d v="2025-03-29T00:00:00"/>
    <d v="2025-04-01T00:00:00"/>
    <s v=""/>
    <x v="0"/>
    <n v="4"/>
    <s v="California"/>
    <s v="San Bernardino County"/>
    <n v="3"/>
    <n v="13"/>
    <x v="0"/>
  </r>
  <r>
    <s v="TX502393"/>
    <s v="Sneakers"/>
    <n v="2"/>
    <n v="117.8"/>
    <n v="235.6"/>
    <d v="2025-03-29T00:00:00"/>
    <d v="2025-03-31T00:00:00"/>
    <s v="M"/>
    <x v="1"/>
    <n v="5"/>
    <s v="California"/>
    <s v="San Diego County"/>
    <n v="2"/>
    <n v="13"/>
    <x v="1"/>
  </r>
  <r>
    <s v="TX502394"/>
    <s v="Maxi Dresses"/>
    <n v="4"/>
    <n v="36.700000000000003"/>
    <n v="146.80000000000001"/>
    <d v="2025-03-29T00:00:00"/>
    <d v="2025-03-30T00:00:00"/>
    <s v="M"/>
    <x v="1"/>
    <n v="4"/>
    <s v="California"/>
    <s v="San Diego County"/>
    <n v="1"/>
    <n v="13"/>
    <x v="1"/>
  </r>
  <r>
    <s v="TX502395"/>
    <s v="Pajama Sets"/>
    <n v="3"/>
    <n v="46.8"/>
    <n v="140.39999999999998"/>
    <d v="2025-03-29T00:00:00"/>
    <d v="2025-03-30T00:00:00"/>
    <s v="M"/>
    <x v="4"/>
    <n v="5"/>
    <s v="California"/>
    <s v="Santa Barbara County"/>
    <n v="1"/>
    <n v="13"/>
    <x v="1"/>
  </r>
  <r>
    <s v="TX502396"/>
    <s v="Workout Tops"/>
    <n v="1"/>
    <n v="61.4"/>
    <n v="61.4"/>
    <d v="2025-03-29T00:00:00"/>
    <d v="2025-03-30T00:00:00"/>
    <s v="M"/>
    <x v="1"/>
    <n v="4"/>
    <s v="California"/>
    <s v="Santa Barbara County"/>
    <n v="1"/>
    <n v="13"/>
    <x v="1"/>
  </r>
  <r>
    <s v="TX502397"/>
    <s v="Crop Tops"/>
    <n v="2"/>
    <n v="22.9"/>
    <n v="45.8"/>
    <d v="2025-03-29T00:00:00"/>
    <d v="2025-03-30T00:00:00"/>
    <s v="M"/>
    <x v="0"/>
    <n v="4"/>
    <s v="California"/>
    <s v="Santa Clara County"/>
    <n v="1"/>
    <n v="13"/>
    <x v="1"/>
  </r>
  <r>
    <s v="TX502398"/>
    <s v="Bikinis"/>
    <n v="2"/>
    <n v="22.1"/>
    <n v="44.2"/>
    <d v="2025-03-29T00:00:00"/>
    <d v="2025-03-30T00:00:00"/>
    <s v="F"/>
    <x v="4"/>
    <n v="4"/>
    <s v="California"/>
    <s v="Santa Clara County"/>
    <n v="1"/>
    <n v="13"/>
    <x v="2"/>
  </r>
  <r>
    <s v="TX502399"/>
    <s v="Casual Dresses"/>
    <n v="2"/>
    <n v="31"/>
    <n v="62"/>
    <d v="2025-03-29T00:00:00"/>
    <d v="2025-03-31T00:00:00"/>
    <s v="F"/>
    <x v="2"/>
    <n v="4"/>
    <s v="California"/>
    <s v="Sonoma County"/>
    <n v="2"/>
    <n v="13"/>
    <x v="2"/>
  </r>
  <r>
    <s v="TX502400"/>
    <s v="Leggings"/>
    <n v="2"/>
    <n v="84.2"/>
    <n v="168.4"/>
    <d v="2025-03-29T00:00:00"/>
    <d v="2025-03-31T00:00:00"/>
    <s v="M"/>
    <x v="2"/>
    <n v="5"/>
    <s v="California"/>
    <s v="Ventura County"/>
    <n v="2"/>
    <n v="13"/>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2400"/>
    <n v="11997"/>
    <n v="649019.80000000144"/>
    <n v="3.9620833333333332"/>
    <n v="2.342499999999999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1">
  <r>
    <s v="TX500001"/>
    <x v="0"/>
    <x v="0"/>
    <n v="10.9"/>
    <n v="10.9"/>
    <x v="0"/>
    <d v="2025-01-06T00:00:00"/>
    <x v="0"/>
    <x v="0"/>
    <x v="0"/>
    <x v="0"/>
    <x v="0"/>
    <x v="0"/>
    <x v="0"/>
    <x v="0"/>
  </r>
  <r>
    <s v="TX500002"/>
    <x v="1"/>
    <x v="1"/>
    <n v="30.6"/>
    <n v="61.2"/>
    <x v="0"/>
    <d v="2025-01-03T00:00:00"/>
    <x v="1"/>
    <x v="0"/>
    <x v="0"/>
    <x v="0"/>
    <x v="1"/>
    <x v="1"/>
    <x v="0"/>
    <x v="1"/>
  </r>
  <r>
    <s v="TX500003"/>
    <x v="2"/>
    <x v="2"/>
    <n v="109.4"/>
    <n v="328.20000000000005"/>
    <x v="0"/>
    <d v="2025-01-04T00:00:00"/>
    <x v="2"/>
    <x v="0"/>
    <x v="1"/>
    <x v="0"/>
    <x v="2"/>
    <x v="2"/>
    <x v="0"/>
    <x v="2"/>
  </r>
  <r>
    <s v="TX500004"/>
    <x v="3"/>
    <x v="3"/>
    <n v="37.700000000000003"/>
    <n v="263.90000000000003"/>
    <x v="0"/>
    <d v="2025-01-02T00:00:00"/>
    <x v="2"/>
    <x v="0"/>
    <x v="0"/>
    <x v="0"/>
    <x v="2"/>
    <x v="3"/>
    <x v="0"/>
    <x v="2"/>
  </r>
  <r>
    <s v="TX500005"/>
    <x v="4"/>
    <x v="2"/>
    <n v="56.7"/>
    <n v="170.10000000000002"/>
    <x v="0"/>
    <d v="2025-01-04T00:00:00"/>
    <x v="2"/>
    <x v="0"/>
    <x v="2"/>
    <x v="0"/>
    <x v="3"/>
    <x v="2"/>
    <x v="0"/>
    <x v="2"/>
  </r>
  <r>
    <s v="TX500006"/>
    <x v="1"/>
    <x v="4"/>
    <n v="83.5"/>
    <n v="1002"/>
    <x v="0"/>
    <d v="2025-01-04T00:00:00"/>
    <x v="1"/>
    <x v="1"/>
    <x v="0"/>
    <x v="0"/>
    <x v="3"/>
    <x v="2"/>
    <x v="0"/>
    <x v="1"/>
  </r>
  <r>
    <s v="TX500007"/>
    <x v="5"/>
    <x v="0"/>
    <n v="55.3"/>
    <n v="55.3"/>
    <x v="0"/>
    <d v="2025-01-02T00:00:00"/>
    <x v="2"/>
    <x v="0"/>
    <x v="0"/>
    <x v="0"/>
    <x v="3"/>
    <x v="3"/>
    <x v="0"/>
    <x v="2"/>
  </r>
  <r>
    <s v="TX500008"/>
    <x v="6"/>
    <x v="1"/>
    <n v="40.299999999999997"/>
    <n v="80.599999999999994"/>
    <x v="0"/>
    <d v="2025-01-02T00:00:00"/>
    <x v="1"/>
    <x v="2"/>
    <x v="2"/>
    <x v="0"/>
    <x v="3"/>
    <x v="3"/>
    <x v="0"/>
    <x v="1"/>
  </r>
  <r>
    <s v="TX500009"/>
    <x v="7"/>
    <x v="5"/>
    <n v="35.700000000000003"/>
    <n v="392.70000000000005"/>
    <x v="0"/>
    <d v="2025-01-02T00:00:00"/>
    <x v="2"/>
    <x v="0"/>
    <x v="0"/>
    <x v="0"/>
    <x v="3"/>
    <x v="3"/>
    <x v="0"/>
    <x v="2"/>
  </r>
  <r>
    <s v="TX500010"/>
    <x v="8"/>
    <x v="3"/>
    <n v="22.4"/>
    <n v="156.79999999999998"/>
    <x v="0"/>
    <d v="2025-01-04T00:00:00"/>
    <x v="1"/>
    <x v="0"/>
    <x v="1"/>
    <x v="0"/>
    <x v="3"/>
    <x v="2"/>
    <x v="0"/>
    <x v="1"/>
  </r>
  <r>
    <s v="TX500011"/>
    <x v="9"/>
    <x v="1"/>
    <n v="54.4"/>
    <n v="108.8"/>
    <x v="0"/>
    <d v="2025-01-07T00:00:00"/>
    <x v="2"/>
    <x v="0"/>
    <x v="0"/>
    <x v="0"/>
    <x v="3"/>
    <x v="4"/>
    <x v="0"/>
    <x v="2"/>
  </r>
  <r>
    <s v="TX500012"/>
    <x v="9"/>
    <x v="1"/>
    <n v="49"/>
    <n v="98"/>
    <x v="0"/>
    <d v="2025-01-03T00:00:00"/>
    <x v="2"/>
    <x v="2"/>
    <x v="1"/>
    <x v="0"/>
    <x v="3"/>
    <x v="1"/>
    <x v="0"/>
    <x v="2"/>
  </r>
  <r>
    <s v="TX500013"/>
    <x v="5"/>
    <x v="3"/>
    <n v="118.6"/>
    <n v="830.19999999999993"/>
    <x v="0"/>
    <d v="2025-01-05T00:00:00"/>
    <x v="2"/>
    <x v="1"/>
    <x v="0"/>
    <x v="0"/>
    <x v="4"/>
    <x v="5"/>
    <x v="0"/>
    <x v="2"/>
  </r>
  <r>
    <s v="TX500014"/>
    <x v="6"/>
    <x v="6"/>
    <n v="88.4"/>
    <n v="2386.8000000000002"/>
    <x v="0"/>
    <d v="2025-01-08T00:00:00"/>
    <x v="1"/>
    <x v="3"/>
    <x v="0"/>
    <x v="0"/>
    <x v="5"/>
    <x v="6"/>
    <x v="0"/>
    <x v="1"/>
  </r>
  <r>
    <s v="TX500015"/>
    <x v="10"/>
    <x v="0"/>
    <n v="66.7"/>
    <n v="66.7"/>
    <x v="0"/>
    <d v="2025-01-04T00:00:00"/>
    <x v="1"/>
    <x v="0"/>
    <x v="0"/>
    <x v="0"/>
    <x v="6"/>
    <x v="2"/>
    <x v="0"/>
    <x v="1"/>
  </r>
  <r>
    <s v="TX500016"/>
    <x v="9"/>
    <x v="7"/>
    <n v="30.9"/>
    <n v="309"/>
    <x v="0"/>
    <d v="2025-01-02T00:00:00"/>
    <x v="1"/>
    <x v="1"/>
    <x v="2"/>
    <x v="0"/>
    <x v="6"/>
    <x v="3"/>
    <x v="0"/>
    <x v="1"/>
  </r>
  <r>
    <s v="TX500017"/>
    <x v="4"/>
    <x v="2"/>
    <n v="31.1"/>
    <n v="93.300000000000011"/>
    <x v="0"/>
    <d v="2025-01-02T00:00:00"/>
    <x v="2"/>
    <x v="0"/>
    <x v="1"/>
    <x v="0"/>
    <x v="6"/>
    <x v="3"/>
    <x v="0"/>
    <x v="2"/>
  </r>
  <r>
    <s v="TX500018"/>
    <x v="7"/>
    <x v="2"/>
    <n v="36.6"/>
    <n v="109.80000000000001"/>
    <x v="0"/>
    <d v="2025-01-04T00:00:00"/>
    <x v="2"/>
    <x v="0"/>
    <x v="0"/>
    <x v="0"/>
    <x v="7"/>
    <x v="2"/>
    <x v="0"/>
    <x v="2"/>
  </r>
  <r>
    <s v="TX500019"/>
    <x v="6"/>
    <x v="8"/>
    <n v="51.1"/>
    <n v="408.8"/>
    <x v="0"/>
    <d v="2025-01-04T00:00:00"/>
    <x v="2"/>
    <x v="2"/>
    <x v="3"/>
    <x v="0"/>
    <x v="7"/>
    <x v="2"/>
    <x v="0"/>
    <x v="2"/>
  </r>
  <r>
    <s v="TX500020"/>
    <x v="9"/>
    <x v="0"/>
    <n v="25.2"/>
    <n v="25.2"/>
    <x v="0"/>
    <d v="2025-01-02T00:00:00"/>
    <x v="2"/>
    <x v="1"/>
    <x v="2"/>
    <x v="0"/>
    <x v="8"/>
    <x v="3"/>
    <x v="0"/>
    <x v="2"/>
  </r>
  <r>
    <s v="TX500021"/>
    <x v="9"/>
    <x v="9"/>
    <n v="43.8"/>
    <n v="219"/>
    <x v="0"/>
    <d v="2025-01-04T00:00:00"/>
    <x v="2"/>
    <x v="2"/>
    <x v="0"/>
    <x v="0"/>
    <x v="8"/>
    <x v="2"/>
    <x v="0"/>
    <x v="2"/>
  </r>
  <r>
    <s v="TX500022"/>
    <x v="8"/>
    <x v="4"/>
    <n v="46.7"/>
    <n v="560.40000000000009"/>
    <x v="0"/>
    <d v="2025-01-02T00:00:00"/>
    <x v="2"/>
    <x v="1"/>
    <x v="1"/>
    <x v="0"/>
    <x v="8"/>
    <x v="3"/>
    <x v="0"/>
    <x v="2"/>
  </r>
  <r>
    <s v="TX500023"/>
    <x v="3"/>
    <x v="10"/>
    <n v="79.900000000000006"/>
    <n v="1518.1000000000001"/>
    <x v="0"/>
    <d v="2025-01-02T00:00:00"/>
    <x v="1"/>
    <x v="0"/>
    <x v="2"/>
    <x v="0"/>
    <x v="8"/>
    <x v="3"/>
    <x v="0"/>
    <x v="1"/>
  </r>
  <r>
    <s v="TX500024"/>
    <x v="11"/>
    <x v="8"/>
    <n v="26.4"/>
    <n v="211.2"/>
    <x v="0"/>
    <d v="2025-01-02T00:00:00"/>
    <x v="2"/>
    <x v="3"/>
    <x v="0"/>
    <x v="0"/>
    <x v="8"/>
    <x v="3"/>
    <x v="0"/>
    <x v="2"/>
  </r>
  <r>
    <s v="TX500025"/>
    <x v="12"/>
    <x v="8"/>
    <n v="88.8"/>
    <n v="710.4"/>
    <x v="0"/>
    <d v="2025-01-02T00:00:00"/>
    <x v="2"/>
    <x v="4"/>
    <x v="0"/>
    <x v="0"/>
    <x v="8"/>
    <x v="3"/>
    <x v="0"/>
    <x v="2"/>
  </r>
  <r>
    <s v="TX500026"/>
    <x v="0"/>
    <x v="7"/>
    <n v="17.5"/>
    <n v="175"/>
    <x v="0"/>
    <d v="2025-01-02T00:00:00"/>
    <x v="2"/>
    <x v="2"/>
    <x v="0"/>
    <x v="0"/>
    <x v="9"/>
    <x v="3"/>
    <x v="0"/>
    <x v="2"/>
  </r>
  <r>
    <s v="TX500027"/>
    <x v="1"/>
    <x v="11"/>
    <n v="38.700000000000003"/>
    <n v="348.3"/>
    <x v="0"/>
    <d v="2025-01-04T00:00:00"/>
    <x v="1"/>
    <x v="1"/>
    <x v="0"/>
    <x v="0"/>
    <x v="10"/>
    <x v="2"/>
    <x v="0"/>
    <x v="1"/>
  </r>
  <r>
    <s v="TX500028"/>
    <x v="13"/>
    <x v="12"/>
    <n v="57.2"/>
    <n v="228.8"/>
    <x v="0"/>
    <d v="2025-01-03T00:00:00"/>
    <x v="0"/>
    <x v="1"/>
    <x v="2"/>
    <x v="0"/>
    <x v="11"/>
    <x v="1"/>
    <x v="0"/>
    <x v="0"/>
  </r>
  <r>
    <s v="TX500029"/>
    <x v="6"/>
    <x v="9"/>
    <n v="50.9"/>
    <n v="254.5"/>
    <x v="0"/>
    <d v="2025-01-07T00:00:00"/>
    <x v="0"/>
    <x v="1"/>
    <x v="2"/>
    <x v="0"/>
    <x v="12"/>
    <x v="4"/>
    <x v="0"/>
    <x v="0"/>
  </r>
  <r>
    <s v="TX500030"/>
    <x v="14"/>
    <x v="3"/>
    <n v="41"/>
    <n v="287"/>
    <x v="0"/>
    <d v="2025-01-05T00:00:00"/>
    <x v="2"/>
    <x v="1"/>
    <x v="0"/>
    <x v="0"/>
    <x v="13"/>
    <x v="5"/>
    <x v="0"/>
    <x v="2"/>
  </r>
  <r>
    <s v="TX500031"/>
    <x v="8"/>
    <x v="3"/>
    <n v="19.100000000000001"/>
    <n v="133.70000000000002"/>
    <x v="0"/>
    <d v="2025-01-05T00:00:00"/>
    <x v="1"/>
    <x v="0"/>
    <x v="2"/>
    <x v="0"/>
    <x v="14"/>
    <x v="5"/>
    <x v="0"/>
    <x v="1"/>
  </r>
  <r>
    <s v="TX500032"/>
    <x v="2"/>
    <x v="9"/>
    <n v="166.1"/>
    <n v="830.5"/>
    <x v="0"/>
    <d v="2025-01-04T00:00:00"/>
    <x v="1"/>
    <x v="0"/>
    <x v="0"/>
    <x v="0"/>
    <x v="15"/>
    <x v="2"/>
    <x v="0"/>
    <x v="1"/>
  </r>
  <r>
    <s v="TX500033"/>
    <x v="4"/>
    <x v="2"/>
    <n v="29.9"/>
    <n v="89.699999999999989"/>
    <x v="0"/>
    <d v="2025-01-02T00:00:00"/>
    <x v="1"/>
    <x v="3"/>
    <x v="0"/>
    <x v="0"/>
    <x v="3"/>
    <x v="3"/>
    <x v="0"/>
    <x v="1"/>
  </r>
  <r>
    <s v="TX500034"/>
    <x v="10"/>
    <x v="13"/>
    <n v="21.7"/>
    <n v="130.19999999999999"/>
    <x v="0"/>
    <d v="2025-01-03T00:00:00"/>
    <x v="3"/>
    <x v="2"/>
    <x v="2"/>
    <x v="0"/>
    <x v="3"/>
    <x v="1"/>
    <x v="0"/>
    <x v="3"/>
  </r>
  <r>
    <s v="TX500035"/>
    <x v="11"/>
    <x v="1"/>
    <n v="32"/>
    <n v="64"/>
    <x v="0"/>
    <d v="2025-01-04T00:00:00"/>
    <x v="1"/>
    <x v="0"/>
    <x v="2"/>
    <x v="0"/>
    <x v="3"/>
    <x v="2"/>
    <x v="0"/>
    <x v="1"/>
  </r>
  <r>
    <s v="TX500036"/>
    <x v="8"/>
    <x v="1"/>
    <n v="15.8"/>
    <n v="31.6"/>
    <x v="0"/>
    <d v="2025-01-02T00:00:00"/>
    <x v="1"/>
    <x v="4"/>
    <x v="2"/>
    <x v="0"/>
    <x v="3"/>
    <x v="3"/>
    <x v="0"/>
    <x v="1"/>
  </r>
  <r>
    <s v="TX500037"/>
    <x v="2"/>
    <x v="14"/>
    <n v="203.1"/>
    <n v="3452.7"/>
    <x v="0"/>
    <d v="2025-01-05T00:00:00"/>
    <x v="1"/>
    <x v="3"/>
    <x v="1"/>
    <x v="0"/>
    <x v="3"/>
    <x v="5"/>
    <x v="0"/>
    <x v="1"/>
  </r>
  <r>
    <s v="TX500038"/>
    <x v="7"/>
    <x v="15"/>
    <n v="39"/>
    <n v="507"/>
    <x v="0"/>
    <d v="2025-01-07T00:00:00"/>
    <x v="1"/>
    <x v="0"/>
    <x v="2"/>
    <x v="0"/>
    <x v="3"/>
    <x v="4"/>
    <x v="0"/>
    <x v="1"/>
  </r>
  <r>
    <s v="TX500039"/>
    <x v="10"/>
    <x v="0"/>
    <n v="26.5"/>
    <n v="26.5"/>
    <x v="1"/>
    <d v="2025-01-03T00:00:00"/>
    <x v="1"/>
    <x v="2"/>
    <x v="0"/>
    <x v="0"/>
    <x v="3"/>
    <x v="3"/>
    <x v="0"/>
    <x v="1"/>
  </r>
  <r>
    <s v="TX500040"/>
    <x v="5"/>
    <x v="0"/>
    <n v="43.1"/>
    <n v="43.1"/>
    <x v="1"/>
    <d v="2025-01-03T00:00:00"/>
    <x v="2"/>
    <x v="2"/>
    <x v="1"/>
    <x v="0"/>
    <x v="3"/>
    <x v="3"/>
    <x v="0"/>
    <x v="2"/>
  </r>
  <r>
    <s v="TX500041"/>
    <x v="1"/>
    <x v="2"/>
    <n v="139"/>
    <n v="417"/>
    <x v="1"/>
    <d v="2025-01-03T00:00:00"/>
    <x v="2"/>
    <x v="4"/>
    <x v="2"/>
    <x v="0"/>
    <x v="3"/>
    <x v="3"/>
    <x v="0"/>
    <x v="2"/>
  </r>
  <r>
    <s v="TX500042"/>
    <x v="12"/>
    <x v="0"/>
    <n v="80.7"/>
    <n v="80.7"/>
    <x v="1"/>
    <d v="2025-01-03T00:00:00"/>
    <x v="1"/>
    <x v="0"/>
    <x v="2"/>
    <x v="0"/>
    <x v="16"/>
    <x v="3"/>
    <x v="0"/>
    <x v="1"/>
  </r>
  <r>
    <s v="TX500043"/>
    <x v="4"/>
    <x v="1"/>
    <n v="54.5"/>
    <n v="109"/>
    <x v="1"/>
    <d v="2025-01-04T00:00:00"/>
    <x v="1"/>
    <x v="1"/>
    <x v="1"/>
    <x v="0"/>
    <x v="6"/>
    <x v="1"/>
    <x v="0"/>
    <x v="1"/>
  </r>
  <r>
    <s v="TX500044"/>
    <x v="6"/>
    <x v="2"/>
    <n v="68.599999999999994"/>
    <n v="205.79999999999998"/>
    <x v="1"/>
    <d v="2025-01-02T00:00:00"/>
    <x v="2"/>
    <x v="0"/>
    <x v="1"/>
    <x v="0"/>
    <x v="8"/>
    <x v="7"/>
    <x v="0"/>
    <x v="2"/>
  </r>
  <r>
    <s v="TX500045"/>
    <x v="2"/>
    <x v="12"/>
    <n v="135.9"/>
    <n v="543.6"/>
    <x v="1"/>
    <d v="2025-01-03T00:00:00"/>
    <x v="2"/>
    <x v="2"/>
    <x v="2"/>
    <x v="0"/>
    <x v="8"/>
    <x v="3"/>
    <x v="0"/>
    <x v="2"/>
  </r>
  <r>
    <s v="TX500046"/>
    <x v="2"/>
    <x v="12"/>
    <n v="70.900000000000006"/>
    <n v="283.60000000000002"/>
    <x v="1"/>
    <d v="2025-01-03T00:00:00"/>
    <x v="2"/>
    <x v="0"/>
    <x v="0"/>
    <x v="0"/>
    <x v="17"/>
    <x v="3"/>
    <x v="0"/>
    <x v="2"/>
  </r>
  <r>
    <s v="TX500047"/>
    <x v="1"/>
    <x v="9"/>
    <n v="63.7"/>
    <n v="318.5"/>
    <x v="1"/>
    <d v="2025-01-03T00:00:00"/>
    <x v="1"/>
    <x v="1"/>
    <x v="1"/>
    <x v="0"/>
    <x v="9"/>
    <x v="3"/>
    <x v="0"/>
    <x v="1"/>
  </r>
  <r>
    <s v="TX500048"/>
    <x v="13"/>
    <x v="0"/>
    <n v="29.7"/>
    <n v="29.7"/>
    <x v="1"/>
    <d v="2025-01-04T00:00:00"/>
    <x v="2"/>
    <x v="1"/>
    <x v="0"/>
    <x v="0"/>
    <x v="11"/>
    <x v="1"/>
    <x v="0"/>
    <x v="2"/>
  </r>
  <r>
    <s v="TX500049"/>
    <x v="4"/>
    <x v="2"/>
    <n v="26.8"/>
    <n v="80.400000000000006"/>
    <x v="1"/>
    <d v="2025-01-11T00:00:00"/>
    <x v="2"/>
    <x v="1"/>
    <x v="2"/>
    <x v="0"/>
    <x v="11"/>
    <x v="8"/>
    <x v="0"/>
    <x v="2"/>
  </r>
  <r>
    <s v="TX500050"/>
    <x v="14"/>
    <x v="0"/>
    <n v="27"/>
    <n v="27"/>
    <x v="1"/>
    <d v="2025-01-04T00:00:00"/>
    <x v="2"/>
    <x v="0"/>
    <x v="0"/>
    <x v="0"/>
    <x v="18"/>
    <x v="1"/>
    <x v="0"/>
    <x v="2"/>
  </r>
  <r>
    <s v="TX500051"/>
    <x v="8"/>
    <x v="0"/>
    <n v="41.4"/>
    <n v="41.4"/>
    <x v="1"/>
    <d v="2025-01-03T00:00:00"/>
    <x v="1"/>
    <x v="1"/>
    <x v="2"/>
    <x v="0"/>
    <x v="19"/>
    <x v="3"/>
    <x v="0"/>
    <x v="1"/>
  </r>
  <r>
    <s v="TX500052"/>
    <x v="8"/>
    <x v="1"/>
    <n v="24.3"/>
    <n v="48.6"/>
    <x v="1"/>
    <d v="2025-01-05T00:00:00"/>
    <x v="2"/>
    <x v="1"/>
    <x v="0"/>
    <x v="0"/>
    <x v="19"/>
    <x v="2"/>
    <x v="0"/>
    <x v="2"/>
  </r>
  <r>
    <s v="TX500053"/>
    <x v="8"/>
    <x v="2"/>
    <n v="41.7"/>
    <n v="125.10000000000001"/>
    <x v="1"/>
    <d v="2025-01-04T00:00:00"/>
    <x v="1"/>
    <x v="0"/>
    <x v="2"/>
    <x v="0"/>
    <x v="20"/>
    <x v="1"/>
    <x v="0"/>
    <x v="1"/>
  </r>
  <r>
    <s v="TX500054"/>
    <x v="0"/>
    <x v="1"/>
    <n v="18"/>
    <n v="36"/>
    <x v="1"/>
    <d v="2025-01-03T00:00:00"/>
    <x v="2"/>
    <x v="0"/>
    <x v="2"/>
    <x v="0"/>
    <x v="21"/>
    <x v="3"/>
    <x v="0"/>
    <x v="2"/>
  </r>
  <r>
    <s v="TX500055"/>
    <x v="7"/>
    <x v="2"/>
    <n v="91.3"/>
    <n v="273.89999999999998"/>
    <x v="1"/>
    <d v="2025-01-05T00:00:00"/>
    <x v="1"/>
    <x v="2"/>
    <x v="2"/>
    <x v="0"/>
    <x v="3"/>
    <x v="2"/>
    <x v="0"/>
    <x v="1"/>
  </r>
  <r>
    <s v="TX500056"/>
    <x v="8"/>
    <x v="8"/>
    <n v="19.3"/>
    <n v="154.4"/>
    <x v="1"/>
    <d v="2025-01-03T00:00:00"/>
    <x v="1"/>
    <x v="0"/>
    <x v="0"/>
    <x v="0"/>
    <x v="3"/>
    <x v="3"/>
    <x v="0"/>
    <x v="1"/>
  </r>
  <r>
    <s v="TX500057"/>
    <x v="12"/>
    <x v="15"/>
    <n v="63.2"/>
    <n v="821.6"/>
    <x v="1"/>
    <d v="2025-01-03T00:00:00"/>
    <x v="2"/>
    <x v="0"/>
    <x v="0"/>
    <x v="0"/>
    <x v="3"/>
    <x v="3"/>
    <x v="0"/>
    <x v="2"/>
  </r>
  <r>
    <s v="TX500058"/>
    <x v="10"/>
    <x v="11"/>
    <n v="33.299999999999997"/>
    <n v="299.7"/>
    <x v="2"/>
    <d v="2025-01-11T00:00:00"/>
    <x v="2"/>
    <x v="0"/>
    <x v="2"/>
    <x v="0"/>
    <x v="3"/>
    <x v="9"/>
    <x v="0"/>
    <x v="2"/>
  </r>
  <r>
    <s v="TX500059"/>
    <x v="7"/>
    <x v="1"/>
    <n v="64.2"/>
    <n v="128.4"/>
    <x v="2"/>
    <d v="2025-01-04T00:00:00"/>
    <x v="1"/>
    <x v="0"/>
    <x v="2"/>
    <x v="0"/>
    <x v="3"/>
    <x v="3"/>
    <x v="0"/>
    <x v="1"/>
  </r>
  <r>
    <s v="TX500060"/>
    <x v="9"/>
    <x v="2"/>
    <n v="23.1"/>
    <n v="69.300000000000011"/>
    <x v="2"/>
    <d v="2025-01-06T00:00:00"/>
    <x v="2"/>
    <x v="1"/>
    <x v="2"/>
    <x v="0"/>
    <x v="3"/>
    <x v="2"/>
    <x v="0"/>
    <x v="2"/>
  </r>
  <r>
    <s v="TX500061"/>
    <x v="15"/>
    <x v="1"/>
    <n v="71.099999999999994"/>
    <n v="142.19999999999999"/>
    <x v="2"/>
    <d v="2025-01-05T00:00:00"/>
    <x v="2"/>
    <x v="3"/>
    <x v="1"/>
    <x v="0"/>
    <x v="3"/>
    <x v="1"/>
    <x v="0"/>
    <x v="2"/>
  </r>
  <r>
    <s v="TX500062"/>
    <x v="0"/>
    <x v="1"/>
    <n v="11.5"/>
    <n v="23"/>
    <x v="2"/>
    <d v="2025-01-04T00:00:00"/>
    <x v="2"/>
    <x v="0"/>
    <x v="0"/>
    <x v="0"/>
    <x v="3"/>
    <x v="3"/>
    <x v="0"/>
    <x v="2"/>
  </r>
  <r>
    <s v="TX500063"/>
    <x v="15"/>
    <x v="10"/>
    <n v="69.2"/>
    <n v="1314.8"/>
    <x v="2"/>
    <d v="2025-01-08T00:00:00"/>
    <x v="2"/>
    <x v="0"/>
    <x v="0"/>
    <x v="0"/>
    <x v="3"/>
    <x v="0"/>
    <x v="0"/>
    <x v="2"/>
  </r>
  <r>
    <s v="TX500064"/>
    <x v="0"/>
    <x v="0"/>
    <n v="26.8"/>
    <n v="26.8"/>
    <x v="2"/>
    <d v="2025-01-04T00:00:00"/>
    <x v="1"/>
    <x v="2"/>
    <x v="4"/>
    <x v="0"/>
    <x v="3"/>
    <x v="3"/>
    <x v="0"/>
    <x v="1"/>
  </r>
  <r>
    <s v="TX500065"/>
    <x v="16"/>
    <x v="2"/>
    <n v="31.2"/>
    <n v="93.6"/>
    <x v="2"/>
    <d v="2025-01-06T00:00:00"/>
    <x v="2"/>
    <x v="0"/>
    <x v="0"/>
    <x v="0"/>
    <x v="3"/>
    <x v="2"/>
    <x v="0"/>
    <x v="2"/>
  </r>
  <r>
    <s v="TX500066"/>
    <x v="12"/>
    <x v="1"/>
    <n v="113.2"/>
    <n v="226.4"/>
    <x v="2"/>
    <d v="2025-01-04T00:00:00"/>
    <x v="2"/>
    <x v="4"/>
    <x v="0"/>
    <x v="0"/>
    <x v="3"/>
    <x v="3"/>
    <x v="0"/>
    <x v="2"/>
  </r>
  <r>
    <s v="TX500067"/>
    <x v="10"/>
    <x v="8"/>
    <n v="21"/>
    <n v="168"/>
    <x v="2"/>
    <d v="2025-01-04T00:00:00"/>
    <x v="1"/>
    <x v="0"/>
    <x v="0"/>
    <x v="0"/>
    <x v="6"/>
    <x v="3"/>
    <x v="0"/>
    <x v="1"/>
  </r>
  <r>
    <s v="TX500068"/>
    <x v="1"/>
    <x v="1"/>
    <n v="89.1"/>
    <n v="178.2"/>
    <x v="2"/>
    <d v="2025-01-04T00:00:00"/>
    <x v="2"/>
    <x v="2"/>
    <x v="2"/>
    <x v="0"/>
    <x v="6"/>
    <x v="3"/>
    <x v="0"/>
    <x v="2"/>
  </r>
  <r>
    <s v="TX500069"/>
    <x v="1"/>
    <x v="0"/>
    <n v="97.7"/>
    <n v="97.7"/>
    <x v="2"/>
    <d v="2025-01-05T00:00:00"/>
    <x v="2"/>
    <x v="0"/>
    <x v="1"/>
    <x v="0"/>
    <x v="6"/>
    <x v="1"/>
    <x v="0"/>
    <x v="2"/>
  </r>
  <r>
    <s v="TX500070"/>
    <x v="15"/>
    <x v="12"/>
    <n v="97.7"/>
    <n v="390.8"/>
    <x v="2"/>
    <d v="2025-01-05T00:00:00"/>
    <x v="1"/>
    <x v="3"/>
    <x v="0"/>
    <x v="0"/>
    <x v="6"/>
    <x v="1"/>
    <x v="0"/>
    <x v="1"/>
  </r>
  <r>
    <s v="TX500071"/>
    <x v="17"/>
    <x v="2"/>
    <n v="47.4"/>
    <n v="142.19999999999999"/>
    <x v="2"/>
    <d v="2025-01-06T00:00:00"/>
    <x v="1"/>
    <x v="3"/>
    <x v="2"/>
    <x v="0"/>
    <x v="8"/>
    <x v="2"/>
    <x v="0"/>
    <x v="1"/>
  </r>
  <r>
    <s v="TX500072"/>
    <x v="7"/>
    <x v="0"/>
    <n v="89.6"/>
    <n v="89.6"/>
    <x v="2"/>
    <d v="2025-01-06T00:00:00"/>
    <x v="2"/>
    <x v="0"/>
    <x v="2"/>
    <x v="0"/>
    <x v="8"/>
    <x v="2"/>
    <x v="0"/>
    <x v="2"/>
  </r>
  <r>
    <s v="TX500073"/>
    <x v="10"/>
    <x v="16"/>
    <n v="28.4"/>
    <n v="511.2"/>
    <x v="2"/>
    <d v="2025-01-06T00:00:00"/>
    <x v="2"/>
    <x v="3"/>
    <x v="2"/>
    <x v="0"/>
    <x v="17"/>
    <x v="2"/>
    <x v="0"/>
    <x v="2"/>
  </r>
  <r>
    <s v="TX500074"/>
    <x v="0"/>
    <x v="1"/>
    <n v="17.899999999999999"/>
    <n v="35.799999999999997"/>
    <x v="2"/>
    <d v="2025-01-04T00:00:00"/>
    <x v="2"/>
    <x v="0"/>
    <x v="2"/>
    <x v="0"/>
    <x v="9"/>
    <x v="3"/>
    <x v="0"/>
    <x v="2"/>
  </r>
  <r>
    <s v="TX500075"/>
    <x v="9"/>
    <x v="1"/>
    <n v="48.4"/>
    <n v="96.8"/>
    <x v="2"/>
    <d v="2025-01-06T00:00:00"/>
    <x v="1"/>
    <x v="1"/>
    <x v="0"/>
    <x v="0"/>
    <x v="9"/>
    <x v="2"/>
    <x v="0"/>
    <x v="1"/>
  </r>
  <r>
    <s v="TX500076"/>
    <x v="12"/>
    <x v="12"/>
    <n v="44.4"/>
    <n v="177.6"/>
    <x v="2"/>
    <d v="2025-01-04T00:00:00"/>
    <x v="3"/>
    <x v="1"/>
    <x v="1"/>
    <x v="0"/>
    <x v="11"/>
    <x v="3"/>
    <x v="0"/>
    <x v="3"/>
  </r>
  <r>
    <s v="TX500077"/>
    <x v="2"/>
    <x v="8"/>
    <n v="103.7"/>
    <n v="829.6"/>
    <x v="2"/>
    <d v="2025-01-04T00:00:00"/>
    <x v="2"/>
    <x v="0"/>
    <x v="1"/>
    <x v="0"/>
    <x v="19"/>
    <x v="3"/>
    <x v="0"/>
    <x v="2"/>
  </r>
  <r>
    <s v="TX500078"/>
    <x v="5"/>
    <x v="12"/>
    <n v="58.6"/>
    <n v="234.4"/>
    <x v="2"/>
    <d v="2025-01-05T00:00:00"/>
    <x v="1"/>
    <x v="3"/>
    <x v="0"/>
    <x v="0"/>
    <x v="19"/>
    <x v="1"/>
    <x v="0"/>
    <x v="1"/>
  </r>
  <r>
    <s v="TX500079"/>
    <x v="9"/>
    <x v="12"/>
    <n v="54.8"/>
    <n v="219.2"/>
    <x v="2"/>
    <d v="2025-01-07T00:00:00"/>
    <x v="2"/>
    <x v="2"/>
    <x v="1"/>
    <x v="0"/>
    <x v="13"/>
    <x v="5"/>
    <x v="0"/>
    <x v="2"/>
  </r>
  <r>
    <s v="TX500080"/>
    <x v="12"/>
    <x v="2"/>
    <n v="78.8"/>
    <n v="236.39999999999998"/>
    <x v="2"/>
    <d v="2025-01-09T00:00:00"/>
    <x v="2"/>
    <x v="4"/>
    <x v="1"/>
    <x v="0"/>
    <x v="21"/>
    <x v="4"/>
    <x v="0"/>
    <x v="2"/>
  </r>
  <r>
    <s v="TX500081"/>
    <x v="18"/>
    <x v="9"/>
    <n v="36.799999999999997"/>
    <n v="184"/>
    <x v="2"/>
    <d v="2025-01-06T00:00:00"/>
    <x v="1"/>
    <x v="4"/>
    <x v="1"/>
    <x v="0"/>
    <x v="22"/>
    <x v="2"/>
    <x v="0"/>
    <x v="1"/>
  </r>
  <r>
    <s v="TX500082"/>
    <x v="6"/>
    <x v="13"/>
    <n v="50.6"/>
    <n v="303.60000000000002"/>
    <x v="2"/>
    <d v="2025-01-05T00:00:00"/>
    <x v="2"/>
    <x v="3"/>
    <x v="0"/>
    <x v="0"/>
    <x v="3"/>
    <x v="1"/>
    <x v="0"/>
    <x v="2"/>
  </r>
  <r>
    <s v="TX500083"/>
    <x v="15"/>
    <x v="2"/>
    <n v="36.799999999999997"/>
    <n v="110.39999999999999"/>
    <x v="2"/>
    <d v="2025-01-03T00:00:00"/>
    <x v="1"/>
    <x v="2"/>
    <x v="1"/>
    <x v="0"/>
    <x v="3"/>
    <x v="7"/>
    <x v="0"/>
    <x v="1"/>
  </r>
  <r>
    <s v="TX500084"/>
    <x v="8"/>
    <x v="11"/>
    <n v="41.8"/>
    <n v="376.2"/>
    <x v="3"/>
    <d v="2025-01-10T00:00:00"/>
    <x v="2"/>
    <x v="3"/>
    <x v="0"/>
    <x v="0"/>
    <x v="3"/>
    <x v="4"/>
    <x v="0"/>
    <x v="2"/>
  </r>
  <r>
    <s v="TX500085"/>
    <x v="18"/>
    <x v="0"/>
    <n v="77.3"/>
    <n v="77.3"/>
    <x v="3"/>
    <d v="2025-01-05T00:00:00"/>
    <x v="1"/>
    <x v="4"/>
    <x v="4"/>
    <x v="0"/>
    <x v="3"/>
    <x v="3"/>
    <x v="0"/>
    <x v="1"/>
  </r>
  <r>
    <s v="TX500086"/>
    <x v="8"/>
    <x v="12"/>
    <n v="19.8"/>
    <n v="79.2"/>
    <x v="3"/>
    <d v="2025-01-10T00:00:00"/>
    <x v="1"/>
    <x v="1"/>
    <x v="2"/>
    <x v="0"/>
    <x v="3"/>
    <x v="4"/>
    <x v="0"/>
    <x v="1"/>
  </r>
  <r>
    <s v="TX500087"/>
    <x v="13"/>
    <x v="12"/>
    <n v="15.5"/>
    <n v="62"/>
    <x v="3"/>
    <d v="2025-01-05T00:00:00"/>
    <x v="2"/>
    <x v="1"/>
    <x v="2"/>
    <x v="0"/>
    <x v="3"/>
    <x v="3"/>
    <x v="0"/>
    <x v="2"/>
  </r>
  <r>
    <s v="TX500088"/>
    <x v="12"/>
    <x v="0"/>
    <n v="46.8"/>
    <n v="46.8"/>
    <x v="3"/>
    <d v="2025-01-08T00:00:00"/>
    <x v="1"/>
    <x v="0"/>
    <x v="2"/>
    <x v="0"/>
    <x v="3"/>
    <x v="5"/>
    <x v="0"/>
    <x v="1"/>
  </r>
  <r>
    <s v="TX500089"/>
    <x v="9"/>
    <x v="11"/>
    <n v="28.6"/>
    <n v="257.40000000000003"/>
    <x v="3"/>
    <d v="2025-01-08T00:00:00"/>
    <x v="1"/>
    <x v="0"/>
    <x v="2"/>
    <x v="0"/>
    <x v="3"/>
    <x v="5"/>
    <x v="0"/>
    <x v="1"/>
  </r>
  <r>
    <s v="TX500090"/>
    <x v="2"/>
    <x v="0"/>
    <n v="97.7"/>
    <n v="97.7"/>
    <x v="3"/>
    <d v="2025-01-07T00:00:00"/>
    <x v="2"/>
    <x v="1"/>
    <x v="0"/>
    <x v="0"/>
    <x v="3"/>
    <x v="2"/>
    <x v="0"/>
    <x v="2"/>
  </r>
  <r>
    <s v="TX500091"/>
    <x v="9"/>
    <x v="9"/>
    <n v="54.7"/>
    <n v="273.5"/>
    <x v="3"/>
    <d v="2025-01-07T00:00:00"/>
    <x v="0"/>
    <x v="0"/>
    <x v="2"/>
    <x v="0"/>
    <x v="23"/>
    <x v="2"/>
    <x v="0"/>
    <x v="0"/>
  </r>
  <r>
    <s v="TX500092"/>
    <x v="2"/>
    <x v="13"/>
    <n v="130.5"/>
    <n v="783"/>
    <x v="3"/>
    <d v="2025-01-06T00:00:00"/>
    <x v="2"/>
    <x v="0"/>
    <x v="1"/>
    <x v="0"/>
    <x v="23"/>
    <x v="1"/>
    <x v="0"/>
    <x v="2"/>
  </r>
  <r>
    <s v="TX500093"/>
    <x v="11"/>
    <x v="1"/>
    <n v="50.4"/>
    <n v="100.8"/>
    <x v="3"/>
    <d v="2025-01-06T00:00:00"/>
    <x v="1"/>
    <x v="2"/>
    <x v="2"/>
    <x v="0"/>
    <x v="6"/>
    <x v="1"/>
    <x v="0"/>
    <x v="1"/>
  </r>
  <r>
    <s v="TX500094"/>
    <x v="6"/>
    <x v="15"/>
    <n v="61.5"/>
    <n v="799.5"/>
    <x v="3"/>
    <d v="2025-01-05T00:00:00"/>
    <x v="0"/>
    <x v="3"/>
    <x v="1"/>
    <x v="0"/>
    <x v="11"/>
    <x v="3"/>
    <x v="0"/>
    <x v="0"/>
  </r>
  <r>
    <s v="TX500095"/>
    <x v="9"/>
    <x v="12"/>
    <n v="30.1"/>
    <n v="120.4"/>
    <x v="3"/>
    <d v="2025-01-05T00:00:00"/>
    <x v="2"/>
    <x v="0"/>
    <x v="2"/>
    <x v="0"/>
    <x v="21"/>
    <x v="3"/>
    <x v="0"/>
    <x v="2"/>
  </r>
  <r>
    <s v="TX500096"/>
    <x v="2"/>
    <x v="9"/>
    <n v="74.8"/>
    <n v="374"/>
    <x v="3"/>
    <d v="2025-01-05T00:00:00"/>
    <x v="2"/>
    <x v="1"/>
    <x v="0"/>
    <x v="0"/>
    <x v="1"/>
    <x v="3"/>
    <x v="0"/>
    <x v="2"/>
  </r>
  <r>
    <s v="TX500097"/>
    <x v="16"/>
    <x v="2"/>
    <n v="64.900000000000006"/>
    <n v="194.70000000000002"/>
    <x v="3"/>
    <d v="2025-01-11T00:00:00"/>
    <x v="1"/>
    <x v="0"/>
    <x v="0"/>
    <x v="0"/>
    <x v="2"/>
    <x v="6"/>
    <x v="0"/>
    <x v="1"/>
  </r>
  <r>
    <s v="TX500098"/>
    <x v="9"/>
    <x v="1"/>
    <n v="50.5"/>
    <n v="101"/>
    <x v="3"/>
    <d v="2025-01-06T00:00:00"/>
    <x v="1"/>
    <x v="1"/>
    <x v="0"/>
    <x v="0"/>
    <x v="22"/>
    <x v="1"/>
    <x v="0"/>
    <x v="1"/>
  </r>
  <r>
    <s v="TX500099"/>
    <x v="11"/>
    <x v="3"/>
    <n v="63"/>
    <n v="441"/>
    <x v="3"/>
    <d v="2025-01-07T00:00:00"/>
    <x v="1"/>
    <x v="3"/>
    <x v="2"/>
    <x v="0"/>
    <x v="3"/>
    <x v="2"/>
    <x v="0"/>
    <x v="1"/>
  </r>
  <r>
    <s v="TX500100"/>
    <x v="2"/>
    <x v="2"/>
    <n v="93.6"/>
    <n v="280.79999999999995"/>
    <x v="3"/>
    <d v="2025-01-17T00:00:00"/>
    <x v="2"/>
    <x v="0"/>
    <x v="2"/>
    <x v="0"/>
    <x v="3"/>
    <x v="10"/>
    <x v="0"/>
    <x v="2"/>
  </r>
  <r>
    <s v="TX500101"/>
    <x v="5"/>
    <x v="17"/>
    <n v="41.4"/>
    <n v="1242"/>
    <x v="3"/>
    <d v="2025-01-08T00:00:00"/>
    <x v="1"/>
    <x v="2"/>
    <x v="2"/>
    <x v="0"/>
    <x v="3"/>
    <x v="5"/>
    <x v="0"/>
    <x v="1"/>
  </r>
  <r>
    <s v="TX500102"/>
    <x v="2"/>
    <x v="1"/>
    <n v="160"/>
    <n v="320"/>
    <x v="4"/>
    <d v="2025-01-06T00:00:00"/>
    <x v="1"/>
    <x v="2"/>
    <x v="2"/>
    <x v="0"/>
    <x v="5"/>
    <x v="3"/>
    <x v="1"/>
    <x v="1"/>
  </r>
  <r>
    <s v="TX500103"/>
    <x v="19"/>
    <x v="5"/>
    <n v="10.5"/>
    <n v="115.5"/>
    <x v="4"/>
    <d v="2025-01-08T00:00:00"/>
    <x v="2"/>
    <x v="4"/>
    <x v="0"/>
    <x v="0"/>
    <x v="8"/>
    <x v="2"/>
    <x v="1"/>
    <x v="2"/>
  </r>
  <r>
    <s v="TX500104"/>
    <x v="10"/>
    <x v="1"/>
    <n v="53"/>
    <n v="106"/>
    <x v="4"/>
    <d v="2025-01-05T00:00:00"/>
    <x v="1"/>
    <x v="2"/>
    <x v="4"/>
    <x v="0"/>
    <x v="17"/>
    <x v="7"/>
    <x v="1"/>
    <x v="1"/>
  </r>
  <r>
    <s v="TX500105"/>
    <x v="8"/>
    <x v="2"/>
    <n v="18.5"/>
    <n v="55.5"/>
    <x v="4"/>
    <d v="2025-01-10T00:00:00"/>
    <x v="2"/>
    <x v="1"/>
    <x v="2"/>
    <x v="0"/>
    <x v="11"/>
    <x v="0"/>
    <x v="1"/>
    <x v="2"/>
  </r>
  <r>
    <s v="TX500106"/>
    <x v="16"/>
    <x v="2"/>
    <n v="84.5"/>
    <n v="253.5"/>
    <x v="4"/>
    <d v="2025-01-07T00:00:00"/>
    <x v="2"/>
    <x v="4"/>
    <x v="1"/>
    <x v="0"/>
    <x v="13"/>
    <x v="1"/>
    <x v="1"/>
    <x v="2"/>
  </r>
  <r>
    <s v="TX500107"/>
    <x v="15"/>
    <x v="3"/>
    <n v="31.2"/>
    <n v="218.4"/>
    <x v="4"/>
    <d v="2025-01-05T00:00:00"/>
    <x v="2"/>
    <x v="2"/>
    <x v="2"/>
    <x v="0"/>
    <x v="3"/>
    <x v="7"/>
    <x v="1"/>
    <x v="2"/>
  </r>
  <r>
    <s v="TX500108"/>
    <x v="8"/>
    <x v="16"/>
    <n v="32.6"/>
    <n v="586.80000000000007"/>
    <x v="4"/>
    <d v="2025-01-06T00:00:00"/>
    <x v="1"/>
    <x v="1"/>
    <x v="1"/>
    <x v="0"/>
    <x v="3"/>
    <x v="3"/>
    <x v="1"/>
    <x v="1"/>
  </r>
  <r>
    <s v="TX500109"/>
    <x v="10"/>
    <x v="12"/>
    <n v="45.4"/>
    <n v="181.6"/>
    <x v="4"/>
    <d v="2025-01-07T00:00:00"/>
    <x v="1"/>
    <x v="1"/>
    <x v="0"/>
    <x v="0"/>
    <x v="3"/>
    <x v="1"/>
    <x v="1"/>
    <x v="1"/>
  </r>
  <r>
    <s v="TX500110"/>
    <x v="2"/>
    <x v="4"/>
    <n v="120"/>
    <n v="1440"/>
    <x v="4"/>
    <d v="2025-01-06T00:00:00"/>
    <x v="2"/>
    <x v="2"/>
    <x v="4"/>
    <x v="0"/>
    <x v="3"/>
    <x v="3"/>
    <x v="1"/>
    <x v="2"/>
  </r>
  <r>
    <s v="TX500111"/>
    <x v="0"/>
    <x v="12"/>
    <n v="18.899999999999999"/>
    <n v="75.599999999999994"/>
    <x v="4"/>
    <d v="2025-01-07T00:00:00"/>
    <x v="1"/>
    <x v="0"/>
    <x v="2"/>
    <x v="0"/>
    <x v="3"/>
    <x v="1"/>
    <x v="1"/>
    <x v="1"/>
  </r>
  <r>
    <s v="TX500112"/>
    <x v="4"/>
    <x v="0"/>
    <n v="32"/>
    <n v="32"/>
    <x v="4"/>
    <d v="2025-01-07T00:00:00"/>
    <x v="2"/>
    <x v="4"/>
    <x v="0"/>
    <x v="0"/>
    <x v="3"/>
    <x v="1"/>
    <x v="1"/>
    <x v="2"/>
  </r>
  <r>
    <s v="TX500113"/>
    <x v="7"/>
    <x v="1"/>
    <n v="37.299999999999997"/>
    <n v="74.599999999999994"/>
    <x v="4"/>
    <d v="2025-01-06T00:00:00"/>
    <x v="1"/>
    <x v="2"/>
    <x v="0"/>
    <x v="0"/>
    <x v="3"/>
    <x v="3"/>
    <x v="1"/>
    <x v="1"/>
  </r>
  <r>
    <s v="TX500114"/>
    <x v="18"/>
    <x v="0"/>
    <n v="119.8"/>
    <n v="119.8"/>
    <x v="4"/>
    <d v="2025-01-06T00:00:00"/>
    <x v="1"/>
    <x v="1"/>
    <x v="1"/>
    <x v="0"/>
    <x v="3"/>
    <x v="3"/>
    <x v="1"/>
    <x v="1"/>
  </r>
  <r>
    <s v="TX500115"/>
    <x v="10"/>
    <x v="1"/>
    <n v="26.4"/>
    <n v="52.8"/>
    <x v="4"/>
    <d v="2025-01-08T00:00:00"/>
    <x v="1"/>
    <x v="2"/>
    <x v="0"/>
    <x v="0"/>
    <x v="3"/>
    <x v="2"/>
    <x v="1"/>
    <x v="1"/>
  </r>
  <r>
    <s v="TX500116"/>
    <x v="6"/>
    <x v="13"/>
    <n v="76.5"/>
    <n v="459"/>
    <x v="4"/>
    <d v="2025-01-06T00:00:00"/>
    <x v="2"/>
    <x v="1"/>
    <x v="1"/>
    <x v="0"/>
    <x v="3"/>
    <x v="3"/>
    <x v="1"/>
    <x v="2"/>
  </r>
  <r>
    <s v="TX500117"/>
    <x v="4"/>
    <x v="7"/>
    <n v="45.7"/>
    <n v="457"/>
    <x v="4"/>
    <d v="2025-01-06T00:00:00"/>
    <x v="2"/>
    <x v="2"/>
    <x v="0"/>
    <x v="0"/>
    <x v="24"/>
    <x v="3"/>
    <x v="1"/>
    <x v="2"/>
  </r>
  <r>
    <s v="TX500118"/>
    <x v="1"/>
    <x v="4"/>
    <n v="92.6"/>
    <n v="1111.1999999999998"/>
    <x v="4"/>
    <d v="2025-01-07T00:00:00"/>
    <x v="2"/>
    <x v="2"/>
    <x v="0"/>
    <x v="0"/>
    <x v="25"/>
    <x v="1"/>
    <x v="1"/>
    <x v="2"/>
  </r>
  <r>
    <s v="TX500119"/>
    <x v="6"/>
    <x v="13"/>
    <n v="60.1"/>
    <n v="360.6"/>
    <x v="4"/>
    <d v="2025-01-06T00:00:00"/>
    <x v="1"/>
    <x v="1"/>
    <x v="0"/>
    <x v="0"/>
    <x v="23"/>
    <x v="3"/>
    <x v="1"/>
    <x v="1"/>
  </r>
  <r>
    <s v="TX500120"/>
    <x v="1"/>
    <x v="2"/>
    <n v="73"/>
    <n v="219"/>
    <x v="4"/>
    <d v="2025-01-06T00:00:00"/>
    <x v="2"/>
    <x v="3"/>
    <x v="1"/>
    <x v="0"/>
    <x v="6"/>
    <x v="3"/>
    <x v="1"/>
    <x v="2"/>
  </r>
  <r>
    <s v="TX500121"/>
    <x v="6"/>
    <x v="2"/>
    <n v="44.3"/>
    <n v="132.89999999999998"/>
    <x v="4"/>
    <d v="2025-01-09T00:00:00"/>
    <x v="0"/>
    <x v="2"/>
    <x v="2"/>
    <x v="0"/>
    <x v="6"/>
    <x v="5"/>
    <x v="1"/>
    <x v="0"/>
  </r>
  <r>
    <s v="TX500122"/>
    <x v="6"/>
    <x v="2"/>
    <n v="63.3"/>
    <n v="189.89999999999998"/>
    <x v="4"/>
    <d v="2025-01-06T00:00:00"/>
    <x v="1"/>
    <x v="2"/>
    <x v="0"/>
    <x v="0"/>
    <x v="6"/>
    <x v="3"/>
    <x v="1"/>
    <x v="1"/>
  </r>
  <r>
    <s v="TX500123"/>
    <x v="12"/>
    <x v="0"/>
    <n v="66.8"/>
    <n v="66.8"/>
    <x v="4"/>
    <d v="2025-01-06T00:00:00"/>
    <x v="2"/>
    <x v="1"/>
    <x v="0"/>
    <x v="0"/>
    <x v="6"/>
    <x v="3"/>
    <x v="1"/>
    <x v="2"/>
  </r>
  <r>
    <s v="TX500124"/>
    <x v="2"/>
    <x v="1"/>
    <n v="59.7"/>
    <n v="119.4"/>
    <x v="4"/>
    <d v="2025-01-06T00:00:00"/>
    <x v="2"/>
    <x v="0"/>
    <x v="0"/>
    <x v="0"/>
    <x v="7"/>
    <x v="3"/>
    <x v="1"/>
    <x v="2"/>
  </r>
  <r>
    <s v="TX500125"/>
    <x v="1"/>
    <x v="13"/>
    <n v="92"/>
    <n v="552"/>
    <x v="4"/>
    <d v="2025-01-07T00:00:00"/>
    <x v="1"/>
    <x v="0"/>
    <x v="4"/>
    <x v="0"/>
    <x v="7"/>
    <x v="1"/>
    <x v="1"/>
    <x v="1"/>
  </r>
  <r>
    <s v="TX500126"/>
    <x v="7"/>
    <x v="1"/>
    <n v="87.6"/>
    <n v="175.2"/>
    <x v="4"/>
    <d v="2025-01-07T00:00:00"/>
    <x v="1"/>
    <x v="1"/>
    <x v="1"/>
    <x v="0"/>
    <x v="8"/>
    <x v="1"/>
    <x v="1"/>
    <x v="1"/>
  </r>
  <r>
    <s v="TX500127"/>
    <x v="6"/>
    <x v="2"/>
    <n v="84.5"/>
    <n v="253.5"/>
    <x v="4"/>
    <d v="2025-01-06T00:00:00"/>
    <x v="2"/>
    <x v="1"/>
    <x v="1"/>
    <x v="0"/>
    <x v="8"/>
    <x v="3"/>
    <x v="1"/>
    <x v="2"/>
  </r>
  <r>
    <s v="TX500128"/>
    <x v="1"/>
    <x v="1"/>
    <n v="116.3"/>
    <n v="232.6"/>
    <x v="5"/>
    <d v="2025-01-08T00:00:00"/>
    <x v="1"/>
    <x v="2"/>
    <x v="2"/>
    <x v="0"/>
    <x v="8"/>
    <x v="1"/>
    <x v="1"/>
    <x v="1"/>
  </r>
  <r>
    <s v="TX500129"/>
    <x v="6"/>
    <x v="9"/>
    <n v="52.7"/>
    <n v="263.5"/>
    <x v="5"/>
    <d v="2025-01-10T00:00:00"/>
    <x v="1"/>
    <x v="0"/>
    <x v="0"/>
    <x v="0"/>
    <x v="8"/>
    <x v="5"/>
    <x v="1"/>
    <x v="1"/>
  </r>
  <r>
    <s v="TX500130"/>
    <x v="16"/>
    <x v="2"/>
    <n v="34.200000000000003"/>
    <n v="102.60000000000001"/>
    <x v="5"/>
    <d v="2025-01-07T00:00:00"/>
    <x v="1"/>
    <x v="0"/>
    <x v="2"/>
    <x v="0"/>
    <x v="26"/>
    <x v="3"/>
    <x v="1"/>
    <x v="1"/>
  </r>
  <r>
    <s v="TX500131"/>
    <x v="9"/>
    <x v="0"/>
    <n v="23.3"/>
    <n v="23.3"/>
    <x v="5"/>
    <d v="2025-01-15T00:00:00"/>
    <x v="3"/>
    <x v="2"/>
    <x v="2"/>
    <x v="0"/>
    <x v="9"/>
    <x v="8"/>
    <x v="1"/>
    <x v="3"/>
  </r>
  <r>
    <s v="TX500132"/>
    <x v="0"/>
    <x v="18"/>
    <n v="25.9"/>
    <n v="673.4"/>
    <x v="5"/>
    <d v="2025-01-09T00:00:00"/>
    <x v="2"/>
    <x v="4"/>
    <x v="1"/>
    <x v="0"/>
    <x v="9"/>
    <x v="2"/>
    <x v="1"/>
    <x v="2"/>
  </r>
  <r>
    <s v="TX500133"/>
    <x v="6"/>
    <x v="19"/>
    <n v="54.9"/>
    <n v="1592.1"/>
    <x v="5"/>
    <d v="2025-01-07T00:00:00"/>
    <x v="1"/>
    <x v="1"/>
    <x v="2"/>
    <x v="0"/>
    <x v="9"/>
    <x v="3"/>
    <x v="1"/>
    <x v="1"/>
  </r>
  <r>
    <s v="TX500134"/>
    <x v="5"/>
    <x v="2"/>
    <n v="75.8"/>
    <n v="227.39999999999998"/>
    <x v="5"/>
    <d v="2025-01-11T00:00:00"/>
    <x v="3"/>
    <x v="1"/>
    <x v="0"/>
    <x v="0"/>
    <x v="18"/>
    <x v="0"/>
    <x v="1"/>
    <x v="3"/>
  </r>
  <r>
    <s v="TX500135"/>
    <x v="1"/>
    <x v="11"/>
    <n v="44.9"/>
    <n v="404.09999999999997"/>
    <x v="5"/>
    <d v="2025-01-09T00:00:00"/>
    <x v="2"/>
    <x v="2"/>
    <x v="2"/>
    <x v="0"/>
    <x v="2"/>
    <x v="2"/>
    <x v="1"/>
    <x v="2"/>
  </r>
  <r>
    <s v="TX500136"/>
    <x v="11"/>
    <x v="1"/>
    <n v="48.8"/>
    <n v="97.6"/>
    <x v="5"/>
    <d v="2025-01-08T00:00:00"/>
    <x v="2"/>
    <x v="3"/>
    <x v="0"/>
    <x v="0"/>
    <x v="27"/>
    <x v="1"/>
    <x v="1"/>
    <x v="2"/>
  </r>
  <r>
    <s v="TX500137"/>
    <x v="15"/>
    <x v="0"/>
    <n v="20.3"/>
    <n v="20.3"/>
    <x v="5"/>
    <d v="2025-01-07T00:00:00"/>
    <x v="2"/>
    <x v="0"/>
    <x v="2"/>
    <x v="0"/>
    <x v="22"/>
    <x v="3"/>
    <x v="1"/>
    <x v="2"/>
  </r>
  <r>
    <s v="TX500138"/>
    <x v="5"/>
    <x v="3"/>
    <n v="36.4"/>
    <n v="254.79999999999998"/>
    <x v="5"/>
    <d v="2025-01-09T00:00:00"/>
    <x v="2"/>
    <x v="0"/>
    <x v="1"/>
    <x v="0"/>
    <x v="3"/>
    <x v="2"/>
    <x v="1"/>
    <x v="2"/>
  </r>
  <r>
    <s v="TX500139"/>
    <x v="0"/>
    <x v="0"/>
    <n v="19"/>
    <n v="19"/>
    <x v="5"/>
    <d v="2025-01-11T00:00:00"/>
    <x v="2"/>
    <x v="1"/>
    <x v="2"/>
    <x v="0"/>
    <x v="3"/>
    <x v="0"/>
    <x v="1"/>
    <x v="2"/>
  </r>
  <r>
    <s v="TX500140"/>
    <x v="8"/>
    <x v="0"/>
    <n v="17.8"/>
    <n v="17.8"/>
    <x v="5"/>
    <d v="2025-01-06T00:00:00"/>
    <x v="1"/>
    <x v="0"/>
    <x v="0"/>
    <x v="0"/>
    <x v="3"/>
    <x v="7"/>
    <x v="1"/>
    <x v="1"/>
  </r>
  <r>
    <s v="TX500141"/>
    <x v="2"/>
    <x v="13"/>
    <n v="139.6"/>
    <n v="837.59999999999991"/>
    <x v="5"/>
    <d v="2025-01-09T00:00:00"/>
    <x v="1"/>
    <x v="0"/>
    <x v="0"/>
    <x v="0"/>
    <x v="3"/>
    <x v="2"/>
    <x v="1"/>
    <x v="1"/>
  </r>
  <r>
    <s v="TX500142"/>
    <x v="9"/>
    <x v="0"/>
    <n v="31.7"/>
    <n v="31.7"/>
    <x v="5"/>
    <d v="2025-01-06T00:00:00"/>
    <x v="0"/>
    <x v="0"/>
    <x v="0"/>
    <x v="0"/>
    <x v="3"/>
    <x v="7"/>
    <x v="1"/>
    <x v="0"/>
  </r>
  <r>
    <s v="TX500143"/>
    <x v="8"/>
    <x v="8"/>
    <n v="26.3"/>
    <n v="210.4"/>
    <x v="5"/>
    <d v="2025-01-09T00:00:00"/>
    <x v="2"/>
    <x v="4"/>
    <x v="4"/>
    <x v="0"/>
    <x v="3"/>
    <x v="2"/>
    <x v="1"/>
    <x v="2"/>
  </r>
  <r>
    <s v="TX500144"/>
    <x v="4"/>
    <x v="1"/>
    <n v="47.8"/>
    <n v="95.6"/>
    <x v="5"/>
    <d v="2025-01-07T00:00:00"/>
    <x v="0"/>
    <x v="0"/>
    <x v="0"/>
    <x v="0"/>
    <x v="3"/>
    <x v="3"/>
    <x v="1"/>
    <x v="0"/>
  </r>
  <r>
    <s v="TX500145"/>
    <x v="9"/>
    <x v="2"/>
    <n v="69.400000000000006"/>
    <n v="208.20000000000002"/>
    <x v="5"/>
    <d v="2025-01-10T00:00:00"/>
    <x v="2"/>
    <x v="0"/>
    <x v="0"/>
    <x v="0"/>
    <x v="3"/>
    <x v="5"/>
    <x v="1"/>
    <x v="2"/>
  </r>
  <r>
    <s v="TX500146"/>
    <x v="18"/>
    <x v="4"/>
    <n v="25.8"/>
    <n v="309.60000000000002"/>
    <x v="5"/>
    <d v="2025-01-07T00:00:00"/>
    <x v="1"/>
    <x v="4"/>
    <x v="4"/>
    <x v="0"/>
    <x v="3"/>
    <x v="3"/>
    <x v="1"/>
    <x v="1"/>
  </r>
  <r>
    <s v="TX500147"/>
    <x v="0"/>
    <x v="12"/>
    <n v="26.4"/>
    <n v="105.6"/>
    <x v="5"/>
    <d v="2025-01-07T00:00:00"/>
    <x v="1"/>
    <x v="1"/>
    <x v="2"/>
    <x v="0"/>
    <x v="3"/>
    <x v="3"/>
    <x v="1"/>
    <x v="1"/>
  </r>
  <r>
    <s v="TX500148"/>
    <x v="8"/>
    <x v="12"/>
    <n v="15.7"/>
    <n v="62.8"/>
    <x v="5"/>
    <d v="2025-01-07T00:00:00"/>
    <x v="1"/>
    <x v="2"/>
    <x v="0"/>
    <x v="0"/>
    <x v="3"/>
    <x v="3"/>
    <x v="1"/>
    <x v="1"/>
  </r>
  <r>
    <s v="TX500149"/>
    <x v="8"/>
    <x v="0"/>
    <n v="39.700000000000003"/>
    <n v="39.700000000000003"/>
    <x v="5"/>
    <d v="2025-01-10T00:00:00"/>
    <x v="1"/>
    <x v="0"/>
    <x v="0"/>
    <x v="0"/>
    <x v="3"/>
    <x v="5"/>
    <x v="1"/>
    <x v="1"/>
  </r>
  <r>
    <s v="TX500150"/>
    <x v="10"/>
    <x v="12"/>
    <n v="31.1"/>
    <n v="124.4"/>
    <x v="5"/>
    <d v="2025-01-08T00:00:00"/>
    <x v="2"/>
    <x v="2"/>
    <x v="1"/>
    <x v="0"/>
    <x v="3"/>
    <x v="1"/>
    <x v="1"/>
    <x v="2"/>
  </r>
  <r>
    <s v="TX500151"/>
    <x v="13"/>
    <x v="20"/>
    <n v="23.4"/>
    <n v="351"/>
    <x v="5"/>
    <d v="2025-01-15T00:00:00"/>
    <x v="1"/>
    <x v="0"/>
    <x v="0"/>
    <x v="0"/>
    <x v="3"/>
    <x v="8"/>
    <x v="1"/>
    <x v="1"/>
  </r>
  <r>
    <s v="TX500152"/>
    <x v="1"/>
    <x v="12"/>
    <n v="57.1"/>
    <n v="228.4"/>
    <x v="6"/>
    <d v="2025-01-08T00:00:00"/>
    <x v="1"/>
    <x v="2"/>
    <x v="0"/>
    <x v="0"/>
    <x v="25"/>
    <x v="3"/>
    <x v="1"/>
    <x v="1"/>
  </r>
  <r>
    <s v="TX500153"/>
    <x v="2"/>
    <x v="9"/>
    <n v="89.9"/>
    <n v="449.5"/>
    <x v="6"/>
    <d v="2025-01-07T00:00:00"/>
    <x v="2"/>
    <x v="0"/>
    <x v="3"/>
    <x v="0"/>
    <x v="23"/>
    <x v="7"/>
    <x v="1"/>
    <x v="2"/>
  </r>
  <r>
    <s v="TX500154"/>
    <x v="10"/>
    <x v="3"/>
    <n v="48.1"/>
    <n v="336.7"/>
    <x v="6"/>
    <d v="2025-01-09T00:00:00"/>
    <x v="2"/>
    <x v="1"/>
    <x v="2"/>
    <x v="0"/>
    <x v="6"/>
    <x v="1"/>
    <x v="1"/>
    <x v="2"/>
  </r>
  <r>
    <s v="TX500155"/>
    <x v="8"/>
    <x v="1"/>
    <n v="29.3"/>
    <n v="58.6"/>
    <x v="6"/>
    <d v="2025-01-07T00:00:00"/>
    <x v="2"/>
    <x v="1"/>
    <x v="1"/>
    <x v="0"/>
    <x v="6"/>
    <x v="7"/>
    <x v="1"/>
    <x v="2"/>
  </r>
  <r>
    <s v="TX500156"/>
    <x v="8"/>
    <x v="12"/>
    <n v="28.8"/>
    <n v="115.2"/>
    <x v="6"/>
    <d v="2025-01-08T00:00:00"/>
    <x v="2"/>
    <x v="0"/>
    <x v="4"/>
    <x v="0"/>
    <x v="6"/>
    <x v="3"/>
    <x v="1"/>
    <x v="2"/>
  </r>
  <r>
    <s v="TX500157"/>
    <x v="10"/>
    <x v="9"/>
    <n v="40.5"/>
    <n v="202.5"/>
    <x v="6"/>
    <d v="2025-01-11T00:00:00"/>
    <x v="2"/>
    <x v="3"/>
    <x v="0"/>
    <x v="0"/>
    <x v="6"/>
    <x v="5"/>
    <x v="1"/>
    <x v="2"/>
  </r>
  <r>
    <s v="TX500158"/>
    <x v="18"/>
    <x v="21"/>
    <n v="65.099999999999994"/>
    <n v="911.39999999999986"/>
    <x v="6"/>
    <d v="2025-01-08T00:00:00"/>
    <x v="2"/>
    <x v="4"/>
    <x v="0"/>
    <x v="0"/>
    <x v="7"/>
    <x v="3"/>
    <x v="1"/>
    <x v="2"/>
  </r>
  <r>
    <s v="TX500159"/>
    <x v="8"/>
    <x v="12"/>
    <n v="40.299999999999997"/>
    <n v="161.19999999999999"/>
    <x v="6"/>
    <d v="2025-01-12T00:00:00"/>
    <x v="2"/>
    <x v="2"/>
    <x v="0"/>
    <x v="0"/>
    <x v="7"/>
    <x v="0"/>
    <x v="1"/>
    <x v="2"/>
  </r>
  <r>
    <s v="TX500160"/>
    <x v="6"/>
    <x v="9"/>
    <n v="51.8"/>
    <n v="259"/>
    <x v="6"/>
    <d v="2025-01-08T00:00:00"/>
    <x v="1"/>
    <x v="2"/>
    <x v="2"/>
    <x v="0"/>
    <x v="8"/>
    <x v="3"/>
    <x v="1"/>
    <x v="1"/>
  </r>
  <r>
    <s v="TX500161"/>
    <x v="6"/>
    <x v="2"/>
    <n v="61.3"/>
    <n v="183.89999999999998"/>
    <x v="6"/>
    <d v="2025-01-08T00:00:00"/>
    <x v="2"/>
    <x v="3"/>
    <x v="0"/>
    <x v="0"/>
    <x v="8"/>
    <x v="3"/>
    <x v="1"/>
    <x v="2"/>
  </r>
  <r>
    <s v="TX500162"/>
    <x v="2"/>
    <x v="12"/>
    <n v="122.5"/>
    <n v="490"/>
    <x v="6"/>
    <d v="2025-01-08T00:00:00"/>
    <x v="1"/>
    <x v="0"/>
    <x v="0"/>
    <x v="0"/>
    <x v="8"/>
    <x v="3"/>
    <x v="1"/>
    <x v="1"/>
  </r>
  <r>
    <s v="TX500163"/>
    <x v="0"/>
    <x v="11"/>
    <n v="12.5"/>
    <n v="112.5"/>
    <x v="6"/>
    <d v="2025-01-08T00:00:00"/>
    <x v="0"/>
    <x v="1"/>
    <x v="2"/>
    <x v="0"/>
    <x v="8"/>
    <x v="3"/>
    <x v="1"/>
    <x v="0"/>
  </r>
  <r>
    <s v="TX500164"/>
    <x v="15"/>
    <x v="8"/>
    <n v="37.5"/>
    <n v="300"/>
    <x v="6"/>
    <d v="2025-01-08T00:00:00"/>
    <x v="2"/>
    <x v="0"/>
    <x v="0"/>
    <x v="0"/>
    <x v="9"/>
    <x v="3"/>
    <x v="1"/>
    <x v="2"/>
  </r>
  <r>
    <s v="TX500165"/>
    <x v="6"/>
    <x v="2"/>
    <n v="40"/>
    <n v="120"/>
    <x v="6"/>
    <d v="2025-01-10T00:00:00"/>
    <x v="1"/>
    <x v="0"/>
    <x v="4"/>
    <x v="0"/>
    <x v="11"/>
    <x v="2"/>
    <x v="1"/>
    <x v="1"/>
  </r>
  <r>
    <s v="TX500166"/>
    <x v="17"/>
    <x v="8"/>
    <n v="38.5"/>
    <n v="308"/>
    <x v="6"/>
    <d v="2025-01-12T00:00:00"/>
    <x v="2"/>
    <x v="2"/>
    <x v="1"/>
    <x v="0"/>
    <x v="11"/>
    <x v="0"/>
    <x v="1"/>
    <x v="2"/>
  </r>
  <r>
    <s v="TX500167"/>
    <x v="2"/>
    <x v="1"/>
    <n v="86.4"/>
    <n v="172.8"/>
    <x v="6"/>
    <d v="2025-01-09T00:00:00"/>
    <x v="2"/>
    <x v="0"/>
    <x v="0"/>
    <x v="0"/>
    <x v="18"/>
    <x v="1"/>
    <x v="1"/>
    <x v="2"/>
  </r>
  <r>
    <s v="TX500168"/>
    <x v="10"/>
    <x v="0"/>
    <n v="50.7"/>
    <n v="50.7"/>
    <x v="6"/>
    <d v="2025-01-11T00:00:00"/>
    <x v="2"/>
    <x v="1"/>
    <x v="0"/>
    <x v="0"/>
    <x v="18"/>
    <x v="5"/>
    <x v="1"/>
    <x v="2"/>
  </r>
  <r>
    <s v="TX500169"/>
    <x v="10"/>
    <x v="1"/>
    <n v="61"/>
    <n v="122"/>
    <x v="6"/>
    <d v="2025-01-18T00:00:00"/>
    <x v="2"/>
    <x v="4"/>
    <x v="1"/>
    <x v="0"/>
    <x v="18"/>
    <x v="11"/>
    <x v="1"/>
    <x v="2"/>
  </r>
  <r>
    <s v="TX500170"/>
    <x v="4"/>
    <x v="1"/>
    <n v="19.899999999999999"/>
    <n v="39.799999999999997"/>
    <x v="6"/>
    <d v="2025-01-10T00:00:00"/>
    <x v="2"/>
    <x v="1"/>
    <x v="0"/>
    <x v="0"/>
    <x v="28"/>
    <x v="2"/>
    <x v="1"/>
    <x v="2"/>
  </r>
  <r>
    <s v="TX500171"/>
    <x v="5"/>
    <x v="0"/>
    <n v="78.3"/>
    <n v="78.3"/>
    <x v="6"/>
    <d v="2025-01-07T00:00:00"/>
    <x v="2"/>
    <x v="0"/>
    <x v="2"/>
    <x v="0"/>
    <x v="1"/>
    <x v="7"/>
    <x v="1"/>
    <x v="2"/>
  </r>
  <r>
    <s v="TX500172"/>
    <x v="0"/>
    <x v="10"/>
    <n v="10.4"/>
    <n v="197.6"/>
    <x v="6"/>
    <d v="2025-01-09T00:00:00"/>
    <x v="1"/>
    <x v="0"/>
    <x v="2"/>
    <x v="0"/>
    <x v="2"/>
    <x v="1"/>
    <x v="1"/>
    <x v="1"/>
  </r>
  <r>
    <s v="TX500173"/>
    <x v="10"/>
    <x v="0"/>
    <n v="36.1"/>
    <n v="36.1"/>
    <x v="6"/>
    <d v="2025-01-10T00:00:00"/>
    <x v="1"/>
    <x v="3"/>
    <x v="2"/>
    <x v="0"/>
    <x v="3"/>
    <x v="2"/>
    <x v="1"/>
    <x v="1"/>
  </r>
  <r>
    <s v="TX500174"/>
    <x v="14"/>
    <x v="1"/>
    <n v="17.3"/>
    <n v="34.6"/>
    <x v="6"/>
    <d v="2025-01-09T00:00:00"/>
    <x v="2"/>
    <x v="1"/>
    <x v="2"/>
    <x v="0"/>
    <x v="3"/>
    <x v="1"/>
    <x v="1"/>
    <x v="2"/>
  </r>
  <r>
    <s v="TX500175"/>
    <x v="10"/>
    <x v="1"/>
    <n v="30.5"/>
    <n v="61"/>
    <x v="6"/>
    <d v="2025-01-08T00:00:00"/>
    <x v="2"/>
    <x v="1"/>
    <x v="2"/>
    <x v="0"/>
    <x v="3"/>
    <x v="3"/>
    <x v="1"/>
    <x v="2"/>
  </r>
  <r>
    <s v="TX500176"/>
    <x v="18"/>
    <x v="22"/>
    <n v="70.099999999999994"/>
    <n v="4346.2"/>
    <x v="6"/>
    <d v="2025-01-07T00:00:00"/>
    <x v="2"/>
    <x v="2"/>
    <x v="0"/>
    <x v="0"/>
    <x v="3"/>
    <x v="7"/>
    <x v="1"/>
    <x v="2"/>
  </r>
  <r>
    <s v="TX500177"/>
    <x v="3"/>
    <x v="0"/>
    <n v="76.099999999999994"/>
    <n v="76.099999999999994"/>
    <x v="6"/>
    <d v="2025-01-07T00:00:00"/>
    <x v="2"/>
    <x v="2"/>
    <x v="1"/>
    <x v="0"/>
    <x v="3"/>
    <x v="7"/>
    <x v="1"/>
    <x v="2"/>
  </r>
  <r>
    <s v="TX500178"/>
    <x v="15"/>
    <x v="15"/>
    <n v="34.200000000000003"/>
    <n v="444.6"/>
    <x v="6"/>
    <d v="2025-01-08T00:00:00"/>
    <x v="1"/>
    <x v="0"/>
    <x v="0"/>
    <x v="0"/>
    <x v="3"/>
    <x v="3"/>
    <x v="1"/>
    <x v="1"/>
  </r>
  <r>
    <s v="TX500179"/>
    <x v="8"/>
    <x v="9"/>
    <n v="30.3"/>
    <n v="151.5"/>
    <x v="6"/>
    <d v="2025-01-12T00:00:00"/>
    <x v="2"/>
    <x v="4"/>
    <x v="0"/>
    <x v="0"/>
    <x v="3"/>
    <x v="0"/>
    <x v="1"/>
    <x v="2"/>
  </r>
  <r>
    <s v="TX500180"/>
    <x v="6"/>
    <x v="9"/>
    <n v="52.5"/>
    <n v="262.5"/>
    <x v="6"/>
    <d v="2025-01-11T00:00:00"/>
    <x v="0"/>
    <x v="3"/>
    <x v="0"/>
    <x v="0"/>
    <x v="3"/>
    <x v="5"/>
    <x v="1"/>
    <x v="0"/>
  </r>
  <r>
    <s v="TX500181"/>
    <x v="9"/>
    <x v="5"/>
    <n v="28.7"/>
    <n v="315.7"/>
    <x v="6"/>
    <d v="2025-01-08T00:00:00"/>
    <x v="2"/>
    <x v="2"/>
    <x v="0"/>
    <x v="0"/>
    <x v="3"/>
    <x v="3"/>
    <x v="1"/>
    <x v="2"/>
  </r>
  <r>
    <s v="TX500182"/>
    <x v="7"/>
    <x v="3"/>
    <n v="52"/>
    <n v="364"/>
    <x v="6"/>
    <d v="2025-01-08T00:00:00"/>
    <x v="1"/>
    <x v="1"/>
    <x v="4"/>
    <x v="0"/>
    <x v="3"/>
    <x v="3"/>
    <x v="1"/>
    <x v="1"/>
  </r>
  <r>
    <s v="TX500183"/>
    <x v="0"/>
    <x v="0"/>
    <n v="13.3"/>
    <n v="13.3"/>
    <x v="7"/>
    <d v="2025-01-12T00:00:00"/>
    <x v="2"/>
    <x v="2"/>
    <x v="1"/>
    <x v="0"/>
    <x v="3"/>
    <x v="5"/>
    <x v="1"/>
    <x v="2"/>
  </r>
  <r>
    <s v="TX500184"/>
    <x v="0"/>
    <x v="2"/>
    <n v="15.7"/>
    <n v="47.099999999999994"/>
    <x v="7"/>
    <d v="2025-01-09T00:00:00"/>
    <x v="2"/>
    <x v="1"/>
    <x v="0"/>
    <x v="0"/>
    <x v="29"/>
    <x v="3"/>
    <x v="1"/>
    <x v="2"/>
  </r>
  <r>
    <s v="TX500185"/>
    <x v="8"/>
    <x v="1"/>
    <n v="25.6"/>
    <n v="51.2"/>
    <x v="7"/>
    <d v="2025-01-09T00:00:00"/>
    <x v="1"/>
    <x v="0"/>
    <x v="2"/>
    <x v="0"/>
    <x v="23"/>
    <x v="3"/>
    <x v="1"/>
    <x v="1"/>
  </r>
  <r>
    <s v="TX500186"/>
    <x v="8"/>
    <x v="0"/>
    <n v="43.4"/>
    <n v="43.4"/>
    <x v="7"/>
    <d v="2025-01-13T00:00:00"/>
    <x v="1"/>
    <x v="0"/>
    <x v="0"/>
    <x v="0"/>
    <x v="6"/>
    <x v="0"/>
    <x v="1"/>
    <x v="1"/>
  </r>
  <r>
    <s v="TX500187"/>
    <x v="11"/>
    <x v="11"/>
    <n v="33.4"/>
    <n v="300.59999999999997"/>
    <x v="7"/>
    <d v="2025-01-08T00:00:00"/>
    <x v="2"/>
    <x v="0"/>
    <x v="0"/>
    <x v="0"/>
    <x v="8"/>
    <x v="7"/>
    <x v="1"/>
    <x v="2"/>
  </r>
  <r>
    <s v="TX500188"/>
    <x v="8"/>
    <x v="10"/>
    <n v="55"/>
    <n v="1045"/>
    <x v="7"/>
    <d v="2025-01-09T00:00:00"/>
    <x v="2"/>
    <x v="1"/>
    <x v="2"/>
    <x v="0"/>
    <x v="8"/>
    <x v="3"/>
    <x v="1"/>
    <x v="2"/>
  </r>
  <r>
    <s v="TX500189"/>
    <x v="8"/>
    <x v="2"/>
    <n v="23.6"/>
    <n v="70.800000000000011"/>
    <x v="7"/>
    <d v="2025-01-09T00:00:00"/>
    <x v="1"/>
    <x v="0"/>
    <x v="2"/>
    <x v="0"/>
    <x v="8"/>
    <x v="3"/>
    <x v="1"/>
    <x v="1"/>
  </r>
  <r>
    <s v="TX500190"/>
    <x v="12"/>
    <x v="11"/>
    <n v="104"/>
    <n v="936"/>
    <x v="7"/>
    <d v="2025-01-10T00:00:00"/>
    <x v="2"/>
    <x v="2"/>
    <x v="2"/>
    <x v="0"/>
    <x v="17"/>
    <x v="1"/>
    <x v="1"/>
    <x v="2"/>
  </r>
  <r>
    <s v="TX500191"/>
    <x v="6"/>
    <x v="1"/>
    <n v="51.8"/>
    <n v="103.6"/>
    <x v="7"/>
    <d v="2025-01-12T00:00:00"/>
    <x v="0"/>
    <x v="0"/>
    <x v="2"/>
    <x v="0"/>
    <x v="10"/>
    <x v="5"/>
    <x v="1"/>
    <x v="0"/>
  </r>
  <r>
    <s v="TX500192"/>
    <x v="10"/>
    <x v="9"/>
    <n v="34.5"/>
    <n v="172.5"/>
    <x v="7"/>
    <d v="2025-01-10T00:00:00"/>
    <x v="0"/>
    <x v="2"/>
    <x v="2"/>
    <x v="0"/>
    <x v="11"/>
    <x v="1"/>
    <x v="1"/>
    <x v="0"/>
  </r>
  <r>
    <s v="TX500193"/>
    <x v="6"/>
    <x v="1"/>
    <n v="51.8"/>
    <n v="103.6"/>
    <x v="7"/>
    <d v="2025-01-10T00:00:00"/>
    <x v="1"/>
    <x v="1"/>
    <x v="2"/>
    <x v="0"/>
    <x v="30"/>
    <x v="1"/>
    <x v="1"/>
    <x v="1"/>
  </r>
  <r>
    <s v="TX500194"/>
    <x v="18"/>
    <x v="23"/>
    <n v="131.5"/>
    <n v="5654.5"/>
    <x v="7"/>
    <d v="2025-01-09T00:00:00"/>
    <x v="2"/>
    <x v="0"/>
    <x v="2"/>
    <x v="0"/>
    <x v="18"/>
    <x v="3"/>
    <x v="1"/>
    <x v="2"/>
  </r>
  <r>
    <s v="TX500195"/>
    <x v="8"/>
    <x v="3"/>
    <n v="47.8"/>
    <n v="334.59999999999997"/>
    <x v="7"/>
    <d v="2025-01-08T00:00:00"/>
    <x v="2"/>
    <x v="0"/>
    <x v="0"/>
    <x v="0"/>
    <x v="19"/>
    <x v="7"/>
    <x v="1"/>
    <x v="2"/>
  </r>
  <r>
    <s v="TX500196"/>
    <x v="0"/>
    <x v="1"/>
    <n v="10.199999999999999"/>
    <n v="20.399999999999999"/>
    <x v="7"/>
    <d v="2025-01-10T00:00:00"/>
    <x v="2"/>
    <x v="0"/>
    <x v="0"/>
    <x v="0"/>
    <x v="19"/>
    <x v="1"/>
    <x v="1"/>
    <x v="2"/>
  </r>
  <r>
    <s v="TX500197"/>
    <x v="8"/>
    <x v="8"/>
    <n v="41"/>
    <n v="328"/>
    <x v="7"/>
    <d v="2025-01-08T00:00:00"/>
    <x v="2"/>
    <x v="1"/>
    <x v="2"/>
    <x v="0"/>
    <x v="19"/>
    <x v="7"/>
    <x v="1"/>
    <x v="2"/>
  </r>
  <r>
    <s v="TX500198"/>
    <x v="10"/>
    <x v="3"/>
    <n v="50.8"/>
    <n v="355.59999999999997"/>
    <x v="7"/>
    <d v="2025-01-11T00:00:00"/>
    <x v="2"/>
    <x v="1"/>
    <x v="0"/>
    <x v="0"/>
    <x v="21"/>
    <x v="2"/>
    <x v="1"/>
    <x v="2"/>
  </r>
  <r>
    <s v="TX500199"/>
    <x v="18"/>
    <x v="2"/>
    <n v="39.6"/>
    <n v="118.80000000000001"/>
    <x v="7"/>
    <d v="2025-01-09T00:00:00"/>
    <x v="1"/>
    <x v="2"/>
    <x v="2"/>
    <x v="0"/>
    <x v="1"/>
    <x v="3"/>
    <x v="1"/>
    <x v="1"/>
  </r>
  <r>
    <s v="TX500200"/>
    <x v="5"/>
    <x v="1"/>
    <n v="69.5"/>
    <n v="139"/>
    <x v="7"/>
    <d v="2025-01-10T00:00:00"/>
    <x v="1"/>
    <x v="0"/>
    <x v="2"/>
    <x v="0"/>
    <x v="2"/>
    <x v="1"/>
    <x v="1"/>
    <x v="1"/>
  </r>
  <r>
    <s v="TX500201"/>
    <x v="8"/>
    <x v="8"/>
    <n v="32.6"/>
    <n v="260.8"/>
    <x v="7"/>
    <d v="2025-01-11T00:00:00"/>
    <x v="1"/>
    <x v="1"/>
    <x v="0"/>
    <x v="0"/>
    <x v="3"/>
    <x v="2"/>
    <x v="1"/>
    <x v="1"/>
  </r>
  <r>
    <s v="TX500202"/>
    <x v="7"/>
    <x v="1"/>
    <n v="49.1"/>
    <n v="98.2"/>
    <x v="7"/>
    <d v="2025-01-16T00:00:00"/>
    <x v="1"/>
    <x v="3"/>
    <x v="2"/>
    <x v="0"/>
    <x v="3"/>
    <x v="9"/>
    <x v="1"/>
    <x v="1"/>
  </r>
  <r>
    <s v="TX500203"/>
    <x v="6"/>
    <x v="1"/>
    <n v="49.4"/>
    <n v="98.8"/>
    <x v="8"/>
    <d v="2025-01-10T00:00:00"/>
    <x v="2"/>
    <x v="2"/>
    <x v="0"/>
    <x v="0"/>
    <x v="3"/>
    <x v="3"/>
    <x v="1"/>
    <x v="2"/>
  </r>
  <r>
    <s v="TX500204"/>
    <x v="7"/>
    <x v="3"/>
    <n v="65.099999999999994"/>
    <n v="455.69999999999993"/>
    <x v="8"/>
    <d v="2025-01-12T00:00:00"/>
    <x v="2"/>
    <x v="2"/>
    <x v="2"/>
    <x v="0"/>
    <x v="3"/>
    <x v="2"/>
    <x v="1"/>
    <x v="2"/>
  </r>
  <r>
    <s v="TX500205"/>
    <x v="3"/>
    <x v="1"/>
    <n v="52.1"/>
    <n v="104.2"/>
    <x v="8"/>
    <d v="2025-01-13T00:00:00"/>
    <x v="2"/>
    <x v="2"/>
    <x v="0"/>
    <x v="0"/>
    <x v="3"/>
    <x v="5"/>
    <x v="1"/>
    <x v="2"/>
  </r>
  <r>
    <s v="TX500206"/>
    <x v="2"/>
    <x v="12"/>
    <n v="129.19999999999999"/>
    <n v="516.79999999999995"/>
    <x v="8"/>
    <d v="2025-01-10T00:00:00"/>
    <x v="2"/>
    <x v="1"/>
    <x v="0"/>
    <x v="0"/>
    <x v="3"/>
    <x v="3"/>
    <x v="1"/>
    <x v="2"/>
  </r>
  <r>
    <s v="TX500207"/>
    <x v="1"/>
    <x v="10"/>
    <n v="81.8"/>
    <n v="1554.2"/>
    <x v="8"/>
    <d v="2025-01-09T00:00:00"/>
    <x v="2"/>
    <x v="1"/>
    <x v="1"/>
    <x v="0"/>
    <x v="3"/>
    <x v="7"/>
    <x v="1"/>
    <x v="2"/>
  </r>
  <r>
    <s v="TX500208"/>
    <x v="17"/>
    <x v="0"/>
    <n v="24.9"/>
    <n v="24.9"/>
    <x v="8"/>
    <d v="2025-01-13T00:00:00"/>
    <x v="2"/>
    <x v="1"/>
    <x v="0"/>
    <x v="0"/>
    <x v="3"/>
    <x v="5"/>
    <x v="1"/>
    <x v="2"/>
  </r>
  <r>
    <s v="TX500209"/>
    <x v="0"/>
    <x v="2"/>
    <n v="49.4"/>
    <n v="148.19999999999999"/>
    <x v="8"/>
    <d v="2025-01-12T00:00:00"/>
    <x v="2"/>
    <x v="4"/>
    <x v="4"/>
    <x v="0"/>
    <x v="3"/>
    <x v="2"/>
    <x v="1"/>
    <x v="2"/>
  </r>
  <r>
    <s v="TX500210"/>
    <x v="8"/>
    <x v="1"/>
    <n v="22.7"/>
    <n v="45.4"/>
    <x v="8"/>
    <d v="2025-01-10T00:00:00"/>
    <x v="1"/>
    <x v="3"/>
    <x v="2"/>
    <x v="0"/>
    <x v="3"/>
    <x v="3"/>
    <x v="1"/>
    <x v="1"/>
  </r>
  <r>
    <s v="TX500211"/>
    <x v="1"/>
    <x v="0"/>
    <n v="77.3"/>
    <n v="77.3"/>
    <x v="8"/>
    <d v="2025-01-09T00:00:00"/>
    <x v="2"/>
    <x v="0"/>
    <x v="2"/>
    <x v="0"/>
    <x v="6"/>
    <x v="7"/>
    <x v="1"/>
    <x v="2"/>
  </r>
  <r>
    <s v="TX500212"/>
    <x v="1"/>
    <x v="9"/>
    <n v="109.1"/>
    <n v="545.5"/>
    <x v="8"/>
    <d v="2025-01-12T00:00:00"/>
    <x v="2"/>
    <x v="0"/>
    <x v="0"/>
    <x v="0"/>
    <x v="6"/>
    <x v="2"/>
    <x v="1"/>
    <x v="2"/>
  </r>
  <r>
    <s v="TX500213"/>
    <x v="2"/>
    <x v="12"/>
    <n v="53.9"/>
    <n v="215.6"/>
    <x v="8"/>
    <d v="2025-01-10T00:00:00"/>
    <x v="1"/>
    <x v="0"/>
    <x v="1"/>
    <x v="0"/>
    <x v="8"/>
    <x v="3"/>
    <x v="1"/>
    <x v="1"/>
  </r>
  <r>
    <s v="TX500214"/>
    <x v="9"/>
    <x v="18"/>
    <n v="21.2"/>
    <n v="551.19999999999993"/>
    <x v="8"/>
    <d v="2025-01-09T00:00:00"/>
    <x v="2"/>
    <x v="0"/>
    <x v="0"/>
    <x v="0"/>
    <x v="9"/>
    <x v="7"/>
    <x v="1"/>
    <x v="2"/>
  </r>
  <r>
    <s v="TX500215"/>
    <x v="16"/>
    <x v="12"/>
    <n v="69"/>
    <n v="276"/>
    <x v="8"/>
    <d v="2025-01-11T00:00:00"/>
    <x v="2"/>
    <x v="1"/>
    <x v="1"/>
    <x v="0"/>
    <x v="18"/>
    <x v="1"/>
    <x v="1"/>
    <x v="2"/>
  </r>
  <r>
    <s v="TX500216"/>
    <x v="6"/>
    <x v="2"/>
    <n v="46.2"/>
    <n v="138.60000000000002"/>
    <x v="8"/>
    <d v="2025-01-11T00:00:00"/>
    <x v="2"/>
    <x v="0"/>
    <x v="2"/>
    <x v="0"/>
    <x v="31"/>
    <x v="1"/>
    <x v="1"/>
    <x v="2"/>
  </r>
  <r>
    <s v="TX500217"/>
    <x v="1"/>
    <x v="9"/>
    <n v="97.4"/>
    <n v="487"/>
    <x v="8"/>
    <d v="2025-01-13T00:00:00"/>
    <x v="2"/>
    <x v="4"/>
    <x v="2"/>
    <x v="0"/>
    <x v="21"/>
    <x v="5"/>
    <x v="1"/>
    <x v="2"/>
  </r>
  <r>
    <s v="TX500218"/>
    <x v="8"/>
    <x v="9"/>
    <n v="21"/>
    <n v="105"/>
    <x v="8"/>
    <d v="2025-01-10T00:00:00"/>
    <x v="1"/>
    <x v="0"/>
    <x v="1"/>
    <x v="0"/>
    <x v="21"/>
    <x v="3"/>
    <x v="1"/>
    <x v="1"/>
  </r>
  <r>
    <s v="TX500219"/>
    <x v="5"/>
    <x v="1"/>
    <n v="32.700000000000003"/>
    <n v="65.400000000000006"/>
    <x v="9"/>
    <d v="2025-01-13T00:00:00"/>
    <x v="2"/>
    <x v="1"/>
    <x v="0"/>
    <x v="0"/>
    <x v="2"/>
    <x v="2"/>
    <x v="1"/>
    <x v="2"/>
  </r>
  <r>
    <s v="TX500220"/>
    <x v="6"/>
    <x v="12"/>
    <n v="48"/>
    <n v="192"/>
    <x v="9"/>
    <d v="2025-01-11T00:00:00"/>
    <x v="1"/>
    <x v="3"/>
    <x v="0"/>
    <x v="0"/>
    <x v="3"/>
    <x v="3"/>
    <x v="1"/>
    <x v="1"/>
  </r>
  <r>
    <s v="TX500221"/>
    <x v="6"/>
    <x v="2"/>
    <n v="68.2"/>
    <n v="204.60000000000002"/>
    <x v="9"/>
    <d v="2025-01-14T00:00:00"/>
    <x v="0"/>
    <x v="0"/>
    <x v="2"/>
    <x v="0"/>
    <x v="3"/>
    <x v="5"/>
    <x v="1"/>
    <x v="0"/>
  </r>
  <r>
    <s v="TX500222"/>
    <x v="5"/>
    <x v="0"/>
    <n v="45.4"/>
    <n v="45.4"/>
    <x v="9"/>
    <d v="2025-01-12T00:00:00"/>
    <x v="1"/>
    <x v="1"/>
    <x v="0"/>
    <x v="0"/>
    <x v="3"/>
    <x v="1"/>
    <x v="1"/>
    <x v="1"/>
  </r>
  <r>
    <s v="TX500223"/>
    <x v="12"/>
    <x v="1"/>
    <n v="53.9"/>
    <n v="107.8"/>
    <x v="9"/>
    <d v="2025-01-11T00:00:00"/>
    <x v="2"/>
    <x v="2"/>
    <x v="0"/>
    <x v="0"/>
    <x v="3"/>
    <x v="3"/>
    <x v="1"/>
    <x v="2"/>
  </r>
  <r>
    <s v="TX500224"/>
    <x v="2"/>
    <x v="12"/>
    <n v="62.1"/>
    <n v="248.4"/>
    <x v="9"/>
    <d v="2025-01-14T00:00:00"/>
    <x v="2"/>
    <x v="0"/>
    <x v="0"/>
    <x v="0"/>
    <x v="4"/>
    <x v="5"/>
    <x v="1"/>
    <x v="2"/>
  </r>
  <r>
    <s v="TX500225"/>
    <x v="13"/>
    <x v="3"/>
    <n v="33.1"/>
    <n v="231.70000000000002"/>
    <x v="9"/>
    <d v="2025-01-15T00:00:00"/>
    <x v="1"/>
    <x v="1"/>
    <x v="0"/>
    <x v="0"/>
    <x v="6"/>
    <x v="0"/>
    <x v="1"/>
    <x v="1"/>
  </r>
  <r>
    <s v="TX500226"/>
    <x v="18"/>
    <x v="9"/>
    <n v="35.200000000000003"/>
    <n v="176"/>
    <x v="9"/>
    <d v="2025-01-10T00:00:00"/>
    <x v="2"/>
    <x v="1"/>
    <x v="0"/>
    <x v="0"/>
    <x v="6"/>
    <x v="7"/>
    <x v="1"/>
    <x v="2"/>
  </r>
  <r>
    <s v="TX500227"/>
    <x v="9"/>
    <x v="2"/>
    <n v="32.1"/>
    <n v="96.300000000000011"/>
    <x v="9"/>
    <d v="2025-01-15T00:00:00"/>
    <x v="1"/>
    <x v="3"/>
    <x v="0"/>
    <x v="0"/>
    <x v="8"/>
    <x v="0"/>
    <x v="1"/>
    <x v="1"/>
  </r>
  <r>
    <s v="TX500228"/>
    <x v="11"/>
    <x v="0"/>
    <n v="38.1"/>
    <n v="38.1"/>
    <x v="9"/>
    <d v="2025-01-15T00:00:00"/>
    <x v="2"/>
    <x v="0"/>
    <x v="2"/>
    <x v="0"/>
    <x v="8"/>
    <x v="0"/>
    <x v="1"/>
    <x v="2"/>
  </r>
  <r>
    <s v="TX500229"/>
    <x v="8"/>
    <x v="0"/>
    <n v="65.2"/>
    <n v="65.2"/>
    <x v="9"/>
    <d v="2025-01-15T00:00:00"/>
    <x v="2"/>
    <x v="3"/>
    <x v="1"/>
    <x v="0"/>
    <x v="8"/>
    <x v="0"/>
    <x v="1"/>
    <x v="2"/>
  </r>
  <r>
    <s v="TX500230"/>
    <x v="10"/>
    <x v="3"/>
    <n v="55.2"/>
    <n v="386.40000000000003"/>
    <x v="9"/>
    <d v="2025-01-11T00:00:00"/>
    <x v="1"/>
    <x v="2"/>
    <x v="0"/>
    <x v="0"/>
    <x v="11"/>
    <x v="3"/>
    <x v="1"/>
    <x v="1"/>
  </r>
  <r>
    <s v="TX500231"/>
    <x v="6"/>
    <x v="0"/>
    <n v="62"/>
    <n v="62"/>
    <x v="9"/>
    <d v="2025-01-14T00:00:00"/>
    <x v="2"/>
    <x v="0"/>
    <x v="0"/>
    <x v="0"/>
    <x v="11"/>
    <x v="5"/>
    <x v="1"/>
    <x v="2"/>
  </r>
  <r>
    <s v="TX500232"/>
    <x v="7"/>
    <x v="2"/>
    <n v="45.9"/>
    <n v="137.69999999999999"/>
    <x v="9"/>
    <d v="2025-01-11T00:00:00"/>
    <x v="2"/>
    <x v="2"/>
    <x v="0"/>
    <x v="0"/>
    <x v="32"/>
    <x v="3"/>
    <x v="1"/>
    <x v="2"/>
  </r>
  <r>
    <s v="TX500233"/>
    <x v="18"/>
    <x v="2"/>
    <n v="58.3"/>
    <n v="174.89999999999998"/>
    <x v="9"/>
    <d v="2025-01-10T00:00:00"/>
    <x v="1"/>
    <x v="1"/>
    <x v="1"/>
    <x v="0"/>
    <x v="18"/>
    <x v="7"/>
    <x v="1"/>
    <x v="1"/>
  </r>
  <r>
    <s v="TX500234"/>
    <x v="8"/>
    <x v="1"/>
    <n v="22.3"/>
    <n v="44.6"/>
    <x v="9"/>
    <d v="2025-01-13T00:00:00"/>
    <x v="2"/>
    <x v="0"/>
    <x v="2"/>
    <x v="0"/>
    <x v="20"/>
    <x v="2"/>
    <x v="1"/>
    <x v="2"/>
  </r>
  <r>
    <s v="TX500235"/>
    <x v="19"/>
    <x v="9"/>
    <n v="24"/>
    <n v="120"/>
    <x v="9"/>
    <d v="2025-01-11T00:00:00"/>
    <x v="1"/>
    <x v="4"/>
    <x v="0"/>
    <x v="0"/>
    <x v="1"/>
    <x v="3"/>
    <x v="1"/>
    <x v="1"/>
  </r>
  <r>
    <s v="TX500236"/>
    <x v="0"/>
    <x v="7"/>
    <n v="21.3"/>
    <n v="213"/>
    <x v="9"/>
    <d v="2025-01-10T00:00:00"/>
    <x v="2"/>
    <x v="1"/>
    <x v="2"/>
    <x v="0"/>
    <x v="22"/>
    <x v="7"/>
    <x v="1"/>
    <x v="2"/>
  </r>
  <r>
    <s v="TX500237"/>
    <x v="6"/>
    <x v="24"/>
    <n v="57.8"/>
    <n v="2369.7999999999997"/>
    <x v="9"/>
    <d v="2025-01-12T00:00:00"/>
    <x v="2"/>
    <x v="0"/>
    <x v="2"/>
    <x v="0"/>
    <x v="3"/>
    <x v="1"/>
    <x v="1"/>
    <x v="2"/>
  </r>
  <r>
    <s v="TX500238"/>
    <x v="10"/>
    <x v="2"/>
    <n v="67.599999999999994"/>
    <n v="202.79999999999998"/>
    <x v="9"/>
    <d v="2025-01-11T00:00:00"/>
    <x v="2"/>
    <x v="0"/>
    <x v="0"/>
    <x v="0"/>
    <x v="3"/>
    <x v="3"/>
    <x v="1"/>
    <x v="2"/>
  </r>
  <r>
    <s v="TX500239"/>
    <x v="6"/>
    <x v="13"/>
    <n v="66.7"/>
    <n v="400.20000000000005"/>
    <x v="9"/>
    <d v="2025-01-14T00:00:00"/>
    <x v="1"/>
    <x v="4"/>
    <x v="1"/>
    <x v="0"/>
    <x v="3"/>
    <x v="5"/>
    <x v="1"/>
    <x v="1"/>
  </r>
  <r>
    <s v="TX500240"/>
    <x v="1"/>
    <x v="12"/>
    <n v="53.1"/>
    <n v="212.4"/>
    <x v="9"/>
    <d v="2025-01-12T00:00:00"/>
    <x v="2"/>
    <x v="1"/>
    <x v="0"/>
    <x v="0"/>
    <x v="3"/>
    <x v="1"/>
    <x v="1"/>
    <x v="2"/>
  </r>
  <r>
    <s v="TX500241"/>
    <x v="12"/>
    <x v="2"/>
    <n v="57.4"/>
    <n v="172.2"/>
    <x v="9"/>
    <d v="2025-01-13T00:00:00"/>
    <x v="2"/>
    <x v="0"/>
    <x v="2"/>
    <x v="0"/>
    <x v="29"/>
    <x v="2"/>
    <x v="1"/>
    <x v="2"/>
  </r>
  <r>
    <s v="TX500242"/>
    <x v="2"/>
    <x v="9"/>
    <n v="58.1"/>
    <n v="290.5"/>
    <x v="9"/>
    <d v="2025-01-10T00:00:00"/>
    <x v="1"/>
    <x v="2"/>
    <x v="2"/>
    <x v="0"/>
    <x v="6"/>
    <x v="7"/>
    <x v="1"/>
    <x v="1"/>
  </r>
  <r>
    <s v="TX500243"/>
    <x v="5"/>
    <x v="2"/>
    <n v="31.8"/>
    <n v="95.4"/>
    <x v="10"/>
    <d v="2025-01-13T00:00:00"/>
    <x v="1"/>
    <x v="3"/>
    <x v="0"/>
    <x v="0"/>
    <x v="6"/>
    <x v="1"/>
    <x v="1"/>
    <x v="1"/>
  </r>
  <r>
    <s v="TX500244"/>
    <x v="4"/>
    <x v="2"/>
    <n v="31.5"/>
    <n v="94.5"/>
    <x v="10"/>
    <d v="2025-01-14T00:00:00"/>
    <x v="1"/>
    <x v="0"/>
    <x v="1"/>
    <x v="0"/>
    <x v="8"/>
    <x v="2"/>
    <x v="1"/>
    <x v="1"/>
  </r>
  <r>
    <s v="TX500245"/>
    <x v="6"/>
    <x v="3"/>
    <n v="55.9"/>
    <n v="391.3"/>
    <x v="10"/>
    <d v="2025-01-15T00:00:00"/>
    <x v="2"/>
    <x v="1"/>
    <x v="2"/>
    <x v="0"/>
    <x v="8"/>
    <x v="5"/>
    <x v="1"/>
    <x v="2"/>
  </r>
  <r>
    <s v="TX500246"/>
    <x v="8"/>
    <x v="1"/>
    <n v="36.4"/>
    <n v="72.8"/>
    <x v="10"/>
    <d v="2025-01-12T00:00:00"/>
    <x v="1"/>
    <x v="1"/>
    <x v="1"/>
    <x v="0"/>
    <x v="9"/>
    <x v="3"/>
    <x v="1"/>
    <x v="1"/>
  </r>
  <r>
    <s v="TX500247"/>
    <x v="1"/>
    <x v="9"/>
    <n v="47.3"/>
    <n v="236.5"/>
    <x v="10"/>
    <d v="2025-01-14T00:00:00"/>
    <x v="1"/>
    <x v="2"/>
    <x v="0"/>
    <x v="0"/>
    <x v="10"/>
    <x v="2"/>
    <x v="1"/>
    <x v="1"/>
  </r>
  <r>
    <s v="TX500248"/>
    <x v="6"/>
    <x v="2"/>
    <n v="82.5"/>
    <n v="247.5"/>
    <x v="10"/>
    <d v="2025-01-12T00:00:00"/>
    <x v="1"/>
    <x v="0"/>
    <x v="0"/>
    <x v="0"/>
    <x v="11"/>
    <x v="3"/>
    <x v="1"/>
    <x v="1"/>
  </r>
  <r>
    <s v="TX500249"/>
    <x v="0"/>
    <x v="0"/>
    <n v="14.3"/>
    <n v="14.3"/>
    <x v="10"/>
    <d v="2025-01-12T00:00:00"/>
    <x v="2"/>
    <x v="0"/>
    <x v="0"/>
    <x v="0"/>
    <x v="21"/>
    <x v="3"/>
    <x v="1"/>
    <x v="2"/>
  </r>
  <r>
    <s v="TX500250"/>
    <x v="2"/>
    <x v="13"/>
    <n v="57.6"/>
    <n v="345.6"/>
    <x v="10"/>
    <d v="2025-01-25T00:00:00"/>
    <x v="2"/>
    <x v="0"/>
    <x v="0"/>
    <x v="0"/>
    <x v="21"/>
    <x v="12"/>
    <x v="1"/>
    <x v="2"/>
  </r>
  <r>
    <s v="TX500251"/>
    <x v="2"/>
    <x v="2"/>
    <n v="142.4"/>
    <n v="427.20000000000005"/>
    <x v="10"/>
    <d v="2025-01-13T00:00:00"/>
    <x v="1"/>
    <x v="4"/>
    <x v="1"/>
    <x v="0"/>
    <x v="21"/>
    <x v="1"/>
    <x v="1"/>
    <x v="1"/>
  </r>
  <r>
    <s v="TX500252"/>
    <x v="12"/>
    <x v="0"/>
    <n v="30.2"/>
    <n v="30.2"/>
    <x v="10"/>
    <d v="2025-01-15T00:00:00"/>
    <x v="1"/>
    <x v="1"/>
    <x v="2"/>
    <x v="0"/>
    <x v="2"/>
    <x v="5"/>
    <x v="1"/>
    <x v="1"/>
  </r>
  <r>
    <s v="TX500253"/>
    <x v="18"/>
    <x v="2"/>
    <n v="65.3"/>
    <n v="195.89999999999998"/>
    <x v="10"/>
    <d v="2025-01-12T00:00:00"/>
    <x v="3"/>
    <x v="1"/>
    <x v="0"/>
    <x v="0"/>
    <x v="33"/>
    <x v="3"/>
    <x v="1"/>
    <x v="3"/>
  </r>
  <r>
    <s v="TX500254"/>
    <x v="0"/>
    <x v="1"/>
    <n v="33.4"/>
    <n v="66.8"/>
    <x v="10"/>
    <d v="2025-01-12T00:00:00"/>
    <x v="1"/>
    <x v="1"/>
    <x v="1"/>
    <x v="0"/>
    <x v="22"/>
    <x v="3"/>
    <x v="1"/>
    <x v="1"/>
  </r>
  <r>
    <s v="TX500255"/>
    <x v="7"/>
    <x v="1"/>
    <n v="45.1"/>
    <n v="90.2"/>
    <x v="10"/>
    <d v="2025-01-19T00:00:00"/>
    <x v="1"/>
    <x v="0"/>
    <x v="0"/>
    <x v="0"/>
    <x v="34"/>
    <x v="9"/>
    <x v="1"/>
    <x v="1"/>
  </r>
  <r>
    <s v="TX500256"/>
    <x v="2"/>
    <x v="3"/>
    <n v="61.7"/>
    <n v="431.90000000000003"/>
    <x v="10"/>
    <d v="2025-01-13T00:00:00"/>
    <x v="2"/>
    <x v="4"/>
    <x v="0"/>
    <x v="0"/>
    <x v="3"/>
    <x v="1"/>
    <x v="1"/>
    <x v="2"/>
  </r>
  <r>
    <s v="TX500257"/>
    <x v="9"/>
    <x v="2"/>
    <n v="45.1"/>
    <n v="135.30000000000001"/>
    <x v="11"/>
    <d v="2025-01-13T00:00:00"/>
    <x v="1"/>
    <x v="4"/>
    <x v="1"/>
    <x v="0"/>
    <x v="3"/>
    <x v="3"/>
    <x v="2"/>
    <x v="1"/>
  </r>
  <r>
    <s v="TX500258"/>
    <x v="15"/>
    <x v="9"/>
    <n v="22.7"/>
    <n v="113.5"/>
    <x v="11"/>
    <d v="2025-01-17T00:00:00"/>
    <x v="1"/>
    <x v="0"/>
    <x v="2"/>
    <x v="0"/>
    <x v="35"/>
    <x v="0"/>
    <x v="2"/>
    <x v="1"/>
  </r>
  <r>
    <s v="TX500259"/>
    <x v="8"/>
    <x v="0"/>
    <n v="17.600000000000001"/>
    <n v="17.600000000000001"/>
    <x v="11"/>
    <d v="2025-01-13T00:00:00"/>
    <x v="2"/>
    <x v="0"/>
    <x v="2"/>
    <x v="0"/>
    <x v="23"/>
    <x v="3"/>
    <x v="2"/>
    <x v="2"/>
  </r>
  <r>
    <s v="TX500260"/>
    <x v="14"/>
    <x v="1"/>
    <n v="11.3"/>
    <n v="22.6"/>
    <x v="11"/>
    <d v="2025-01-15T00:00:00"/>
    <x v="2"/>
    <x v="3"/>
    <x v="2"/>
    <x v="0"/>
    <x v="23"/>
    <x v="2"/>
    <x v="2"/>
    <x v="2"/>
  </r>
  <r>
    <s v="TX500261"/>
    <x v="6"/>
    <x v="2"/>
    <n v="53.4"/>
    <n v="160.19999999999999"/>
    <x v="11"/>
    <d v="2025-01-15T00:00:00"/>
    <x v="1"/>
    <x v="3"/>
    <x v="2"/>
    <x v="0"/>
    <x v="36"/>
    <x v="2"/>
    <x v="2"/>
    <x v="1"/>
  </r>
  <r>
    <s v="TX500262"/>
    <x v="6"/>
    <x v="5"/>
    <n v="51.1"/>
    <n v="562.1"/>
    <x v="11"/>
    <d v="2025-01-14T00:00:00"/>
    <x v="2"/>
    <x v="2"/>
    <x v="2"/>
    <x v="0"/>
    <x v="8"/>
    <x v="1"/>
    <x v="2"/>
    <x v="2"/>
  </r>
  <r>
    <s v="TX500263"/>
    <x v="8"/>
    <x v="1"/>
    <n v="27.5"/>
    <n v="55"/>
    <x v="11"/>
    <d v="2025-01-13T00:00:00"/>
    <x v="1"/>
    <x v="4"/>
    <x v="1"/>
    <x v="0"/>
    <x v="8"/>
    <x v="3"/>
    <x v="2"/>
    <x v="1"/>
  </r>
  <r>
    <s v="TX500264"/>
    <x v="9"/>
    <x v="0"/>
    <n v="33.5"/>
    <n v="33.5"/>
    <x v="11"/>
    <d v="2025-01-14T00:00:00"/>
    <x v="2"/>
    <x v="0"/>
    <x v="4"/>
    <x v="0"/>
    <x v="8"/>
    <x v="1"/>
    <x v="2"/>
    <x v="2"/>
  </r>
  <r>
    <s v="TX500265"/>
    <x v="4"/>
    <x v="0"/>
    <n v="59.5"/>
    <n v="59.5"/>
    <x v="11"/>
    <d v="2025-01-12T00:00:00"/>
    <x v="1"/>
    <x v="0"/>
    <x v="2"/>
    <x v="0"/>
    <x v="18"/>
    <x v="7"/>
    <x v="2"/>
    <x v="1"/>
  </r>
  <r>
    <s v="TX500266"/>
    <x v="17"/>
    <x v="12"/>
    <n v="23.5"/>
    <n v="94"/>
    <x v="11"/>
    <d v="2025-01-13T00:00:00"/>
    <x v="2"/>
    <x v="3"/>
    <x v="3"/>
    <x v="0"/>
    <x v="19"/>
    <x v="3"/>
    <x v="2"/>
    <x v="2"/>
  </r>
  <r>
    <s v="TX500267"/>
    <x v="6"/>
    <x v="0"/>
    <n v="49.7"/>
    <n v="49.7"/>
    <x v="11"/>
    <d v="2025-01-13T00:00:00"/>
    <x v="0"/>
    <x v="1"/>
    <x v="2"/>
    <x v="0"/>
    <x v="20"/>
    <x v="3"/>
    <x v="2"/>
    <x v="0"/>
  </r>
  <r>
    <s v="TX500268"/>
    <x v="6"/>
    <x v="12"/>
    <n v="44.2"/>
    <n v="176.8"/>
    <x v="11"/>
    <d v="2025-01-15T00:00:00"/>
    <x v="2"/>
    <x v="0"/>
    <x v="2"/>
    <x v="0"/>
    <x v="21"/>
    <x v="2"/>
    <x v="2"/>
    <x v="2"/>
  </r>
  <r>
    <s v="TX500269"/>
    <x v="8"/>
    <x v="0"/>
    <n v="22.1"/>
    <n v="22.1"/>
    <x v="11"/>
    <d v="2025-01-16T00:00:00"/>
    <x v="2"/>
    <x v="1"/>
    <x v="1"/>
    <x v="0"/>
    <x v="33"/>
    <x v="5"/>
    <x v="2"/>
    <x v="2"/>
  </r>
  <r>
    <s v="TX500270"/>
    <x v="6"/>
    <x v="2"/>
    <n v="90.9"/>
    <n v="272.70000000000005"/>
    <x v="11"/>
    <d v="2025-01-13T00:00:00"/>
    <x v="2"/>
    <x v="2"/>
    <x v="4"/>
    <x v="0"/>
    <x v="3"/>
    <x v="3"/>
    <x v="2"/>
    <x v="2"/>
  </r>
  <r>
    <s v="TX500271"/>
    <x v="8"/>
    <x v="2"/>
    <n v="44.5"/>
    <n v="133.5"/>
    <x v="11"/>
    <d v="2025-01-13T00:00:00"/>
    <x v="2"/>
    <x v="1"/>
    <x v="0"/>
    <x v="0"/>
    <x v="3"/>
    <x v="3"/>
    <x v="2"/>
    <x v="2"/>
  </r>
  <r>
    <s v="TX500272"/>
    <x v="9"/>
    <x v="13"/>
    <n v="32.299999999999997"/>
    <n v="193.79999999999998"/>
    <x v="11"/>
    <d v="2025-01-16T00:00:00"/>
    <x v="2"/>
    <x v="0"/>
    <x v="0"/>
    <x v="0"/>
    <x v="3"/>
    <x v="5"/>
    <x v="2"/>
    <x v="2"/>
  </r>
  <r>
    <s v="TX500273"/>
    <x v="17"/>
    <x v="2"/>
    <n v="87.5"/>
    <n v="262.5"/>
    <x v="11"/>
    <d v="2025-01-13T00:00:00"/>
    <x v="2"/>
    <x v="1"/>
    <x v="1"/>
    <x v="0"/>
    <x v="3"/>
    <x v="3"/>
    <x v="2"/>
    <x v="2"/>
  </r>
  <r>
    <s v="TX500274"/>
    <x v="16"/>
    <x v="9"/>
    <n v="48.7"/>
    <n v="243.5"/>
    <x v="11"/>
    <d v="2025-01-13T00:00:00"/>
    <x v="1"/>
    <x v="2"/>
    <x v="0"/>
    <x v="0"/>
    <x v="3"/>
    <x v="3"/>
    <x v="2"/>
    <x v="1"/>
  </r>
  <r>
    <s v="TX500275"/>
    <x v="0"/>
    <x v="9"/>
    <n v="22.5"/>
    <n v="112.5"/>
    <x v="11"/>
    <d v="2025-01-13T00:00:00"/>
    <x v="1"/>
    <x v="0"/>
    <x v="0"/>
    <x v="0"/>
    <x v="3"/>
    <x v="3"/>
    <x v="2"/>
    <x v="1"/>
  </r>
  <r>
    <s v="TX500276"/>
    <x v="1"/>
    <x v="8"/>
    <n v="65.900000000000006"/>
    <n v="527.20000000000005"/>
    <x v="11"/>
    <d v="2025-01-15T00:00:00"/>
    <x v="2"/>
    <x v="1"/>
    <x v="2"/>
    <x v="0"/>
    <x v="3"/>
    <x v="2"/>
    <x v="2"/>
    <x v="2"/>
  </r>
  <r>
    <s v="TX500277"/>
    <x v="6"/>
    <x v="9"/>
    <n v="41.9"/>
    <n v="209.5"/>
    <x v="11"/>
    <d v="2025-01-19T00:00:00"/>
    <x v="0"/>
    <x v="0"/>
    <x v="0"/>
    <x v="0"/>
    <x v="3"/>
    <x v="6"/>
    <x v="2"/>
    <x v="0"/>
  </r>
  <r>
    <s v="TX500278"/>
    <x v="1"/>
    <x v="9"/>
    <n v="67.5"/>
    <n v="337.5"/>
    <x v="11"/>
    <d v="2025-01-13T00:00:00"/>
    <x v="2"/>
    <x v="0"/>
    <x v="2"/>
    <x v="0"/>
    <x v="3"/>
    <x v="3"/>
    <x v="2"/>
    <x v="2"/>
  </r>
  <r>
    <s v="TX500279"/>
    <x v="9"/>
    <x v="0"/>
    <n v="60.4"/>
    <n v="60.4"/>
    <x v="12"/>
    <d v="2025-01-15T00:00:00"/>
    <x v="2"/>
    <x v="1"/>
    <x v="1"/>
    <x v="0"/>
    <x v="3"/>
    <x v="1"/>
    <x v="2"/>
    <x v="2"/>
  </r>
  <r>
    <s v="TX500280"/>
    <x v="1"/>
    <x v="3"/>
    <n v="30.4"/>
    <n v="212.79999999999998"/>
    <x v="12"/>
    <d v="2025-01-16T00:00:00"/>
    <x v="2"/>
    <x v="4"/>
    <x v="0"/>
    <x v="0"/>
    <x v="3"/>
    <x v="2"/>
    <x v="2"/>
    <x v="2"/>
  </r>
  <r>
    <s v="TX500281"/>
    <x v="14"/>
    <x v="1"/>
    <n v="24.5"/>
    <n v="49"/>
    <x v="12"/>
    <d v="2025-01-14T00:00:00"/>
    <x v="1"/>
    <x v="3"/>
    <x v="2"/>
    <x v="0"/>
    <x v="3"/>
    <x v="3"/>
    <x v="2"/>
    <x v="1"/>
  </r>
  <r>
    <s v="TX500282"/>
    <x v="2"/>
    <x v="2"/>
    <n v="105.9"/>
    <n v="317.70000000000005"/>
    <x v="12"/>
    <d v="2025-01-18T00:00:00"/>
    <x v="1"/>
    <x v="0"/>
    <x v="0"/>
    <x v="0"/>
    <x v="37"/>
    <x v="0"/>
    <x v="2"/>
    <x v="1"/>
  </r>
  <r>
    <s v="TX500283"/>
    <x v="10"/>
    <x v="25"/>
    <n v="25.9"/>
    <n v="621.59999999999991"/>
    <x v="12"/>
    <d v="2025-01-14T00:00:00"/>
    <x v="2"/>
    <x v="4"/>
    <x v="0"/>
    <x v="0"/>
    <x v="23"/>
    <x v="3"/>
    <x v="2"/>
    <x v="2"/>
  </r>
  <r>
    <s v="TX500284"/>
    <x v="6"/>
    <x v="2"/>
    <n v="66.8"/>
    <n v="200.39999999999998"/>
    <x v="12"/>
    <d v="2025-01-13T00:00:00"/>
    <x v="1"/>
    <x v="0"/>
    <x v="0"/>
    <x v="0"/>
    <x v="23"/>
    <x v="7"/>
    <x v="2"/>
    <x v="1"/>
  </r>
  <r>
    <s v="TX500285"/>
    <x v="6"/>
    <x v="2"/>
    <n v="112.3"/>
    <n v="336.9"/>
    <x v="12"/>
    <d v="2025-01-14T00:00:00"/>
    <x v="1"/>
    <x v="2"/>
    <x v="4"/>
    <x v="0"/>
    <x v="6"/>
    <x v="3"/>
    <x v="2"/>
    <x v="1"/>
  </r>
  <r>
    <s v="TX500286"/>
    <x v="1"/>
    <x v="13"/>
    <n v="94.1"/>
    <n v="564.59999999999991"/>
    <x v="12"/>
    <d v="2025-01-14T00:00:00"/>
    <x v="2"/>
    <x v="0"/>
    <x v="4"/>
    <x v="0"/>
    <x v="6"/>
    <x v="3"/>
    <x v="2"/>
    <x v="2"/>
  </r>
  <r>
    <s v="TX500287"/>
    <x v="5"/>
    <x v="0"/>
    <n v="40.700000000000003"/>
    <n v="40.700000000000003"/>
    <x v="12"/>
    <d v="2025-01-16T00:00:00"/>
    <x v="2"/>
    <x v="2"/>
    <x v="0"/>
    <x v="0"/>
    <x v="6"/>
    <x v="2"/>
    <x v="2"/>
    <x v="2"/>
  </r>
  <r>
    <s v="TX500288"/>
    <x v="3"/>
    <x v="1"/>
    <n v="71.400000000000006"/>
    <n v="142.80000000000001"/>
    <x v="12"/>
    <d v="2025-01-14T00:00:00"/>
    <x v="1"/>
    <x v="0"/>
    <x v="0"/>
    <x v="0"/>
    <x v="7"/>
    <x v="3"/>
    <x v="2"/>
    <x v="1"/>
  </r>
  <r>
    <s v="TX500289"/>
    <x v="0"/>
    <x v="16"/>
    <n v="15.6"/>
    <n v="280.8"/>
    <x v="12"/>
    <d v="2025-01-14T00:00:00"/>
    <x v="1"/>
    <x v="1"/>
    <x v="3"/>
    <x v="0"/>
    <x v="8"/>
    <x v="3"/>
    <x v="2"/>
    <x v="1"/>
  </r>
  <r>
    <s v="TX500290"/>
    <x v="10"/>
    <x v="12"/>
    <n v="37.799999999999997"/>
    <n v="151.19999999999999"/>
    <x v="12"/>
    <d v="2025-01-14T00:00:00"/>
    <x v="1"/>
    <x v="2"/>
    <x v="2"/>
    <x v="0"/>
    <x v="8"/>
    <x v="3"/>
    <x v="2"/>
    <x v="1"/>
  </r>
  <r>
    <s v="TX500291"/>
    <x v="4"/>
    <x v="2"/>
    <n v="28.1"/>
    <n v="84.300000000000011"/>
    <x v="12"/>
    <d v="2025-01-17T00:00:00"/>
    <x v="1"/>
    <x v="0"/>
    <x v="0"/>
    <x v="0"/>
    <x v="8"/>
    <x v="5"/>
    <x v="2"/>
    <x v="1"/>
  </r>
  <r>
    <s v="TX500292"/>
    <x v="7"/>
    <x v="13"/>
    <n v="51.4"/>
    <n v="308.39999999999998"/>
    <x v="12"/>
    <d v="2025-01-17T00:00:00"/>
    <x v="1"/>
    <x v="0"/>
    <x v="0"/>
    <x v="0"/>
    <x v="8"/>
    <x v="5"/>
    <x v="2"/>
    <x v="1"/>
  </r>
  <r>
    <s v="TX500293"/>
    <x v="7"/>
    <x v="1"/>
    <n v="97.7"/>
    <n v="195.4"/>
    <x v="12"/>
    <d v="2025-01-15T00:00:00"/>
    <x v="2"/>
    <x v="4"/>
    <x v="2"/>
    <x v="0"/>
    <x v="17"/>
    <x v="1"/>
    <x v="2"/>
    <x v="2"/>
  </r>
  <r>
    <s v="TX500294"/>
    <x v="1"/>
    <x v="12"/>
    <n v="63.8"/>
    <n v="255.2"/>
    <x v="12"/>
    <d v="2025-01-14T00:00:00"/>
    <x v="1"/>
    <x v="2"/>
    <x v="0"/>
    <x v="0"/>
    <x v="38"/>
    <x v="3"/>
    <x v="2"/>
    <x v="1"/>
  </r>
  <r>
    <s v="TX500295"/>
    <x v="13"/>
    <x v="1"/>
    <n v="20.100000000000001"/>
    <n v="40.200000000000003"/>
    <x v="12"/>
    <d v="2025-01-15T00:00:00"/>
    <x v="1"/>
    <x v="0"/>
    <x v="2"/>
    <x v="0"/>
    <x v="20"/>
    <x v="1"/>
    <x v="2"/>
    <x v="1"/>
  </r>
  <r>
    <s v="TX500296"/>
    <x v="11"/>
    <x v="2"/>
    <n v="50.4"/>
    <n v="151.19999999999999"/>
    <x v="12"/>
    <d v="2025-01-16T00:00:00"/>
    <x v="2"/>
    <x v="3"/>
    <x v="0"/>
    <x v="0"/>
    <x v="13"/>
    <x v="2"/>
    <x v="2"/>
    <x v="2"/>
  </r>
  <r>
    <s v="TX500297"/>
    <x v="0"/>
    <x v="0"/>
    <n v="16.2"/>
    <n v="16.2"/>
    <x v="12"/>
    <d v="2025-01-26T00:00:00"/>
    <x v="2"/>
    <x v="1"/>
    <x v="0"/>
    <x v="0"/>
    <x v="1"/>
    <x v="10"/>
    <x v="2"/>
    <x v="2"/>
  </r>
  <r>
    <s v="TX500298"/>
    <x v="6"/>
    <x v="3"/>
    <n v="80.900000000000006"/>
    <n v="566.30000000000007"/>
    <x v="12"/>
    <d v="2025-01-15T00:00:00"/>
    <x v="1"/>
    <x v="4"/>
    <x v="4"/>
    <x v="0"/>
    <x v="2"/>
    <x v="1"/>
    <x v="2"/>
    <x v="1"/>
  </r>
  <r>
    <s v="TX500299"/>
    <x v="9"/>
    <x v="13"/>
    <n v="95.2"/>
    <n v="571.20000000000005"/>
    <x v="12"/>
    <d v="2025-01-15T00:00:00"/>
    <x v="2"/>
    <x v="0"/>
    <x v="2"/>
    <x v="0"/>
    <x v="2"/>
    <x v="1"/>
    <x v="2"/>
    <x v="2"/>
  </r>
  <r>
    <s v="TX500300"/>
    <x v="5"/>
    <x v="8"/>
    <n v="70.400000000000006"/>
    <n v="563.20000000000005"/>
    <x v="12"/>
    <d v="2025-01-14T00:00:00"/>
    <x v="1"/>
    <x v="1"/>
    <x v="1"/>
    <x v="0"/>
    <x v="3"/>
    <x v="3"/>
    <x v="2"/>
    <x v="1"/>
  </r>
  <r>
    <s v="TX500301"/>
    <x v="0"/>
    <x v="9"/>
    <n v="10.7"/>
    <n v="53.5"/>
    <x v="12"/>
    <d v="2025-01-17T00:00:00"/>
    <x v="2"/>
    <x v="2"/>
    <x v="0"/>
    <x v="0"/>
    <x v="3"/>
    <x v="5"/>
    <x v="2"/>
    <x v="2"/>
  </r>
  <r>
    <s v="TX500302"/>
    <x v="8"/>
    <x v="9"/>
    <n v="19.600000000000001"/>
    <n v="98"/>
    <x v="12"/>
    <d v="2025-01-15T00:00:00"/>
    <x v="2"/>
    <x v="0"/>
    <x v="3"/>
    <x v="0"/>
    <x v="3"/>
    <x v="1"/>
    <x v="2"/>
    <x v="2"/>
  </r>
  <r>
    <s v="TX500303"/>
    <x v="8"/>
    <x v="5"/>
    <n v="34.700000000000003"/>
    <n v="381.70000000000005"/>
    <x v="12"/>
    <d v="2025-01-15T00:00:00"/>
    <x v="2"/>
    <x v="0"/>
    <x v="2"/>
    <x v="0"/>
    <x v="3"/>
    <x v="1"/>
    <x v="2"/>
    <x v="2"/>
  </r>
  <r>
    <s v="TX500304"/>
    <x v="10"/>
    <x v="11"/>
    <n v="34.1"/>
    <n v="306.90000000000003"/>
    <x v="12"/>
    <d v="2025-01-14T00:00:00"/>
    <x v="2"/>
    <x v="4"/>
    <x v="1"/>
    <x v="0"/>
    <x v="3"/>
    <x v="3"/>
    <x v="2"/>
    <x v="2"/>
  </r>
  <r>
    <s v="TX500305"/>
    <x v="0"/>
    <x v="26"/>
    <n v="29.3"/>
    <n v="1435.7"/>
    <x v="12"/>
    <d v="2025-01-13T00:00:00"/>
    <x v="1"/>
    <x v="0"/>
    <x v="1"/>
    <x v="0"/>
    <x v="3"/>
    <x v="7"/>
    <x v="2"/>
    <x v="1"/>
  </r>
  <r>
    <s v="TX500306"/>
    <x v="1"/>
    <x v="0"/>
    <n v="55.2"/>
    <n v="55.2"/>
    <x v="12"/>
    <d v="2025-01-14T00:00:00"/>
    <x v="2"/>
    <x v="0"/>
    <x v="1"/>
    <x v="0"/>
    <x v="3"/>
    <x v="3"/>
    <x v="2"/>
    <x v="2"/>
  </r>
  <r>
    <s v="TX500307"/>
    <x v="18"/>
    <x v="2"/>
    <n v="26"/>
    <n v="78"/>
    <x v="12"/>
    <d v="2025-01-16T00:00:00"/>
    <x v="2"/>
    <x v="0"/>
    <x v="2"/>
    <x v="0"/>
    <x v="3"/>
    <x v="2"/>
    <x v="2"/>
    <x v="2"/>
  </r>
  <r>
    <s v="TX500308"/>
    <x v="14"/>
    <x v="1"/>
    <n v="14.2"/>
    <n v="28.4"/>
    <x v="12"/>
    <d v="2025-01-18T00:00:00"/>
    <x v="2"/>
    <x v="3"/>
    <x v="0"/>
    <x v="0"/>
    <x v="39"/>
    <x v="0"/>
    <x v="2"/>
    <x v="2"/>
  </r>
  <r>
    <s v="TX500309"/>
    <x v="8"/>
    <x v="11"/>
    <n v="22.7"/>
    <n v="204.29999999999998"/>
    <x v="13"/>
    <d v="2025-01-15T00:00:00"/>
    <x v="1"/>
    <x v="1"/>
    <x v="0"/>
    <x v="0"/>
    <x v="6"/>
    <x v="3"/>
    <x v="2"/>
    <x v="1"/>
  </r>
  <r>
    <s v="TX500310"/>
    <x v="0"/>
    <x v="20"/>
    <n v="19.8"/>
    <n v="297"/>
    <x v="13"/>
    <d v="2025-01-14T00:00:00"/>
    <x v="2"/>
    <x v="0"/>
    <x v="2"/>
    <x v="0"/>
    <x v="6"/>
    <x v="7"/>
    <x v="2"/>
    <x v="2"/>
  </r>
  <r>
    <s v="TX500311"/>
    <x v="0"/>
    <x v="2"/>
    <n v="31.7"/>
    <n v="95.1"/>
    <x v="13"/>
    <d v="2025-01-15T00:00:00"/>
    <x v="1"/>
    <x v="2"/>
    <x v="0"/>
    <x v="0"/>
    <x v="6"/>
    <x v="3"/>
    <x v="2"/>
    <x v="1"/>
  </r>
  <r>
    <s v="TX500312"/>
    <x v="8"/>
    <x v="12"/>
    <n v="30.4"/>
    <n v="121.6"/>
    <x v="13"/>
    <d v="2025-01-18T00:00:00"/>
    <x v="1"/>
    <x v="0"/>
    <x v="0"/>
    <x v="0"/>
    <x v="6"/>
    <x v="5"/>
    <x v="2"/>
    <x v="1"/>
  </r>
  <r>
    <s v="TX500313"/>
    <x v="0"/>
    <x v="12"/>
    <n v="25.6"/>
    <n v="102.4"/>
    <x v="13"/>
    <d v="2025-01-15T00:00:00"/>
    <x v="1"/>
    <x v="3"/>
    <x v="0"/>
    <x v="0"/>
    <x v="8"/>
    <x v="3"/>
    <x v="2"/>
    <x v="1"/>
  </r>
  <r>
    <s v="TX500314"/>
    <x v="5"/>
    <x v="1"/>
    <n v="34.9"/>
    <n v="69.8"/>
    <x v="13"/>
    <d v="2025-01-15T00:00:00"/>
    <x v="2"/>
    <x v="2"/>
    <x v="0"/>
    <x v="0"/>
    <x v="9"/>
    <x v="3"/>
    <x v="2"/>
    <x v="2"/>
  </r>
  <r>
    <s v="TX500315"/>
    <x v="7"/>
    <x v="13"/>
    <n v="42.7"/>
    <n v="256.20000000000005"/>
    <x v="13"/>
    <d v="2025-01-17T00:00:00"/>
    <x v="1"/>
    <x v="2"/>
    <x v="1"/>
    <x v="0"/>
    <x v="11"/>
    <x v="2"/>
    <x v="2"/>
    <x v="1"/>
  </r>
  <r>
    <s v="TX500316"/>
    <x v="8"/>
    <x v="0"/>
    <n v="23.9"/>
    <n v="23.9"/>
    <x v="13"/>
    <d v="2025-01-16T00:00:00"/>
    <x v="2"/>
    <x v="3"/>
    <x v="0"/>
    <x v="0"/>
    <x v="11"/>
    <x v="1"/>
    <x v="2"/>
    <x v="2"/>
  </r>
  <r>
    <s v="TX500317"/>
    <x v="6"/>
    <x v="0"/>
    <n v="124.3"/>
    <n v="124.3"/>
    <x v="13"/>
    <d v="2025-01-15T00:00:00"/>
    <x v="0"/>
    <x v="2"/>
    <x v="1"/>
    <x v="0"/>
    <x v="21"/>
    <x v="3"/>
    <x v="2"/>
    <x v="0"/>
  </r>
  <r>
    <s v="TX500318"/>
    <x v="8"/>
    <x v="13"/>
    <n v="35.9"/>
    <n v="215.39999999999998"/>
    <x v="13"/>
    <d v="2025-01-15T00:00:00"/>
    <x v="2"/>
    <x v="0"/>
    <x v="1"/>
    <x v="0"/>
    <x v="1"/>
    <x v="3"/>
    <x v="2"/>
    <x v="2"/>
  </r>
  <r>
    <s v="TX500319"/>
    <x v="2"/>
    <x v="1"/>
    <n v="69.099999999999994"/>
    <n v="138.19999999999999"/>
    <x v="13"/>
    <d v="2025-01-17T00:00:00"/>
    <x v="2"/>
    <x v="0"/>
    <x v="2"/>
    <x v="0"/>
    <x v="22"/>
    <x v="2"/>
    <x v="2"/>
    <x v="2"/>
  </r>
  <r>
    <s v="TX500320"/>
    <x v="7"/>
    <x v="0"/>
    <n v="58.4"/>
    <n v="58.4"/>
    <x v="13"/>
    <d v="2025-01-18T00:00:00"/>
    <x v="1"/>
    <x v="0"/>
    <x v="0"/>
    <x v="0"/>
    <x v="22"/>
    <x v="5"/>
    <x v="2"/>
    <x v="1"/>
  </r>
  <r>
    <s v="TX500321"/>
    <x v="5"/>
    <x v="0"/>
    <n v="65.2"/>
    <n v="65.2"/>
    <x v="13"/>
    <d v="2025-01-16T00:00:00"/>
    <x v="3"/>
    <x v="4"/>
    <x v="4"/>
    <x v="0"/>
    <x v="3"/>
    <x v="1"/>
    <x v="2"/>
    <x v="3"/>
  </r>
  <r>
    <s v="TX500322"/>
    <x v="8"/>
    <x v="14"/>
    <n v="32.700000000000003"/>
    <n v="555.90000000000009"/>
    <x v="13"/>
    <d v="2025-01-21T00:00:00"/>
    <x v="0"/>
    <x v="4"/>
    <x v="0"/>
    <x v="0"/>
    <x v="3"/>
    <x v="6"/>
    <x v="2"/>
    <x v="0"/>
  </r>
  <r>
    <s v="TX500323"/>
    <x v="10"/>
    <x v="3"/>
    <n v="24.4"/>
    <n v="170.79999999999998"/>
    <x v="13"/>
    <d v="2025-01-15T00:00:00"/>
    <x v="2"/>
    <x v="0"/>
    <x v="0"/>
    <x v="0"/>
    <x v="3"/>
    <x v="3"/>
    <x v="2"/>
    <x v="2"/>
  </r>
  <r>
    <s v="TX500324"/>
    <x v="14"/>
    <x v="1"/>
    <n v="50.4"/>
    <n v="100.8"/>
    <x v="13"/>
    <d v="2025-01-20T00:00:00"/>
    <x v="1"/>
    <x v="0"/>
    <x v="1"/>
    <x v="0"/>
    <x v="3"/>
    <x v="4"/>
    <x v="2"/>
    <x v="1"/>
  </r>
  <r>
    <s v="TX500325"/>
    <x v="1"/>
    <x v="1"/>
    <n v="100"/>
    <n v="200"/>
    <x v="13"/>
    <d v="2025-01-15T00:00:00"/>
    <x v="2"/>
    <x v="0"/>
    <x v="0"/>
    <x v="0"/>
    <x v="3"/>
    <x v="3"/>
    <x v="2"/>
    <x v="2"/>
  </r>
  <r>
    <s v="TX500326"/>
    <x v="10"/>
    <x v="2"/>
    <n v="43"/>
    <n v="129"/>
    <x v="14"/>
    <d v="2025-01-15T00:00:00"/>
    <x v="2"/>
    <x v="2"/>
    <x v="1"/>
    <x v="0"/>
    <x v="3"/>
    <x v="7"/>
    <x v="2"/>
    <x v="2"/>
  </r>
  <r>
    <s v="TX500327"/>
    <x v="1"/>
    <x v="9"/>
    <n v="64.400000000000006"/>
    <n v="322"/>
    <x v="14"/>
    <d v="2025-01-17T00:00:00"/>
    <x v="1"/>
    <x v="2"/>
    <x v="1"/>
    <x v="0"/>
    <x v="3"/>
    <x v="1"/>
    <x v="2"/>
    <x v="1"/>
  </r>
  <r>
    <s v="TX500328"/>
    <x v="18"/>
    <x v="1"/>
    <n v="57.4"/>
    <n v="114.8"/>
    <x v="14"/>
    <d v="2025-01-16T00:00:00"/>
    <x v="1"/>
    <x v="2"/>
    <x v="1"/>
    <x v="0"/>
    <x v="3"/>
    <x v="3"/>
    <x v="2"/>
    <x v="1"/>
  </r>
  <r>
    <s v="TX500329"/>
    <x v="2"/>
    <x v="2"/>
    <n v="55.1"/>
    <n v="165.3"/>
    <x v="14"/>
    <d v="2025-01-18T00:00:00"/>
    <x v="2"/>
    <x v="1"/>
    <x v="0"/>
    <x v="0"/>
    <x v="3"/>
    <x v="2"/>
    <x v="2"/>
    <x v="2"/>
  </r>
  <r>
    <s v="TX500330"/>
    <x v="7"/>
    <x v="12"/>
    <n v="45.4"/>
    <n v="181.6"/>
    <x v="14"/>
    <d v="2025-01-16T00:00:00"/>
    <x v="2"/>
    <x v="1"/>
    <x v="0"/>
    <x v="0"/>
    <x v="3"/>
    <x v="3"/>
    <x v="2"/>
    <x v="2"/>
  </r>
  <r>
    <s v="TX500331"/>
    <x v="3"/>
    <x v="2"/>
    <n v="93.3"/>
    <n v="279.89999999999998"/>
    <x v="14"/>
    <d v="2025-01-16T00:00:00"/>
    <x v="2"/>
    <x v="0"/>
    <x v="0"/>
    <x v="0"/>
    <x v="40"/>
    <x v="3"/>
    <x v="2"/>
    <x v="2"/>
  </r>
  <r>
    <s v="TX500332"/>
    <x v="2"/>
    <x v="10"/>
    <n v="158.19999999999999"/>
    <n v="3005.7999999999997"/>
    <x v="14"/>
    <d v="2025-01-16T00:00:00"/>
    <x v="2"/>
    <x v="1"/>
    <x v="2"/>
    <x v="0"/>
    <x v="16"/>
    <x v="3"/>
    <x v="2"/>
    <x v="2"/>
  </r>
  <r>
    <s v="TX500333"/>
    <x v="2"/>
    <x v="1"/>
    <n v="74.900000000000006"/>
    <n v="149.80000000000001"/>
    <x v="14"/>
    <d v="2025-01-17T00:00:00"/>
    <x v="1"/>
    <x v="3"/>
    <x v="0"/>
    <x v="0"/>
    <x v="6"/>
    <x v="1"/>
    <x v="2"/>
    <x v="1"/>
  </r>
  <r>
    <s v="TX500334"/>
    <x v="8"/>
    <x v="3"/>
    <n v="26"/>
    <n v="182"/>
    <x v="14"/>
    <d v="2025-01-18T00:00:00"/>
    <x v="2"/>
    <x v="1"/>
    <x v="0"/>
    <x v="0"/>
    <x v="8"/>
    <x v="2"/>
    <x v="2"/>
    <x v="2"/>
  </r>
  <r>
    <s v="TX500335"/>
    <x v="9"/>
    <x v="13"/>
    <n v="37.5"/>
    <n v="225"/>
    <x v="14"/>
    <d v="2025-01-16T00:00:00"/>
    <x v="2"/>
    <x v="0"/>
    <x v="1"/>
    <x v="0"/>
    <x v="8"/>
    <x v="3"/>
    <x v="2"/>
    <x v="2"/>
  </r>
  <r>
    <s v="TX500336"/>
    <x v="6"/>
    <x v="1"/>
    <n v="75.8"/>
    <n v="151.6"/>
    <x v="14"/>
    <d v="2025-01-21T00:00:00"/>
    <x v="1"/>
    <x v="0"/>
    <x v="0"/>
    <x v="0"/>
    <x v="8"/>
    <x v="4"/>
    <x v="2"/>
    <x v="1"/>
  </r>
  <r>
    <s v="TX500337"/>
    <x v="7"/>
    <x v="0"/>
    <n v="48.5"/>
    <n v="48.5"/>
    <x v="14"/>
    <d v="2025-01-27T00:00:00"/>
    <x v="0"/>
    <x v="4"/>
    <x v="2"/>
    <x v="0"/>
    <x v="8"/>
    <x v="13"/>
    <x v="2"/>
    <x v="0"/>
  </r>
  <r>
    <s v="TX500338"/>
    <x v="6"/>
    <x v="2"/>
    <n v="98.9"/>
    <n v="296.70000000000005"/>
    <x v="14"/>
    <d v="2025-01-17T00:00:00"/>
    <x v="2"/>
    <x v="4"/>
    <x v="1"/>
    <x v="0"/>
    <x v="8"/>
    <x v="1"/>
    <x v="2"/>
    <x v="2"/>
  </r>
  <r>
    <s v="TX500339"/>
    <x v="1"/>
    <x v="4"/>
    <n v="50.9"/>
    <n v="610.79999999999995"/>
    <x v="14"/>
    <d v="2025-01-15T00:00:00"/>
    <x v="1"/>
    <x v="4"/>
    <x v="0"/>
    <x v="0"/>
    <x v="8"/>
    <x v="7"/>
    <x v="2"/>
    <x v="1"/>
  </r>
  <r>
    <s v="TX500340"/>
    <x v="12"/>
    <x v="13"/>
    <n v="84.7"/>
    <n v="508.20000000000005"/>
    <x v="14"/>
    <d v="2025-01-15T00:00:00"/>
    <x v="2"/>
    <x v="2"/>
    <x v="0"/>
    <x v="0"/>
    <x v="8"/>
    <x v="7"/>
    <x v="2"/>
    <x v="2"/>
  </r>
  <r>
    <s v="TX500341"/>
    <x v="8"/>
    <x v="0"/>
    <n v="20.7"/>
    <n v="20.7"/>
    <x v="14"/>
    <d v="2025-01-17T00:00:00"/>
    <x v="2"/>
    <x v="3"/>
    <x v="2"/>
    <x v="0"/>
    <x v="8"/>
    <x v="1"/>
    <x v="2"/>
    <x v="2"/>
  </r>
  <r>
    <s v="TX500342"/>
    <x v="12"/>
    <x v="11"/>
    <n v="57.8"/>
    <n v="520.19999999999993"/>
    <x v="14"/>
    <d v="2025-01-26T00:00:00"/>
    <x v="1"/>
    <x v="0"/>
    <x v="4"/>
    <x v="0"/>
    <x v="17"/>
    <x v="11"/>
    <x v="2"/>
    <x v="1"/>
  </r>
  <r>
    <s v="TX500343"/>
    <x v="2"/>
    <x v="1"/>
    <n v="106.9"/>
    <n v="213.8"/>
    <x v="14"/>
    <d v="2025-01-17T00:00:00"/>
    <x v="2"/>
    <x v="0"/>
    <x v="2"/>
    <x v="0"/>
    <x v="41"/>
    <x v="1"/>
    <x v="2"/>
    <x v="2"/>
  </r>
  <r>
    <s v="TX500344"/>
    <x v="3"/>
    <x v="9"/>
    <n v="45.2"/>
    <n v="226"/>
    <x v="14"/>
    <d v="2025-01-19T00:00:00"/>
    <x v="2"/>
    <x v="1"/>
    <x v="0"/>
    <x v="0"/>
    <x v="21"/>
    <x v="5"/>
    <x v="2"/>
    <x v="2"/>
  </r>
  <r>
    <s v="TX500345"/>
    <x v="8"/>
    <x v="15"/>
    <n v="34.6"/>
    <n v="449.8"/>
    <x v="14"/>
    <d v="2025-01-15T00:00:00"/>
    <x v="2"/>
    <x v="1"/>
    <x v="1"/>
    <x v="0"/>
    <x v="21"/>
    <x v="7"/>
    <x v="2"/>
    <x v="2"/>
  </r>
  <r>
    <s v="TX500346"/>
    <x v="15"/>
    <x v="0"/>
    <n v="43.8"/>
    <n v="43.8"/>
    <x v="14"/>
    <d v="2025-01-17T00:00:00"/>
    <x v="0"/>
    <x v="0"/>
    <x v="2"/>
    <x v="0"/>
    <x v="21"/>
    <x v="1"/>
    <x v="2"/>
    <x v="0"/>
  </r>
  <r>
    <s v="TX500347"/>
    <x v="15"/>
    <x v="0"/>
    <n v="20.399999999999999"/>
    <n v="20.399999999999999"/>
    <x v="14"/>
    <d v="2025-01-17T00:00:00"/>
    <x v="1"/>
    <x v="4"/>
    <x v="1"/>
    <x v="0"/>
    <x v="21"/>
    <x v="1"/>
    <x v="2"/>
    <x v="1"/>
  </r>
  <r>
    <s v="TX500348"/>
    <x v="1"/>
    <x v="0"/>
    <n v="36.700000000000003"/>
    <n v="36.700000000000003"/>
    <x v="14"/>
    <d v="2025-01-16T00:00:00"/>
    <x v="1"/>
    <x v="0"/>
    <x v="1"/>
    <x v="0"/>
    <x v="1"/>
    <x v="3"/>
    <x v="2"/>
    <x v="1"/>
  </r>
  <r>
    <s v="TX500349"/>
    <x v="8"/>
    <x v="2"/>
    <n v="27.2"/>
    <n v="81.599999999999994"/>
    <x v="14"/>
    <d v="2025-01-19T00:00:00"/>
    <x v="1"/>
    <x v="0"/>
    <x v="2"/>
    <x v="0"/>
    <x v="1"/>
    <x v="5"/>
    <x v="2"/>
    <x v="1"/>
  </r>
  <r>
    <s v="TX500350"/>
    <x v="6"/>
    <x v="0"/>
    <n v="58.2"/>
    <n v="58.2"/>
    <x v="14"/>
    <d v="2025-01-16T00:00:00"/>
    <x v="2"/>
    <x v="0"/>
    <x v="2"/>
    <x v="0"/>
    <x v="42"/>
    <x v="3"/>
    <x v="2"/>
    <x v="2"/>
  </r>
  <r>
    <s v="TX500351"/>
    <x v="8"/>
    <x v="2"/>
    <n v="25.6"/>
    <n v="76.800000000000011"/>
    <x v="14"/>
    <d v="2025-01-16T00:00:00"/>
    <x v="1"/>
    <x v="4"/>
    <x v="4"/>
    <x v="0"/>
    <x v="2"/>
    <x v="3"/>
    <x v="2"/>
    <x v="1"/>
  </r>
  <r>
    <s v="TX500352"/>
    <x v="10"/>
    <x v="0"/>
    <n v="21.2"/>
    <n v="21.2"/>
    <x v="14"/>
    <d v="2025-01-15T00:00:00"/>
    <x v="2"/>
    <x v="1"/>
    <x v="2"/>
    <x v="0"/>
    <x v="3"/>
    <x v="7"/>
    <x v="2"/>
    <x v="2"/>
  </r>
  <r>
    <s v="TX500353"/>
    <x v="6"/>
    <x v="1"/>
    <n v="48.2"/>
    <n v="96.4"/>
    <x v="14"/>
    <d v="2025-01-23T00:00:00"/>
    <x v="2"/>
    <x v="0"/>
    <x v="2"/>
    <x v="0"/>
    <x v="3"/>
    <x v="9"/>
    <x v="2"/>
    <x v="2"/>
  </r>
  <r>
    <s v="TX500354"/>
    <x v="1"/>
    <x v="12"/>
    <n v="83.4"/>
    <n v="333.6"/>
    <x v="15"/>
    <d v="2025-01-17T00:00:00"/>
    <x v="1"/>
    <x v="0"/>
    <x v="0"/>
    <x v="0"/>
    <x v="3"/>
    <x v="3"/>
    <x v="2"/>
    <x v="1"/>
  </r>
  <r>
    <s v="TX500355"/>
    <x v="9"/>
    <x v="2"/>
    <n v="45.3"/>
    <n v="135.89999999999998"/>
    <x v="15"/>
    <d v="2025-01-22T00:00:00"/>
    <x v="1"/>
    <x v="2"/>
    <x v="1"/>
    <x v="0"/>
    <x v="3"/>
    <x v="4"/>
    <x v="2"/>
    <x v="1"/>
  </r>
  <r>
    <s v="TX500356"/>
    <x v="17"/>
    <x v="0"/>
    <n v="42"/>
    <n v="42"/>
    <x v="15"/>
    <d v="2025-01-17T00:00:00"/>
    <x v="0"/>
    <x v="0"/>
    <x v="0"/>
    <x v="0"/>
    <x v="3"/>
    <x v="3"/>
    <x v="2"/>
    <x v="0"/>
  </r>
  <r>
    <s v="TX500357"/>
    <x v="0"/>
    <x v="11"/>
    <n v="21.8"/>
    <n v="196.20000000000002"/>
    <x v="15"/>
    <d v="2025-01-18T00:00:00"/>
    <x v="2"/>
    <x v="1"/>
    <x v="0"/>
    <x v="0"/>
    <x v="3"/>
    <x v="1"/>
    <x v="2"/>
    <x v="2"/>
  </r>
  <r>
    <s v="TX500358"/>
    <x v="8"/>
    <x v="16"/>
    <n v="21.4"/>
    <n v="385.2"/>
    <x v="15"/>
    <d v="2025-01-19T00:00:00"/>
    <x v="2"/>
    <x v="1"/>
    <x v="2"/>
    <x v="0"/>
    <x v="3"/>
    <x v="2"/>
    <x v="2"/>
    <x v="2"/>
  </r>
  <r>
    <s v="TX500359"/>
    <x v="10"/>
    <x v="2"/>
    <n v="45"/>
    <n v="135"/>
    <x v="15"/>
    <d v="2025-01-16T00:00:00"/>
    <x v="2"/>
    <x v="1"/>
    <x v="2"/>
    <x v="0"/>
    <x v="3"/>
    <x v="7"/>
    <x v="2"/>
    <x v="2"/>
  </r>
  <r>
    <s v="TX500360"/>
    <x v="14"/>
    <x v="0"/>
    <n v="39.6"/>
    <n v="39.6"/>
    <x v="15"/>
    <d v="2025-01-17T00:00:00"/>
    <x v="1"/>
    <x v="0"/>
    <x v="2"/>
    <x v="0"/>
    <x v="3"/>
    <x v="3"/>
    <x v="2"/>
    <x v="1"/>
  </r>
  <r>
    <s v="TX500361"/>
    <x v="12"/>
    <x v="2"/>
    <n v="79.8"/>
    <n v="239.39999999999998"/>
    <x v="15"/>
    <d v="2025-01-22T00:00:00"/>
    <x v="2"/>
    <x v="1"/>
    <x v="4"/>
    <x v="0"/>
    <x v="3"/>
    <x v="4"/>
    <x v="2"/>
    <x v="2"/>
  </r>
  <r>
    <s v="TX500362"/>
    <x v="1"/>
    <x v="12"/>
    <n v="63.6"/>
    <n v="254.4"/>
    <x v="15"/>
    <d v="2025-01-17T00:00:00"/>
    <x v="3"/>
    <x v="0"/>
    <x v="2"/>
    <x v="0"/>
    <x v="24"/>
    <x v="3"/>
    <x v="2"/>
    <x v="3"/>
  </r>
  <r>
    <s v="TX500363"/>
    <x v="7"/>
    <x v="7"/>
    <n v="92.7"/>
    <n v="927"/>
    <x v="15"/>
    <d v="2025-01-20T00:00:00"/>
    <x v="1"/>
    <x v="1"/>
    <x v="2"/>
    <x v="0"/>
    <x v="6"/>
    <x v="5"/>
    <x v="2"/>
    <x v="1"/>
  </r>
  <r>
    <s v="TX500364"/>
    <x v="1"/>
    <x v="12"/>
    <n v="48.4"/>
    <n v="193.6"/>
    <x v="15"/>
    <d v="2025-01-18T00:00:00"/>
    <x v="2"/>
    <x v="1"/>
    <x v="2"/>
    <x v="0"/>
    <x v="6"/>
    <x v="1"/>
    <x v="2"/>
    <x v="2"/>
  </r>
  <r>
    <s v="TX500365"/>
    <x v="9"/>
    <x v="8"/>
    <n v="36"/>
    <n v="288"/>
    <x v="15"/>
    <d v="2025-01-19T00:00:00"/>
    <x v="1"/>
    <x v="2"/>
    <x v="2"/>
    <x v="0"/>
    <x v="8"/>
    <x v="2"/>
    <x v="2"/>
    <x v="1"/>
  </r>
  <r>
    <s v="TX500366"/>
    <x v="8"/>
    <x v="4"/>
    <n v="27"/>
    <n v="324"/>
    <x v="15"/>
    <d v="2025-01-18T00:00:00"/>
    <x v="2"/>
    <x v="2"/>
    <x v="1"/>
    <x v="0"/>
    <x v="8"/>
    <x v="1"/>
    <x v="2"/>
    <x v="2"/>
  </r>
  <r>
    <s v="TX500367"/>
    <x v="2"/>
    <x v="8"/>
    <n v="53.9"/>
    <n v="431.2"/>
    <x v="15"/>
    <d v="2025-01-17T00:00:00"/>
    <x v="0"/>
    <x v="0"/>
    <x v="0"/>
    <x v="0"/>
    <x v="8"/>
    <x v="3"/>
    <x v="2"/>
    <x v="0"/>
  </r>
  <r>
    <s v="TX500368"/>
    <x v="3"/>
    <x v="11"/>
    <n v="48.4"/>
    <n v="435.59999999999997"/>
    <x v="15"/>
    <d v="2025-01-17T00:00:00"/>
    <x v="2"/>
    <x v="1"/>
    <x v="0"/>
    <x v="0"/>
    <x v="9"/>
    <x v="3"/>
    <x v="2"/>
    <x v="2"/>
  </r>
  <r>
    <s v="TX500369"/>
    <x v="17"/>
    <x v="1"/>
    <n v="49.9"/>
    <n v="99.8"/>
    <x v="15"/>
    <d v="2025-01-21T00:00:00"/>
    <x v="1"/>
    <x v="4"/>
    <x v="4"/>
    <x v="0"/>
    <x v="10"/>
    <x v="0"/>
    <x v="2"/>
    <x v="1"/>
  </r>
  <r>
    <s v="TX500370"/>
    <x v="1"/>
    <x v="2"/>
    <n v="51.7"/>
    <n v="155.10000000000002"/>
    <x v="15"/>
    <d v="2025-01-17T00:00:00"/>
    <x v="2"/>
    <x v="0"/>
    <x v="2"/>
    <x v="0"/>
    <x v="11"/>
    <x v="3"/>
    <x v="2"/>
    <x v="2"/>
  </r>
  <r>
    <s v="TX500371"/>
    <x v="8"/>
    <x v="2"/>
    <n v="41.8"/>
    <n v="125.39999999999999"/>
    <x v="15"/>
    <d v="2025-01-18T00:00:00"/>
    <x v="2"/>
    <x v="2"/>
    <x v="0"/>
    <x v="0"/>
    <x v="18"/>
    <x v="1"/>
    <x v="2"/>
    <x v="2"/>
  </r>
  <r>
    <s v="TX500372"/>
    <x v="4"/>
    <x v="12"/>
    <n v="36.200000000000003"/>
    <n v="144.80000000000001"/>
    <x v="16"/>
    <d v="2025-01-18T00:00:00"/>
    <x v="1"/>
    <x v="2"/>
    <x v="2"/>
    <x v="0"/>
    <x v="21"/>
    <x v="3"/>
    <x v="2"/>
    <x v="1"/>
  </r>
  <r>
    <s v="TX500373"/>
    <x v="2"/>
    <x v="0"/>
    <n v="150.9"/>
    <n v="150.9"/>
    <x v="16"/>
    <d v="2025-01-27T00:00:00"/>
    <x v="1"/>
    <x v="0"/>
    <x v="0"/>
    <x v="0"/>
    <x v="1"/>
    <x v="14"/>
    <x v="2"/>
    <x v="1"/>
  </r>
  <r>
    <s v="TX500374"/>
    <x v="18"/>
    <x v="12"/>
    <n v="77.599999999999994"/>
    <n v="310.39999999999998"/>
    <x v="16"/>
    <d v="2025-01-18T00:00:00"/>
    <x v="0"/>
    <x v="2"/>
    <x v="0"/>
    <x v="0"/>
    <x v="3"/>
    <x v="3"/>
    <x v="2"/>
    <x v="0"/>
  </r>
  <r>
    <s v="TX500375"/>
    <x v="13"/>
    <x v="9"/>
    <n v="65.5"/>
    <n v="327.5"/>
    <x v="16"/>
    <d v="2025-01-17T00:00:00"/>
    <x v="1"/>
    <x v="1"/>
    <x v="0"/>
    <x v="0"/>
    <x v="3"/>
    <x v="7"/>
    <x v="2"/>
    <x v="1"/>
  </r>
  <r>
    <s v="TX500376"/>
    <x v="6"/>
    <x v="2"/>
    <n v="90.1"/>
    <n v="270.29999999999995"/>
    <x v="16"/>
    <d v="2025-01-19T00:00:00"/>
    <x v="2"/>
    <x v="0"/>
    <x v="0"/>
    <x v="0"/>
    <x v="3"/>
    <x v="1"/>
    <x v="2"/>
    <x v="2"/>
  </r>
  <r>
    <s v="TX500377"/>
    <x v="1"/>
    <x v="1"/>
    <n v="108.3"/>
    <n v="216.6"/>
    <x v="16"/>
    <d v="2025-01-20T00:00:00"/>
    <x v="3"/>
    <x v="4"/>
    <x v="0"/>
    <x v="0"/>
    <x v="3"/>
    <x v="2"/>
    <x v="2"/>
    <x v="3"/>
  </r>
  <r>
    <s v="TX500378"/>
    <x v="5"/>
    <x v="2"/>
    <n v="59.9"/>
    <n v="179.7"/>
    <x v="16"/>
    <d v="2025-01-21T00:00:00"/>
    <x v="2"/>
    <x v="0"/>
    <x v="0"/>
    <x v="0"/>
    <x v="3"/>
    <x v="5"/>
    <x v="2"/>
    <x v="2"/>
  </r>
  <r>
    <s v="TX500379"/>
    <x v="2"/>
    <x v="14"/>
    <n v="139"/>
    <n v="2363"/>
    <x v="16"/>
    <d v="2025-01-19T00:00:00"/>
    <x v="2"/>
    <x v="1"/>
    <x v="4"/>
    <x v="0"/>
    <x v="3"/>
    <x v="1"/>
    <x v="2"/>
    <x v="2"/>
  </r>
  <r>
    <s v="TX500380"/>
    <x v="6"/>
    <x v="2"/>
    <n v="87.3"/>
    <n v="261.89999999999998"/>
    <x v="16"/>
    <d v="2025-01-18T00:00:00"/>
    <x v="2"/>
    <x v="0"/>
    <x v="0"/>
    <x v="0"/>
    <x v="3"/>
    <x v="3"/>
    <x v="2"/>
    <x v="2"/>
  </r>
  <r>
    <s v="TX500381"/>
    <x v="11"/>
    <x v="12"/>
    <n v="42.3"/>
    <n v="169.2"/>
    <x v="16"/>
    <d v="2025-01-17T00:00:00"/>
    <x v="1"/>
    <x v="0"/>
    <x v="0"/>
    <x v="0"/>
    <x v="3"/>
    <x v="7"/>
    <x v="2"/>
    <x v="1"/>
  </r>
  <r>
    <s v="TX500382"/>
    <x v="14"/>
    <x v="8"/>
    <n v="103.6"/>
    <n v="828.8"/>
    <x v="16"/>
    <d v="2025-01-18T00:00:00"/>
    <x v="3"/>
    <x v="0"/>
    <x v="1"/>
    <x v="0"/>
    <x v="3"/>
    <x v="3"/>
    <x v="2"/>
    <x v="3"/>
  </r>
  <r>
    <s v="TX500383"/>
    <x v="6"/>
    <x v="1"/>
    <n v="90.9"/>
    <n v="181.8"/>
    <x v="16"/>
    <d v="2025-01-18T00:00:00"/>
    <x v="1"/>
    <x v="1"/>
    <x v="0"/>
    <x v="0"/>
    <x v="6"/>
    <x v="3"/>
    <x v="2"/>
    <x v="1"/>
  </r>
  <r>
    <s v="TX500384"/>
    <x v="9"/>
    <x v="27"/>
    <n v="100.9"/>
    <n v="1614.4"/>
    <x v="16"/>
    <d v="2025-01-18T00:00:00"/>
    <x v="2"/>
    <x v="1"/>
    <x v="0"/>
    <x v="0"/>
    <x v="6"/>
    <x v="3"/>
    <x v="2"/>
    <x v="2"/>
  </r>
  <r>
    <s v="TX500385"/>
    <x v="4"/>
    <x v="9"/>
    <n v="36"/>
    <n v="180"/>
    <x v="16"/>
    <d v="2025-01-19T00:00:00"/>
    <x v="2"/>
    <x v="1"/>
    <x v="0"/>
    <x v="0"/>
    <x v="7"/>
    <x v="1"/>
    <x v="2"/>
    <x v="2"/>
  </r>
  <r>
    <s v="TX500386"/>
    <x v="6"/>
    <x v="13"/>
    <n v="83.3"/>
    <n v="499.79999999999995"/>
    <x v="16"/>
    <d v="2025-01-20T00:00:00"/>
    <x v="0"/>
    <x v="2"/>
    <x v="0"/>
    <x v="0"/>
    <x v="7"/>
    <x v="2"/>
    <x v="2"/>
    <x v="0"/>
  </r>
  <r>
    <s v="TX500387"/>
    <x v="2"/>
    <x v="14"/>
    <n v="60.3"/>
    <n v="1025.0999999999999"/>
    <x v="16"/>
    <d v="2025-01-18T00:00:00"/>
    <x v="1"/>
    <x v="2"/>
    <x v="1"/>
    <x v="0"/>
    <x v="7"/>
    <x v="3"/>
    <x v="2"/>
    <x v="1"/>
  </r>
  <r>
    <s v="TX500388"/>
    <x v="2"/>
    <x v="13"/>
    <n v="120.3"/>
    <n v="721.8"/>
    <x v="16"/>
    <d v="2025-01-18T00:00:00"/>
    <x v="1"/>
    <x v="2"/>
    <x v="0"/>
    <x v="0"/>
    <x v="8"/>
    <x v="3"/>
    <x v="2"/>
    <x v="1"/>
  </r>
  <r>
    <s v="TX500389"/>
    <x v="4"/>
    <x v="7"/>
    <n v="34"/>
    <n v="340"/>
    <x v="16"/>
    <d v="2025-01-21T00:00:00"/>
    <x v="2"/>
    <x v="2"/>
    <x v="0"/>
    <x v="0"/>
    <x v="8"/>
    <x v="5"/>
    <x v="2"/>
    <x v="2"/>
  </r>
  <r>
    <s v="TX500390"/>
    <x v="10"/>
    <x v="9"/>
    <n v="42.6"/>
    <n v="213"/>
    <x v="16"/>
    <d v="2025-01-20T00:00:00"/>
    <x v="1"/>
    <x v="1"/>
    <x v="0"/>
    <x v="0"/>
    <x v="8"/>
    <x v="2"/>
    <x v="2"/>
    <x v="1"/>
  </r>
  <r>
    <s v="TX500391"/>
    <x v="5"/>
    <x v="28"/>
    <n v="47.4"/>
    <n v="948"/>
    <x v="16"/>
    <d v="2025-01-17T00:00:00"/>
    <x v="2"/>
    <x v="2"/>
    <x v="1"/>
    <x v="0"/>
    <x v="17"/>
    <x v="7"/>
    <x v="2"/>
    <x v="2"/>
  </r>
  <r>
    <s v="TX500392"/>
    <x v="2"/>
    <x v="0"/>
    <n v="74"/>
    <n v="74"/>
    <x v="17"/>
    <d v="2025-01-19T00:00:00"/>
    <x v="1"/>
    <x v="1"/>
    <x v="0"/>
    <x v="0"/>
    <x v="11"/>
    <x v="3"/>
    <x v="2"/>
    <x v="1"/>
  </r>
  <r>
    <s v="TX500393"/>
    <x v="2"/>
    <x v="9"/>
    <n v="60.4"/>
    <n v="302"/>
    <x v="17"/>
    <d v="2025-01-21T00:00:00"/>
    <x v="2"/>
    <x v="1"/>
    <x v="4"/>
    <x v="0"/>
    <x v="18"/>
    <x v="2"/>
    <x v="2"/>
    <x v="2"/>
  </r>
  <r>
    <s v="TX500394"/>
    <x v="12"/>
    <x v="1"/>
    <n v="69.3"/>
    <n v="138.6"/>
    <x v="17"/>
    <d v="2025-01-21T00:00:00"/>
    <x v="1"/>
    <x v="1"/>
    <x v="1"/>
    <x v="0"/>
    <x v="13"/>
    <x v="2"/>
    <x v="2"/>
    <x v="1"/>
  </r>
  <r>
    <s v="TX500395"/>
    <x v="5"/>
    <x v="9"/>
    <n v="81"/>
    <n v="405"/>
    <x v="17"/>
    <d v="2025-01-24T00:00:00"/>
    <x v="1"/>
    <x v="3"/>
    <x v="0"/>
    <x v="0"/>
    <x v="21"/>
    <x v="4"/>
    <x v="2"/>
    <x v="1"/>
  </r>
  <r>
    <s v="TX500396"/>
    <x v="15"/>
    <x v="2"/>
    <n v="41.5"/>
    <n v="124.5"/>
    <x v="17"/>
    <d v="2025-01-20T00:00:00"/>
    <x v="3"/>
    <x v="1"/>
    <x v="0"/>
    <x v="0"/>
    <x v="21"/>
    <x v="1"/>
    <x v="2"/>
    <x v="3"/>
  </r>
  <r>
    <s v="TX500397"/>
    <x v="18"/>
    <x v="1"/>
    <n v="69.7"/>
    <n v="139.4"/>
    <x v="17"/>
    <d v="2025-01-23T00:00:00"/>
    <x v="1"/>
    <x v="1"/>
    <x v="0"/>
    <x v="0"/>
    <x v="21"/>
    <x v="0"/>
    <x v="2"/>
    <x v="1"/>
  </r>
  <r>
    <s v="TX500398"/>
    <x v="2"/>
    <x v="9"/>
    <n v="83.6"/>
    <n v="418"/>
    <x v="17"/>
    <d v="2025-01-18T00:00:00"/>
    <x v="2"/>
    <x v="4"/>
    <x v="0"/>
    <x v="0"/>
    <x v="1"/>
    <x v="7"/>
    <x v="2"/>
    <x v="2"/>
  </r>
  <r>
    <s v="TX500399"/>
    <x v="8"/>
    <x v="3"/>
    <n v="21.5"/>
    <n v="150.5"/>
    <x v="17"/>
    <d v="2025-01-20T00:00:00"/>
    <x v="1"/>
    <x v="1"/>
    <x v="4"/>
    <x v="0"/>
    <x v="34"/>
    <x v="1"/>
    <x v="2"/>
    <x v="1"/>
  </r>
  <r>
    <s v="TX500400"/>
    <x v="8"/>
    <x v="8"/>
    <n v="28.6"/>
    <n v="228.8"/>
    <x v="17"/>
    <d v="2025-01-19T00:00:00"/>
    <x v="1"/>
    <x v="0"/>
    <x v="0"/>
    <x v="0"/>
    <x v="3"/>
    <x v="3"/>
    <x v="2"/>
    <x v="1"/>
  </r>
  <r>
    <s v="TX500401"/>
    <x v="8"/>
    <x v="13"/>
    <n v="18.8"/>
    <n v="112.80000000000001"/>
    <x v="17"/>
    <d v="2025-01-21T00:00:00"/>
    <x v="1"/>
    <x v="3"/>
    <x v="2"/>
    <x v="0"/>
    <x v="3"/>
    <x v="2"/>
    <x v="2"/>
    <x v="1"/>
  </r>
  <r>
    <s v="TX500402"/>
    <x v="10"/>
    <x v="12"/>
    <n v="35.1"/>
    <n v="140.4"/>
    <x v="17"/>
    <d v="2025-01-18T00:00:00"/>
    <x v="2"/>
    <x v="1"/>
    <x v="1"/>
    <x v="0"/>
    <x v="3"/>
    <x v="7"/>
    <x v="2"/>
    <x v="2"/>
  </r>
  <r>
    <s v="TX500403"/>
    <x v="0"/>
    <x v="1"/>
    <n v="12.7"/>
    <n v="25.4"/>
    <x v="17"/>
    <d v="2025-01-20T00:00:00"/>
    <x v="2"/>
    <x v="1"/>
    <x v="2"/>
    <x v="0"/>
    <x v="3"/>
    <x v="1"/>
    <x v="2"/>
    <x v="2"/>
  </r>
  <r>
    <s v="TX500404"/>
    <x v="8"/>
    <x v="9"/>
    <n v="27.4"/>
    <n v="137"/>
    <x v="17"/>
    <d v="2025-01-20T00:00:00"/>
    <x v="3"/>
    <x v="0"/>
    <x v="0"/>
    <x v="0"/>
    <x v="3"/>
    <x v="1"/>
    <x v="2"/>
    <x v="3"/>
  </r>
  <r>
    <s v="TX500405"/>
    <x v="10"/>
    <x v="1"/>
    <n v="61.3"/>
    <n v="122.6"/>
    <x v="17"/>
    <d v="2025-01-19T00:00:00"/>
    <x v="2"/>
    <x v="1"/>
    <x v="0"/>
    <x v="0"/>
    <x v="6"/>
    <x v="3"/>
    <x v="2"/>
    <x v="2"/>
  </r>
  <r>
    <s v="TX500406"/>
    <x v="8"/>
    <x v="1"/>
    <n v="64.7"/>
    <n v="129.4"/>
    <x v="17"/>
    <d v="2025-01-20T00:00:00"/>
    <x v="2"/>
    <x v="3"/>
    <x v="2"/>
    <x v="0"/>
    <x v="6"/>
    <x v="1"/>
    <x v="2"/>
    <x v="2"/>
  </r>
  <r>
    <s v="TX500407"/>
    <x v="7"/>
    <x v="12"/>
    <n v="91.4"/>
    <n v="365.6"/>
    <x v="17"/>
    <d v="2025-01-20T00:00:00"/>
    <x v="2"/>
    <x v="0"/>
    <x v="0"/>
    <x v="0"/>
    <x v="8"/>
    <x v="1"/>
    <x v="2"/>
    <x v="2"/>
  </r>
  <r>
    <s v="TX500408"/>
    <x v="0"/>
    <x v="1"/>
    <n v="33.1"/>
    <n v="66.2"/>
    <x v="18"/>
    <d v="2025-01-20T00:00:00"/>
    <x v="1"/>
    <x v="0"/>
    <x v="2"/>
    <x v="0"/>
    <x v="8"/>
    <x v="3"/>
    <x v="3"/>
    <x v="1"/>
  </r>
  <r>
    <s v="TX500409"/>
    <x v="3"/>
    <x v="1"/>
    <n v="105.6"/>
    <n v="211.2"/>
    <x v="18"/>
    <d v="2025-01-20T00:00:00"/>
    <x v="1"/>
    <x v="2"/>
    <x v="1"/>
    <x v="0"/>
    <x v="8"/>
    <x v="3"/>
    <x v="3"/>
    <x v="1"/>
  </r>
  <r>
    <s v="TX500410"/>
    <x v="10"/>
    <x v="2"/>
    <n v="46.4"/>
    <n v="139.19999999999999"/>
    <x v="18"/>
    <d v="2025-01-20T00:00:00"/>
    <x v="1"/>
    <x v="2"/>
    <x v="0"/>
    <x v="0"/>
    <x v="9"/>
    <x v="3"/>
    <x v="3"/>
    <x v="1"/>
  </r>
  <r>
    <s v="TX500411"/>
    <x v="9"/>
    <x v="21"/>
    <n v="35.299999999999997"/>
    <n v="494.19999999999993"/>
    <x v="18"/>
    <d v="2025-01-22T00:00:00"/>
    <x v="2"/>
    <x v="4"/>
    <x v="1"/>
    <x v="0"/>
    <x v="11"/>
    <x v="2"/>
    <x v="3"/>
    <x v="2"/>
  </r>
  <r>
    <s v="TX500412"/>
    <x v="0"/>
    <x v="1"/>
    <n v="16.100000000000001"/>
    <n v="32.200000000000003"/>
    <x v="18"/>
    <d v="2025-01-21T00:00:00"/>
    <x v="1"/>
    <x v="3"/>
    <x v="2"/>
    <x v="0"/>
    <x v="32"/>
    <x v="1"/>
    <x v="3"/>
    <x v="1"/>
  </r>
  <r>
    <s v="TX500413"/>
    <x v="4"/>
    <x v="1"/>
    <n v="27.9"/>
    <n v="55.8"/>
    <x v="18"/>
    <d v="2025-01-22T00:00:00"/>
    <x v="1"/>
    <x v="0"/>
    <x v="0"/>
    <x v="0"/>
    <x v="13"/>
    <x v="2"/>
    <x v="3"/>
    <x v="1"/>
  </r>
  <r>
    <s v="TX500414"/>
    <x v="8"/>
    <x v="0"/>
    <n v="47.1"/>
    <n v="47.1"/>
    <x v="18"/>
    <d v="2025-01-27T00:00:00"/>
    <x v="2"/>
    <x v="1"/>
    <x v="0"/>
    <x v="0"/>
    <x v="2"/>
    <x v="9"/>
    <x v="3"/>
    <x v="2"/>
  </r>
  <r>
    <s v="TX500415"/>
    <x v="6"/>
    <x v="1"/>
    <n v="85"/>
    <n v="170"/>
    <x v="18"/>
    <d v="2025-01-22T00:00:00"/>
    <x v="0"/>
    <x v="2"/>
    <x v="2"/>
    <x v="0"/>
    <x v="22"/>
    <x v="2"/>
    <x v="3"/>
    <x v="0"/>
  </r>
  <r>
    <s v="TX500416"/>
    <x v="18"/>
    <x v="1"/>
    <n v="89"/>
    <n v="178"/>
    <x v="18"/>
    <d v="2025-01-21T00:00:00"/>
    <x v="2"/>
    <x v="0"/>
    <x v="0"/>
    <x v="0"/>
    <x v="3"/>
    <x v="1"/>
    <x v="3"/>
    <x v="2"/>
  </r>
  <r>
    <s v="TX500417"/>
    <x v="16"/>
    <x v="2"/>
    <n v="36.6"/>
    <n v="109.80000000000001"/>
    <x v="18"/>
    <d v="2025-01-20T00:00:00"/>
    <x v="3"/>
    <x v="3"/>
    <x v="2"/>
    <x v="0"/>
    <x v="3"/>
    <x v="3"/>
    <x v="3"/>
    <x v="3"/>
  </r>
  <r>
    <s v="TX500418"/>
    <x v="6"/>
    <x v="3"/>
    <n v="43.5"/>
    <n v="304.5"/>
    <x v="18"/>
    <d v="2025-01-20T00:00:00"/>
    <x v="1"/>
    <x v="1"/>
    <x v="2"/>
    <x v="0"/>
    <x v="3"/>
    <x v="3"/>
    <x v="3"/>
    <x v="1"/>
  </r>
  <r>
    <s v="TX500419"/>
    <x v="9"/>
    <x v="10"/>
    <n v="30.5"/>
    <n v="579.5"/>
    <x v="18"/>
    <d v="2025-01-19T00:00:00"/>
    <x v="2"/>
    <x v="3"/>
    <x v="0"/>
    <x v="0"/>
    <x v="3"/>
    <x v="7"/>
    <x v="3"/>
    <x v="2"/>
  </r>
  <r>
    <s v="TX500420"/>
    <x v="1"/>
    <x v="1"/>
    <n v="107.7"/>
    <n v="215.4"/>
    <x v="18"/>
    <d v="2025-01-23T00:00:00"/>
    <x v="1"/>
    <x v="3"/>
    <x v="4"/>
    <x v="0"/>
    <x v="3"/>
    <x v="5"/>
    <x v="3"/>
    <x v="1"/>
  </r>
  <r>
    <s v="TX500421"/>
    <x v="17"/>
    <x v="18"/>
    <n v="57.1"/>
    <n v="1484.6000000000001"/>
    <x v="18"/>
    <d v="2025-01-20T00:00:00"/>
    <x v="1"/>
    <x v="1"/>
    <x v="0"/>
    <x v="0"/>
    <x v="3"/>
    <x v="3"/>
    <x v="3"/>
    <x v="1"/>
  </r>
  <r>
    <s v="TX500422"/>
    <x v="2"/>
    <x v="7"/>
    <n v="111.7"/>
    <n v="1117"/>
    <x v="18"/>
    <d v="2025-01-20T00:00:00"/>
    <x v="2"/>
    <x v="4"/>
    <x v="2"/>
    <x v="0"/>
    <x v="3"/>
    <x v="3"/>
    <x v="3"/>
    <x v="2"/>
  </r>
  <r>
    <s v="TX500423"/>
    <x v="18"/>
    <x v="3"/>
    <n v="44.3"/>
    <n v="310.09999999999997"/>
    <x v="18"/>
    <d v="2025-01-22T00:00:00"/>
    <x v="1"/>
    <x v="3"/>
    <x v="2"/>
    <x v="0"/>
    <x v="3"/>
    <x v="2"/>
    <x v="3"/>
    <x v="1"/>
  </r>
  <r>
    <s v="TX500424"/>
    <x v="2"/>
    <x v="8"/>
    <n v="95.8"/>
    <n v="766.4"/>
    <x v="18"/>
    <d v="2025-01-25T00:00:00"/>
    <x v="3"/>
    <x v="0"/>
    <x v="0"/>
    <x v="0"/>
    <x v="3"/>
    <x v="4"/>
    <x v="3"/>
    <x v="3"/>
  </r>
  <r>
    <s v="TX500425"/>
    <x v="10"/>
    <x v="3"/>
    <n v="22.6"/>
    <n v="158.20000000000002"/>
    <x v="18"/>
    <d v="2025-01-22T00:00:00"/>
    <x v="2"/>
    <x v="3"/>
    <x v="1"/>
    <x v="0"/>
    <x v="3"/>
    <x v="2"/>
    <x v="3"/>
    <x v="2"/>
  </r>
  <r>
    <s v="TX500426"/>
    <x v="8"/>
    <x v="8"/>
    <n v="25.6"/>
    <n v="204.8"/>
    <x v="18"/>
    <d v="2025-01-21T00:00:00"/>
    <x v="2"/>
    <x v="4"/>
    <x v="0"/>
    <x v="0"/>
    <x v="3"/>
    <x v="1"/>
    <x v="3"/>
    <x v="2"/>
  </r>
  <r>
    <s v="TX500427"/>
    <x v="6"/>
    <x v="27"/>
    <n v="54.3"/>
    <n v="868.8"/>
    <x v="18"/>
    <d v="2025-01-22T00:00:00"/>
    <x v="2"/>
    <x v="4"/>
    <x v="0"/>
    <x v="0"/>
    <x v="3"/>
    <x v="2"/>
    <x v="3"/>
    <x v="2"/>
  </r>
  <r>
    <s v="TX500428"/>
    <x v="18"/>
    <x v="15"/>
    <n v="51.3"/>
    <n v="666.9"/>
    <x v="18"/>
    <d v="2025-01-21T00:00:00"/>
    <x v="1"/>
    <x v="0"/>
    <x v="2"/>
    <x v="0"/>
    <x v="3"/>
    <x v="1"/>
    <x v="3"/>
    <x v="1"/>
  </r>
  <r>
    <s v="TX500429"/>
    <x v="0"/>
    <x v="8"/>
    <n v="25.6"/>
    <n v="204.8"/>
    <x v="18"/>
    <d v="2025-01-20T00:00:00"/>
    <x v="2"/>
    <x v="1"/>
    <x v="1"/>
    <x v="0"/>
    <x v="3"/>
    <x v="3"/>
    <x v="3"/>
    <x v="2"/>
  </r>
  <r>
    <s v="TX500430"/>
    <x v="0"/>
    <x v="1"/>
    <n v="15.6"/>
    <n v="31.2"/>
    <x v="18"/>
    <d v="2025-01-20T00:00:00"/>
    <x v="2"/>
    <x v="2"/>
    <x v="2"/>
    <x v="0"/>
    <x v="3"/>
    <x v="3"/>
    <x v="3"/>
    <x v="2"/>
  </r>
  <r>
    <s v="TX500431"/>
    <x v="8"/>
    <x v="2"/>
    <n v="30.3"/>
    <n v="90.9"/>
    <x v="18"/>
    <d v="2025-01-23T00:00:00"/>
    <x v="2"/>
    <x v="0"/>
    <x v="1"/>
    <x v="0"/>
    <x v="3"/>
    <x v="5"/>
    <x v="3"/>
    <x v="2"/>
  </r>
  <r>
    <s v="TX500432"/>
    <x v="12"/>
    <x v="1"/>
    <n v="30.3"/>
    <n v="60.6"/>
    <x v="18"/>
    <d v="2025-01-24T00:00:00"/>
    <x v="2"/>
    <x v="0"/>
    <x v="2"/>
    <x v="0"/>
    <x v="37"/>
    <x v="0"/>
    <x v="3"/>
    <x v="2"/>
  </r>
  <r>
    <s v="TX500433"/>
    <x v="10"/>
    <x v="2"/>
    <n v="53"/>
    <n v="159"/>
    <x v="18"/>
    <d v="2025-01-26T00:00:00"/>
    <x v="2"/>
    <x v="2"/>
    <x v="0"/>
    <x v="0"/>
    <x v="24"/>
    <x v="6"/>
    <x v="3"/>
    <x v="2"/>
  </r>
  <r>
    <s v="TX500434"/>
    <x v="5"/>
    <x v="16"/>
    <n v="59.9"/>
    <n v="1078.2"/>
    <x v="18"/>
    <d v="2025-01-22T00:00:00"/>
    <x v="1"/>
    <x v="2"/>
    <x v="4"/>
    <x v="0"/>
    <x v="25"/>
    <x v="2"/>
    <x v="3"/>
    <x v="1"/>
  </r>
  <r>
    <s v="TX500435"/>
    <x v="9"/>
    <x v="1"/>
    <n v="45.7"/>
    <n v="91.4"/>
    <x v="18"/>
    <d v="2025-01-20T00:00:00"/>
    <x v="2"/>
    <x v="1"/>
    <x v="2"/>
    <x v="0"/>
    <x v="6"/>
    <x v="3"/>
    <x v="3"/>
    <x v="2"/>
  </r>
  <r>
    <s v="TX500436"/>
    <x v="8"/>
    <x v="12"/>
    <n v="46.1"/>
    <n v="184.4"/>
    <x v="18"/>
    <d v="2025-01-20T00:00:00"/>
    <x v="1"/>
    <x v="0"/>
    <x v="0"/>
    <x v="0"/>
    <x v="6"/>
    <x v="3"/>
    <x v="3"/>
    <x v="1"/>
  </r>
  <r>
    <s v="TX500437"/>
    <x v="8"/>
    <x v="2"/>
    <n v="17.5"/>
    <n v="52.5"/>
    <x v="18"/>
    <d v="2025-01-20T00:00:00"/>
    <x v="2"/>
    <x v="0"/>
    <x v="2"/>
    <x v="0"/>
    <x v="8"/>
    <x v="3"/>
    <x v="3"/>
    <x v="2"/>
  </r>
  <r>
    <s v="TX500438"/>
    <x v="10"/>
    <x v="2"/>
    <n v="36.5"/>
    <n v="109.5"/>
    <x v="18"/>
    <d v="2025-01-30T00:00:00"/>
    <x v="1"/>
    <x v="2"/>
    <x v="0"/>
    <x v="0"/>
    <x v="8"/>
    <x v="11"/>
    <x v="3"/>
    <x v="1"/>
  </r>
  <r>
    <s v="TX500439"/>
    <x v="8"/>
    <x v="1"/>
    <n v="47.5"/>
    <n v="95"/>
    <x v="19"/>
    <d v="2025-01-22T00:00:00"/>
    <x v="2"/>
    <x v="1"/>
    <x v="0"/>
    <x v="0"/>
    <x v="8"/>
    <x v="1"/>
    <x v="3"/>
    <x v="2"/>
  </r>
  <r>
    <s v="TX500440"/>
    <x v="6"/>
    <x v="9"/>
    <n v="45.6"/>
    <n v="228"/>
    <x v="19"/>
    <d v="2025-01-22T00:00:00"/>
    <x v="2"/>
    <x v="0"/>
    <x v="2"/>
    <x v="0"/>
    <x v="8"/>
    <x v="1"/>
    <x v="3"/>
    <x v="2"/>
  </r>
  <r>
    <s v="TX500441"/>
    <x v="9"/>
    <x v="1"/>
    <n v="50.5"/>
    <n v="101"/>
    <x v="19"/>
    <d v="2025-01-22T00:00:00"/>
    <x v="1"/>
    <x v="0"/>
    <x v="1"/>
    <x v="0"/>
    <x v="17"/>
    <x v="1"/>
    <x v="3"/>
    <x v="1"/>
  </r>
  <r>
    <s v="TX500442"/>
    <x v="2"/>
    <x v="7"/>
    <n v="99.8"/>
    <n v="998"/>
    <x v="19"/>
    <d v="2025-01-23T00:00:00"/>
    <x v="2"/>
    <x v="2"/>
    <x v="1"/>
    <x v="0"/>
    <x v="17"/>
    <x v="2"/>
    <x v="3"/>
    <x v="2"/>
  </r>
  <r>
    <s v="TX500443"/>
    <x v="8"/>
    <x v="20"/>
    <n v="19.2"/>
    <n v="288"/>
    <x v="19"/>
    <d v="2025-01-22T00:00:00"/>
    <x v="3"/>
    <x v="4"/>
    <x v="1"/>
    <x v="0"/>
    <x v="26"/>
    <x v="1"/>
    <x v="3"/>
    <x v="3"/>
  </r>
  <r>
    <s v="TX500444"/>
    <x v="17"/>
    <x v="2"/>
    <n v="22.6"/>
    <n v="67.800000000000011"/>
    <x v="19"/>
    <d v="2025-01-21T00:00:00"/>
    <x v="1"/>
    <x v="1"/>
    <x v="0"/>
    <x v="0"/>
    <x v="11"/>
    <x v="3"/>
    <x v="3"/>
    <x v="1"/>
  </r>
  <r>
    <s v="TX500445"/>
    <x v="1"/>
    <x v="20"/>
    <n v="126.9"/>
    <n v="1903.5"/>
    <x v="19"/>
    <d v="2025-01-22T00:00:00"/>
    <x v="2"/>
    <x v="0"/>
    <x v="2"/>
    <x v="0"/>
    <x v="11"/>
    <x v="1"/>
    <x v="3"/>
    <x v="2"/>
  </r>
  <r>
    <s v="TX500446"/>
    <x v="2"/>
    <x v="1"/>
    <n v="100.3"/>
    <n v="200.6"/>
    <x v="19"/>
    <d v="2025-01-21T00:00:00"/>
    <x v="2"/>
    <x v="0"/>
    <x v="1"/>
    <x v="0"/>
    <x v="11"/>
    <x v="3"/>
    <x v="3"/>
    <x v="2"/>
  </r>
  <r>
    <s v="TX500447"/>
    <x v="4"/>
    <x v="16"/>
    <n v="24.6"/>
    <n v="442.8"/>
    <x v="19"/>
    <d v="2025-01-21T00:00:00"/>
    <x v="2"/>
    <x v="4"/>
    <x v="0"/>
    <x v="0"/>
    <x v="13"/>
    <x v="3"/>
    <x v="3"/>
    <x v="2"/>
  </r>
  <r>
    <s v="TX500448"/>
    <x v="6"/>
    <x v="1"/>
    <n v="47.3"/>
    <n v="94.6"/>
    <x v="19"/>
    <d v="2025-01-21T00:00:00"/>
    <x v="1"/>
    <x v="1"/>
    <x v="2"/>
    <x v="0"/>
    <x v="13"/>
    <x v="3"/>
    <x v="3"/>
    <x v="1"/>
  </r>
  <r>
    <s v="TX500449"/>
    <x v="6"/>
    <x v="3"/>
    <n v="40.799999999999997"/>
    <n v="285.59999999999997"/>
    <x v="19"/>
    <d v="2025-01-23T00:00:00"/>
    <x v="2"/>
    <x v="2"/>
    <x v="2"/>
    <x v="0"/>
    <x v="21"/>
    <x v="2"/>
    <x v="3"/>
    <x v="2"/>
  </r>
  <r>
    <s v="TX500450"/>
    <x v="8"/>
    <x v="8"/>
    <n v="49.2"/>
    <n v="393.6"/>
    <x v="19"/>
    <d v="2025-01-22T00:00:00"/>
    <x v="2"/>
    <x v="0"/>
    <x v="0"/>
    <x v="0"/>
    <x v="1"/>
    <x v="1"/>
    <x v="3"/>
    <x v="2"/>
  </r>
  <r>
    <s v="TX500451"/>
    <x v="8"/>
    <x v="0"/>
    <n v="28.5"/>
    <n v="28.5"/>
    <x v="19"/>
    <d v="2025-01-22T00:00:00"/>
    <x v="0"/>
    <x v="2"/>
    <x v="1"/>
    <x v="0"/>
    <x v="3"/>
    <x v="1"/>
    <x v="3"/>
    <x v="0"/>
  </r>
  <r>
    <s v="TX500452"/>
    <x v="18"/>
    <x v="1"/>
    <n v="36.799999999999997"/>
    <n v="73.599999999999994"/>
    <x v="19"/>
    <d v="2025-01-26T00:00:00"/>
    <x v="2"/>
    <x v="0"/>
    <x v="2"/>
    <x v="0"/>
    <x v="3"/>
    <x v="4"/>
    <x v="3"/>
    <x v="2"/>
  </r>
  <r>
    <s v="TX500453"/>
    <x v="7"/>
    <x v="2"/>
    <n v="33.5"/>
    <n v="100.5"/>
    <x v="19"/>
    <d v="2025-01-21T00:00:00"/>
    <x v="2"/>
    <x v="0"/>
    <x v="1"/>
    <x v="0"/>
    <x v="3"/>
    <x v="3"/>
    <x v="3"/>
    <x v="2"/>
  </r>
  <r>
    <s v="TX500454"/>
    <x v="6"/>
    <x v="13"/>
    <n v="62.5"/>
    <n v="375"/>
    <x v="19"/>
    <d v="2025-01-22T00:00:00"/>
    <x v="2"/>
    <x v="0"/>
    <x v="0"/>
    <x v="0"/>
    <x v="3"/>
    <x v="1"/>
    <x v="3"/>
    <x v="2"/>
  </r>
  <r>
    <s v="TX500455"/>
    <x v="8"/>
    <x v="29"/>
    <n v="47.9"/>
    <n v="1916"/>
    <x v="19"/>
    <d v="2025-01-21T00:00:00"/>
    <x v="2"/>
    <x v="3"/>
    <x v="0"/>
    <x v="0"/>
    <x v="3"/>
    <x v="3"/>
    <x v="3"/>
    <x v="2"/>
  </r>
  <r>
    <s v="TX500456"/>
    <x v="6"/>
    <x v="13"/>
    <n v="92.9"/>
    <n v="557.40000000000009"/>
    <x v="19"/>
    <d v="2025-01-31T00:00:00"/>
    <x v="2"/>
    <x v="0"/>
    <x v="4"/>
    <x v="0"/>
    <x v="3"/>
    <x v="11"/>
    <x v="3"/>
    <x v="2"/>
  </r>
  <r>
    <s v="TX500457"/>
    <x v="12"/>
    <x v="2"/>
    <n v="44.1"/>
    <n v="132.30000000000001"/>
    <x v="19"/>
    <d v="2025-01-20T00:00:00"/>
    <x v="2"/>
    <x v="1"/>
    <x v="1"/>
    <x v="0"/>
    <x v="43"/>
    <x v="7"/>
    <x v="3"/>
    <x v="2"/>
  </r>
  <r>
    <s v="TX500458"/>
    <x v="0"/>
    <x v="0"/>
    <n v="11.4"/>
    <n v="11.4"/>
    <x v="20"/>
    <d v="2025-01-23T00:00:00"/>
    <x v="2"/>
    <x v="2"/>
    <x v="0"/>
    <x v="0"/>
    <x v="5"/>
    <x v="1"/>
    <x v="3"/>
    <x v="2"/>
  </r>
  <r>
    <s v="TX500459"/>
    <x v="6"/>
    <x v="0"/>
    <n v="83.7"/>
    <n v="83.7"/>
    <x v="20"/>
    <d v="2025-01-23T00:00:00"/>
    <x v="2"/>
    <x v="0"/>
    <x v="2"/>
    <x v="0"/>
    <x v="6"/>
    <x v="1"/>
    <x v="3"/>
    <x v="2"/>
  </r>
  <r>
    <s v="TX500460"/>
    <x v="10"/>
    <x v="1"/>
    <n v="23.2"/>
    <n v="46.4"/>
    <x v="20"/>
    <d v="2025-01-22T00:00:00"/>
    <x v="1"/>
    <x v="2"/>
    <x v="0"/>
    <x v="0"/>
    <x v="8"/>
    <x v="3"/>
    <x v="3"/>
    <x v="1"/>
  </r>
  <r>
    <s v="TX500461"/>
    <x v="2"/>
    <x v="0"/>
    <n v="162.1"/>
    <n v="162.1"/>
    <x v="20"/>
    <d v="2025-01-24T00:00:00"/>
    <x v="2"/>
    <x v="0"/>
    <x v="2"/>
    <x v="0"/>
    <x v="9"/>
    <x v="2"/>
    <x v="3"/>
    <x v="2"/>
  </r>
  <r>
    <s v="TX500462"/>
    <x v="6"/>
    <x v="12"/>
    <n v="49.2"/>
    <n v="196.8"/>
    <x v="20"/>
    <d v="2025-01-25T00:00:00"/>
    <x v="1"/>
    <x v="1"/>
    <x v="0"/>
    <x v="0"/>
    <x v="9"/>
    <x v="5"/>
    <x v="3"/>
    <x v="1"/>
  </r>
  <r>
    <s v="TX500463"/>
    <x v="1"/>
    <x v="1"/>
    <n v="61"/>
    <n v="122"/>
    <x v="20"/>
    <d v="2025-01-22T00:00:00"/>
    <x v="1"/>
    <x v="3"/>
    <x v="0"/>
    <x v="0"/>
    <x v="10"/>
    <x v="3"/>
    <x v="3"/>
    <x v="1"/>
  </r>
  <r>
    <s v="TX500464"/>
    <x v="2"/>
    <x v="7"/>
    <n v="53.1"/>
    <n v="531"/>
    <x v="20"/>
    <d v="2025-01-23T00:00:00"/>
    <x v="1"/>
    <x v="0"/>
    <x v="0"/>
    <x v="0"/>
    <x v="11"/>
    <x v="1"/>
    <x v="3"/>
    <x v="1"/>
  </r>
  <r>
    <s v="TX500465"/>
    <x v="4"/>
    <x v="1"/>
    <n v="22.4"/>
    <n v="44.8"/>
    <x v="20"/>
    <d v="2025-01-23T00:00:00"/>
    <x v="0"/>
    <x v="1"/>
    <x v="2"/>
    <x v="0"/>
    <x v="13"/>
    <x v="1"/>
    <x v="3"/>
    <x v="0"/>
  </r>
  <r>
    <s v="TX500466"/>
    <x v="1"/>
    <x v="9"/>
    <n v="75.3"/>
    <n v="376.5"/>
    <x v="20"/>
    <d v="2025-01-22T00:00:00"/>
    <x v="1"/>
    <x v="0"/>
    <x v="0"/>
    <x v="0"/>
    <x v="21"/>
    <x v="3"/>
    <x v="3"/>
    <x v="1"/>
  </r>
  <r>
    <s v="TX500467"/>
    <x v="6"/>
    <x v="0"/>
    <n v="48.5"/>
    <n v="48.5"/>
    <x v="20"/>
    <d v="2025-01-22T00:00:00"/>
    <x v="2"/>
    <x v="0"/>
    <x v="1"/>
    <x v="0"/>
    <x v="21"/>
    <x v="3"/>
    <x v="3"/>
    <x v="2"/>
  </r>
  <r>
    <s v="TX500468"/>
    <x v="6"/>
    <x v="0"/>
    <n v="42.6"/>
    <n v="42.6"/>
    <x v="20"/>
    <d v="2025-01-25T00:00:00"/>
    <x v="2"/>
    <x v="3"/>
    <x v="0"/>
    <x v="0"/>
    <x v="1"/>
    <x v="5"/>
    <x v="3"/>
    <x v="2"/>
  </r>
  <r>
    <s v="TX500469"/>
    <x v="5"/>
    <x v="9"/>
    <n v="49"/>
    <n v="245"/>
    <x v="20"/>
    <d v="2025-01-22T00:00:00"/>
    <x v="1"/>
    <x v="0"/>
    <x v="0"/>
    <x v="0"/>
    <x v="22"/>
    <x v="3"/>
    <x v="3"/>
    <x v="1"/>
  </r>
  <r>
    <s v="TX500470"/>
    <x v="8"/>
    <x v="2"/>
    <n v="31.3"/>
    <n v="93.9"/>
    <x v="20"/>
    <d v="2025-01-22T00:00:00"/>
    <x v="1"/>
    <x v="2"/>
    <x v="1"/>
    <x v="0"/>
    <x v="3"/>
    <x v="3"/>
    <x v="3"/>
    <x v="1"/>
  </r>
  <r>
    <s v="TX500471"/>
    <x v="2"/>
    <x v="1"/>
    <n v="85.4"/>
    <n v="170.8"/>
    <x v="20"/>
    <d v="2025-01-22T00:00:00"/>
    <x v="2"/>
    <x v="2"/>
    <x v="0"/>
    <x v="0"/>
    <x v="3"/>
    <x v="3"/>
    <x v="3"/>
    <x v="2"/>
  </r>
  <r>
    <s v="TX500472"/>
    <x v="8"/>
    <x v="12"/>
    <n v="40"/>
    <n v="160"/>
    <x v="20"/>
    <d v="2025-01-22T00:00:00"/>
    <x v="3"/>
    <x v="0"/>
    <x v="2"/>
    <x v="0"/>
    <x v="3"/>
    <x v="3"/>
    <x v="3"/>
    <x v="3"/>
  </r>
  <r>
    <s v="TX500473"/>
    <x v="5"/>
    <x v="1"/>
    <n v="38.5"/>
    <n v="77"/>
    <x v="20"/>
    <d v="2025-01-24T00:00:00"/>
    <x v="1"/>
    <x v="1"/>
    <x v="2"/>
    <x v="0"/>
    <x v="3"/>
    <x v="2"/>
    <x v="3"/>
    <x v="1"/>
  </r>
  <r>
    <s v="TX500474"/>
    <x v="2"/>
    <x v="1"/>
    <n v="57.8"/>
    <n v="115.6"/>
    <x v="20"/>
    <d v="2025-01-22T00:00:00"/>
    <x v="0"/>
    <x v="0"/>
    <x v="0"/>
    <x v="0"/>
    <x v="3"/>
    <x v="3"/>
    <x v="3"/>
    <x v="0"/>
  </r>
  <r>
    <s v="TX500475"/>
    <x v="8"/>
    <x v="0"/>
    <n v="19.2"/>
    <n v="19.2"/>
    <x v="20"/>
    <d v="2025-01-22T00:00:00"/>
    <x v="2"/>
    <x v="0"/>
    <x v="4"/>
    <x v="0"/>
    <x v="3"/>
    <x v="3"/>
    <x v="3"/>
    <x v="2"/>
  </r>
  <r>
    <s v="TX500476"/>
    <x v="6"/>
    <x v="13"/>
    <n v="114.8"/>
    <n v="688.8"/>
    <x v="20"/>
    <d v="2025-01-24T00:00:00"/>
    <x v="1"/>
    <x v="1"/>
    <x v="1"/>
    <x v="0"/>
    <x v="3"/>
    <x v="2"/>
    <x v="3"/>
    <x v="1"/>
  </r>
  <r>
    <s v="TX500477"/>
    <x v="10"/>
    <x v="3"/>
    <n v="48.4"/>
    <n v="338.8"/>
    <x v="20"/>
    <d v="2025-01-24T00:00:00"/>
    <x v="2"/>
    <x v="3"/>
    <x v="1"/>
    <x v="0"/>
    <x v="3"/>
    <x v="2"/>
    <x v="3"/>
    <x v="2"/>
  </r>
  <r>
    <s v="TX500478"/>
    <x v="9"/>
    <x v="9"/>
    <n v="73.2"/>
    <n v="366"/>
    <x v="20"/>
    <d v="2025-01-22T00:00:00"/>
    <x v="2"/>
    <x v="1"/>
    <x v="4"/>
    <x v="0"/>
    <x v="3"/>
    <x v="3"/>
    <x v="3"/>
    <x v="2"/>
  </r>
  <r>
    <s v="TX500479"/>
    <x v="15"/>
    <x v="1"/>
    <n v="48.6"/>
    <n v="97.2"/>
    <x v="20"/>
    <d v="2025-01-25T00:00:00"/>
    <x v="2"/>
    <x v="3"/>
    <x v="0"/>
    <x v="0"/>
    <x v="3"/>
    <x v="5"/>
    <x v="3"/>
    <x v="2"/>
  </r>
  <r>
    <s v="TX500480"/>
    <x v="0"/>
    <x v="13"/>
    <n v="48.7"/>
    <n v="292.20000000000005"/>
    <x v="20"/>
    <d v="2025-01-22T00:00:00"/>
    <x v="1"/>
    <x v="0"/>
    <x v="0"/>
    <x v="0"/>
    <x v="3"/>
    <x v="3"/>
    <x v="3"/>
    <x v="1"/>
  </r>
  <r>
    <s v="TX500481"/>
    <x v="4"/>
    <x v="1"/>
    <n v="32.200000000000003"/>
    <n v="64.400000000000006"/>
    <x v="20"/>
    <d v="2025-01-24T00:00:00"/>
    <x v="1"/>
    <x v="2"/>
    <x v="2"/>
    <x v="0"/>
    <x v="3"/>
    <x v="2"/>
    <x v="3"/>
    <x v="1"/>
  </r>
  <r>
    <s v="TX500482"/>
    <x v="15"/>
    <x v="8"/>
    <n v="25.8"/>
    <n v="206.4"/>
    <x v="20"/>
    <d v="2025-01-22T00:00:00"/>
    <x v="1"/>
    <x v="0"/>
    <x v="0"/>
    <x v="0"/>
    <x v="37"/>
    <x v="3"/>
    <x v="3"/>
    <x v="1"/>
  </r>
  <r>
    <s v="TX500483"/>
    <x v="6"/>
    <x v="1"/>
    <n v="94.8"/>
    <n v="189.6"/>
    <x v="21"/>
    <d v="2025-01-25T00:00:00"/>
    <x v="2"/>
    <x v="1"/>
    <x v="1"/>
    <x v="0"/>
    <x v="25"/>
    <x v="2"/>
    <x v="3"/>
    <x v="2"/>
  </r>
  <r>
    <s v="TX500484"/>
    <x v="15"/>
    <x v="30"/>
    <n v="56.8"/>
    <n v="1420"/>
    <x v="21"/>
    <d v="2025-01-25T00:00:00"/>
    <x v="1"/>
    <x v="0"/>
    <x v="0"/>
    <x v="0"/>
    <x v="25"/>
    <x v="2"/>
    <x v="3"/>
    <x v="1"/>
  </r>
  <r>
    <s v="TX500485"/>
    <x v="8"/>
    <x v="27"/>
    <n v="18.3"/>
    <n v="292.8"/>
    <x v="21"/>
    <d v="2025-01-29T00:00:00"/>
    <x v="2"/>
    <x v="2"/>
    <x v="2"/>
    <x v="0"/>
    <x v="23"/>
    <x v="6"/>
    <x v="3"/>
    <x v="2"/>
  </r>
  <r>
    <s v="TX500486"/>
    <x v="0"/>
    <x v="2"/>
    <n v="16.8"/>
    <n v="50.400000000000006"/>
    <x v="21"/>
    <d v="2025-01-27T00:00:00"/>
    <x v="2"/>
    <x v="2"/>
    <x v="2"/>
    <x v="0"/>
    <x v="8"/>
    <x v="0"/>
    <x v="3"/>
    <x v="2"/>
  </r>
  <r>
    <s v="TX500487"/>
    <x v="5"/>
    <x v="5"/>
    <n v="35.799999999999997"/>
    <n v="393.79999999999995"/>
    <x v="21"/>
    <d v="2025-01-23T00:00:00"/>
    <x v="1"/>
    <x v="1"/>
    <x v="0"/>
    <x v="0"/>
    <x v="17"/>
    <x v="3"/>
    <x v="3"/>
    <x v="1"/>
  </r>
  <r>
    <s v="TX500488"/>
    <x v="18"/>
    <x v="0"/>
    <n v="64.900000000000006"/>
    <n v="64.900000000000006"/>
    <x v="21"/>
    <d v="2025-01-23T00:00:00"/>
    <x v="1"/>
    <x v="0"/>
    <x v="1"/>
    <x v="0"/>
    <x v="17"/>
    <x v="3"/>
    <x v="3"/>
    <x v="1"/>
  </r>
  <r>
    <s v="TX500489"/>
    <x v="18"/>
    <x v="0"/>
    <n v="28.5"/>
    <n v="28.5"/>
    <x v="21"/>
    <d v="2025-01-24T00:00:00"/>
    <x v="0"/>
    <x v="1"/>
    <x v="0"/>
    <x v="0"/>
    <x v="9"/>
    <x v="1"/>
    <x v="3"/>
    <x v="0"/>
  </r>
  <r>
    <s v="TX500490"/>
    <x v="18"/>
    <x v="1"/>
    <n v="103.5"/>
    <n v="207"/>
    <x v="21"/>
    <d v="2025-01-24T00:00:00"/>
    <x v="2"/>
    <x v="1"/>
    <x v="0"/>
    <x v="0"/>
    <x v="10"/>
    <x v="1"/>
    <x v="3"/>
    <x v="2"/>
  </r>
  <r>
    <s v="TX500491"/>
    <x v="4"/>
    <x v="1"/>
    <n v="41.2"/>
    <n v="82.4"/>
    <x v="21"/>
    <d v="2025-01-23T00:00:00"/>
    <x v="2"/>
    <x v="1"/>
    <x v="0"/>
    <x v="0"/>
    <x v="10"/>
    <x v="3"/>
    <x v="3"/>
    <x v="2"/>
  </r>
  <r>
    <s v="TX500492"/>
    <x v="9"/>
    <x v="0"/>
    <n v="37.799999999999997"/>
    <n v="37.799999999999997"/>
    <x v="21"/>
    <d v="2025-01-24T00:00:00"/>
    <x v="2"/>
    <x v="3"/>
    <x v="3"/>
    <x v="0"/>
    <x v="11"/>
    <x v="1"/>
    <x v="3"/>
    <x v="2"/>
  </r>
  <r>
    <s v="TX500493"/>
    <x v="8"/>
    <x v="1"/>
    <n v="42.6"/>
    <n v="85.2"/>
    <x v="21"/>
    <d v="2025-01-24T00:00:00"/>
    <x v="2"/>
    <x v="4"/>
    <x v="0"/>
    <x v="0"/>
    <x v="11"/>
    <x v="1"/>
    <x v="3"/>
    <x v="2"/>
  </r>
  <r>
    <s v="TX500494"/>
    <x v="8"/>
    <x v="7"/>
    <n v="15.2"/>
    <n v="152"/>
    <x v="21"/>
    <d v="2025-01-24T00:00:00"/>
    <x v="2"/>
    <x v="2"/>
    <x v="0"/>
    <x v="0"/>
    <x v="11"/>
    <x v="1"/>
    <x v="3"/>
    <x v="2"/>
  </r>
  <r>
    <s v="TX500495"/>
    <x v="7"/>
    <x v="12"/>
    <n v="83.4"/>
    <n v="333.6"/>
    <x v="21"/>
    <d v="2025-01-23T00:00:00"/>
    <x v="2"/>
    <x v="2"/>
    <x v="1"/>
    <x v="0"/>
    <x v="18"/>
    <x v="3"/>
    <x v="3"/>
    <x v="2"/>
  </r>
  <r>
    <s v="TX500496"/>
    <x v="19"/>
    <x v="1"/>
    <n v="27.7"/>
    <n v="55.4"/>
    <x v="21"/>
    <d v="2025-01-23T00:00:00"/>
    <x v="2"/>
    <x v="0"/>
    <x v="1"/>
    <x v="0"/>
    <x v="13"/>
    <x v="3"/>
    <x v="3"/>
    <x v="2"/>
  </r>
  <r>
    <s v="TX500497"/>
    <x v="10"/>
    <x v="4"/>
    <n v="20.8"/>
    <n v="249.60000000000002"/>
    <x v="21"/>
    <d v="2025-01-23T00:00:00"/>
    <x v="1"/>
    <x v="3"/>
    <x v="0"/>
    <x v="0"/>
    <x v="13"/>
    <x v="3"/>
    <x v="3"/>
    <x v="1"/>
  </r>
  <r>
    <s v="TX500498"/>
    <x v="11"/>
    <x v="1"/>
    <n v="72.7"/>
    <n v="145.4"/>
    <x v="21"/>
    <d v="2025-01-26T00:00:00"/>
    <x v="2"/>
    <x v="4"/>
    <x v="2"/>
    <x v="0"/>
    <x v="44"/>
    <x v="5"/>
    <x v="3"/>
    <x v="2"/>
  </r>
  <r>
    <s v="TX500499"/>
    <x v="10"/>
    <x v="12"/>
    <n v="38.6"/>
    <n v="154.4"/>
    <x v="21"/>
    <d v="2025-01-23T00:00:00"/>
    <x v="1"/>
    <x v="0"/>
    <x v="2"/>
    <x v="0"/>
    <x v="22"/>
    <x v="3"/>
    <x v="3"/>
    <x v="1"/>
  </r>
  <r>
    <s v="TX500500"/>
    <x v="8"/>
    <x v="3"/>
    <n v="33.1"/>
    <n v="231.70000000000002"/>
    <x v="21"/>
    <d v="2025-01-23T00:00:00"/>
    <x v="3"/>
    <x v="4"/>
    <x v="3"/>
    <x v="0"/>
    <x v="3"/>
    <x v="3"/>
    <x v="3"/>
    <x v="3"/>
  </r>
  <r>
    <s v="TX500501"/>
    <x v="10"/>
    <x v="1"/>
    <n v="30.5"/>
    <n v="61"/>
    <x v="21"/>
    <d v="2025-01-22T00:00:00"/>
    <x v="0"/>
    <x v="1"/>
    <x v="1"/>
    <x v="0"/>
    <x v="3"/>
    <x v="7"/>
    <x v="3"/>
    <x v="0"/>
  </r>
  <r>
    <s v="TX500502"/>
    <x v="9"/>
    <x v="1"/>
    <n v="69.599999999999994"/>
    <n v="139.19999999999999"/>
    <x v="21"/>
    <d v="2025-01-23T00:00:00"/>
    <x v="1"/>
    <x v="0"/>
    <x v="1"/>
    <x v="0"/>
    <x v="3"/>
    <x v="3"/>
    <x v="3"/>
    <x v="1"/>
  </r>
  <r>
    <s v="TX500503"/>
    <x v="11"/>
    <x v="0"/>
    <n v="42.4"/>
    <n v="42.4"/>
    <x v="21"/>
    <d v="2025-01-26T00:00:00"/>
    <x v="2"/>
    <x v="1"/>
    <x v="0"/>
    <x v="0"/>
    <x v="3"/>
    <x v="5"/>
    <x v="3"/>
    <x v="2"/>
  </r>
  <r>
    <s v="TX500504"/>
    <x v="17"/>
    <x v="0"/>
    <n v="32.200000000000003"/>
    <n v="32.200000000000003"/>
    <x v="21"/>
    <d v="2025-01-25T00:00:00"/>
    <x v="2"/>
    <x v="2"/>
    <x v="1"/>
    <x v="0"/>
    <x v="3"/>
    <x v="2"/>
    <x v="3"/>
    <x v="2"/>
  </r>
  <r>
    <s v="TX500505"/>
    <x v="6"/>
    <x v="1"/>
    <n v="41.5"/>
    <n v="83"/>
    <x v="21"/>
    <d v="2025-01-25T00:00:00"/>
    <x v="2"/>
    <x v="0"/>
    <x v="2"/>
    <x v="0"/>
    <x v="3"/>
    <x v="2"/>
    <x v="3"/>
    <x v="2"/>
  </r>
  <r>
    <s v="TX500506"/>
    <x v="16"/>
    <x v="11"/>
    <n v="58.9"/>
    <n v="530.1"/>
    <x v="21"/>
    <d v="2025-01-26T00:00:00"/>
    <x v="2"/>
    <x v="3"/>
    <x v="0"/>
    <x v="0"/>
    <x v="3"/>
    <x v="5"/>
    <x v="3"/>
    <x v="2"/>
  </r>
  <r>
    <s v="TX500507"/>
    <x v="2"/>
    <x v="0"/>
    <n v="57.1"/>
    <n v="57.1"/>
    <x v="21"/>
    <d v="2025-01-25T00:00:00"/>
    <x v="2"/>
    <x v="1"/>
    <x v="0"/>
    <x v="0"/>
    <x v="3"/>
    <x v="2"/>
    <x v="3"/>
    <x v="2"/>
  </r>
  <r>
    <s v="TX500508"/>
    <x v="6"/>
    <x v="0"/>
    <n v="57.2"/>
    <n v="57.2"/>
    <x v="21"/>
    <d v="2025-01-24T00:00:00"/>
    <x v="1"/>
    <x v="1"/>
    <x v="0"/>
    <x v="0"/>
    <x v="3"/>
    <x v="1"/>
    <x v="3"/>
    <x v="1"/>
  </r>
  <r>
    <s v="TX500509"/>
    <x v="8"/>
    <x v="1"/>
    <n v="35.1"/>
    <n v="70.2"/>
    <x v="21"/>
    <d v="2025-01-23T00:00:00"/>
    <x v="1"/>
    <x v="1"/>
    <x v="0"/>
    <x v="0"/>
    <x v="6"/>
    <x v="3"/>
    <x v="3"/>
    <x v="1"/>
  </r>
  <r>
    <s v="TX500510"/>
    <x v="1"/>
    <x v="0"/>
    <n v="52.1"/>
    <n v="52.1"/>
    <x v="21"/>
    <d v="2025-01-24T00:00:00"/>
    <x v="2"/>
    <x v="4"/>
    <x v="1"/>
    <x v="0"/>
    <x v="8"/>
    <x v="1"/>
    <x v="3"/>
    <x v="2"/>
  </r>
  <r>
    <s v="TX500511"/>
    <x v="13"/>
    <x v="2"/>
    <n v="59.8"/>
    <n v="179.39999999999998"/>
    <x v="21"/>
    <d v="2025-01-24T00:00:00"/>
    <x v="2"/>
    <x v="4"/>
    <x v="1"/>
    <x v="0"/>
    <x v="8"/>
    <x v="1"/>
    <x v="3"/>
    <x v="2"/>
  </r>
  <r>
    <s v="TX500512"/>
    <x v="3"/>
    <x v="12"/>
    <n v="83.3"/>
    <n v="333.2"/>
    <x v="21"/>
    <d v="2025-01-22T00:00:00"/>
    <x v="0"/>
    <x v="2"/>
    <x v="0"/>
    <x v="0"/>
    <x v="8"/>
    <x v="7"/>
    <x v="3"/>
    <x v="0"/>
  </r>
  <r>
    <s v="TX500513"/>
    <x v="15"/>
    <x v="4"/>
    <n v="41.3"/>
    <n v="495.59999999999997"/>
    <x v="21"/>
    <d v="2025-01-23T00:00:00"/>
    <x v="2"/>
    <x v="1"/>
    <x v="0"/>
    <x v="0"/>
    <x v="8"/>
    <x v="3"/>
    <x v="3"/>
    <x v="2"/>
  </r>
  <r>
    <s v="TX500514"/>
    <x v="8"/>
    <x v="9"/>
    <n v="16"/>
    <n v="80"/>
    <x v="21"/>
    <d v="2025-01-24T00:00:00"/>
    <x v="1"/>
    <x v="4"/>
    <x v="1"/>
    <x v="0"/>
    <x v="9"/>
    <x v="1"/>
    <x v="3"/>
    <x v="1"/>
  </r>
  <r>
    <s v="TX500515"/>
    <x v="10"/>
    <x v="1"/>
    <n v="20.8"/>
    <n v="41.6"/>
    <x v="22"/>
    <d v="2025-01-25T00:00:00"/>
    <x v="1"/>
    <x v="0"/>
    <x v="2"/>
    <x v="0"/>
    <x v="11"/>
    <x v="1"/>
    <x v="3"/>
    <x v="1"/>
  </r>
  <r>
    <s v="TX500516"/>
    <x v="8"/>
    <x v="31"/>
    <n v="27.1"/>
    <n v="758.80000000000007"/>
    <x v="22"/>
    <d v="2025-01-24T00:00:00"/>
    <x v="0"/>
    <x v="3"/>
    <x v="2"/>
    <x v="0"/>
    <x v="11"/>
    <x v="3"/>
    <x v="3"/>
    <x v="0"/>
  </r>
  <r>
    <s v="TX500517"/>
    <x v="10"/>
    <x v="1"/>
    <n v="38.9"/>
    <n v="77.8"/>
    <x v="22"/>
    <d v="2025-01-25T00:00:00"/>
    <x v="2"/>
    <x v="0"/>
    <x v="0"/>
    <x v="0"/>
    <x v="18"/>
    <x v="1"/>
    <x v="3"/>
    <x v="2"/>
  </r>
  <r>
    <s v="TX500518"/>
    <x v="0"/>
    <x v="1"/>
    <n v="10.8"/>
    <n v="21.6"/>
    <x v="22"/>
    <d v="2025-01-26T00:00:00"/>
    <x v="2"/>
    <x v="1"/>
    <x v="2"/>
    <x v="0"/>
    <x v="45"/>
    <x v="2"/>
    <x v="3"/>
    <x v="2"/>
  </r>
  <r>
    <s v="TX500519"/>
    <x v="4"/>
    <x v="15"/>
    <n v="48.4"/>
    <n v="629.19999999999993"/>
    <x v="22"/>
    <d v="2025-01-27T00:00:00"/>
    <x v="2"/>
    <x v="0"/>
    <x v="0"/>
    <x v="0"/>
    <x v="21"/>
    <x v="5"/>
    <x v="3"/>
    <x v="2"/>
  </r>
  <r>
    <s v="TX500520"/>
    <x v="4"/>
    <x v="2"/>
    <n v="29.2"/>
    <n v="87.6"/>
    <x v="22"/>
    <d v="2025-01-26T00:00:00"/>
    <x v="2"/>
    <x v="1"/>
    <x v="1"/>
    <x v="0"/>
    <x v="2"/>
    <x v="2"/>
    <x v="3"/>
    <x v="2"/>
  </r>
  <r>
    <s v="TX500521"/>
    <x v="4"/>
    <x v="1"/>
    <n v="25.1"/>
    <n v="50.2"/>
    <x v="22"/>
    <d v="2025-01-24T00:00:00"/>
    <x v="1"/>
    <x v="0"/>
    <x v="1"/>
    <x v="0"/>
    <x v="2"/>
    <x v="3"/>
    <x v="3"/>
    <x v="1"/>
  </r>
  <r>
    <s v="TX500522"/>
    <x v="7"/>
    <x v="2"/>
    <n v="65.599999999999994"/>
    <n v="196.79999999999998"/>
    <x v="22"/>
    <d v="2025-01-23T00:00:00"/>
    <x v="2"/>
    <x v="2"/>
    <x v="1"/>
    <x v="0"/>
    <x v="3"/>
    <x v="7"/>
    <x v="3"/>
    <x v="2"/>
  </r>
  <r>
    <s v="TX500523"/>
    <x v="2"/>
    <x v="1"/>
    <n v="57.3"/>
    <n v="114.6"/>
    <x v="22"/>
    <d v="2025-01-23T00:00:00"/>
    <x v="0"/>
    <x v="0"/>
    <x v="0"/>
    <x v="0"/>
    <x v="3"/>
    <x v="7"/>
    <x v="3"/>
    <x v="0"/>
  </r>
  <r>
    <s v="TX500524"/>
    <x v="9"/>
    <x v="12"/>
    <n v="22.4"/>
    <n v="89.6"/>
    <x v="22"/>
    <d v="2025-01-24T00:00:00"/>
    <x v="2"/>
    <x v="2"/>
    <x v="2"/>
    <x v="0"/>
    <x v="3"/>
    <x v="3"/>
    <x v="3"/>
    <x v="2"/>
  </r>
  <r>
    <s v="TX500525"/>
    <x v="12"/>
    <x v="11"/>
    <n v="45.7"/>
    <n v="411.3"/>
    <x v="22"/>
    <d v="2025-01-24T00:00:00"/>
    <x v="2"/>
    <x v="0"/>
    <x v="0"/>
    <x v="0"/>
    <x v="3"/>
    <x v="3"/>
    <x v="3"/>
    <x v="2"/>
  </r>
  <r>
    <s v="TX500526"/>
    <x v="8"/>
    <x v="1"/>
    <n v="29.3"/>
    <n v="58.6"/>
    <x v="22"/>
    <d v="2025-01-24T00:00:00"/>
    <x v="1"/>
    <x v="1"/>
    <x v="0"/>
    <x v="0"/>
    <x v="3"/>
    <x v="3"/>
    <x v="3"/>
    <x v="1"/>
  </r>
  <r>
    <s v="TX500527"/>
    <x v="18"/>
    <x v="32"/>
    <n v="74"/>
    <n v="1628"/>
    <x v="22"/>
    <d v="2025-01-24T00:00:00"/>
    <x v="1"/>
    <x v="0"/>
    <x v="2"/>
    <x v="0"/>
    <x v="3"/>
    <x v="3"/>
    <x v="3"/>
    <x v="1"/>
  </r>
  <r>
    <s v="TX500528"/>
    <x v="14"/>
    <x v="1"/>
    <n v="39.200000000000003"/>
    <n v="78.400000000000006"/>
    <x v="22"/>
    <d v="2025-01-25T00:00:00"/>
    <x v="2"/>
    <x v="1"/>
    <x v="0"/>
    <x v="0"/>
    <x v="3"/>
    <x v="1"/>
    <x v="3"/>
    <x v="2"/>
  </r>
  <r>
    <s v="TX500529"/>
    <x v="4"/>
    <x v="14"/>
    <n v="62.7"/>
    <n v="1065.9000000000001"/>
    <x v="22"/>
    <d v="2025-01-24T00:00:00"/>
    <x v="2"/>
    <x v="2"/>
    <x v="1"/>
    <x v="0"/>
    <x v="3"/>
    <x v="3"/>
    <x v="3"/>
    <x v="2"/>
  </r>
  <r>
    <s v="TX500530"/>
    <x v="10"/>
    <x v="1"/>
    <n v="60.1"/>
    <n v="120.2"/>
    <x v="22"/>
    <d v="2025-01-24T00:00:00"/>
    <x v="2"/>
    <x v="3"/>
    <x v="0"/>
    <x v="0"/>
    <x v="3"/>
    <x v="3"/>
    <x v="3"/>
    <x v="2"/>
  </r>
  <r>
    <s v="TX500531"/>
    <x v="0"/>
    <x v="12"/>
    <n v="11.2"/>
    <n v="44.8"/>
    <x v="22"/>
    <d v="2025-01-24T00:00:00"/>
    <x v="2"/>
    <x v="3"/>
    <x v="1"/>
    <x v="0"/>
    <x v="3"/>
    <x v="3"/>
    <x v="3"/>
    <x v="2"/>
  </r>
  <r>
    <s v="TX500532"/>
    <x v="8"/>
    <x v="1"/>
    <n v="22.9"/>
    <n v="45.8"/>
    <x v="22"/>
    <d v="2025-01-24T00:00:00"/>
    <x v="2"/>
    <x v="0"/>
    <x v="0"/>
    <x v="0"/>
    <x v="6"/>
    <x v="3"/>
    <x v="3"/>
    <x v="2"/>
  </r>
  <r>
    <s v="TX500533"/>
    <x v="1"/>
    <x v="1"/>
    <n v="37.6"/>
    <n v="75.2"/>
    <x v="22"/>
    <d v="2025-01-26T00:00:00"/>
    <x v="2"/>
    <x v="0"/>
    <x v="0"/>
    <x v="0"/>
    <x v="6"/>
    <x v="2"/>
    <x v="3"/>
    <x v="2"/>
  </r>
  <r>
    <s v="TX500534"/>
    <x v="6"/>
    <x v="0"/>
    <n v="42.4"/>
    <n v="42.4"/>
    <x v="22"/>
    <d v="2025-01-24T00:00:00"/>
    <x v="2"/>
    <x v="3"/>
    <x v="2"/>
    <x v="0"/>
    <x v="6"/>
    <x v="3"/>
    <x v="3"/>
    <x v="2"/>
  </r>
  <r>
    <s v="TX500535"/>
    <x v="8"/>
    <x v="1"/>
    <n v="19.600000000000001"/>
    <n v="39.200000000000003"/>
    <x v="22"/>
    <d v="2025-01-27T00:00:00"/>
    <x v="2"/>
    <x v="2"/>
    <x v="0"/>
    <x v="0"/>
    <x v="7"/>
    <x v="5"/>
    <x v="3"/>
    <x v="2"/>
  </r>
  <r>
    <s v="TX500536"/>
    <x v="9"/>
    <x v="0"/>
    <n v="90.5"/>
    <n v="90.5"/>
    <x v="22"/>
    <d v="2025-01-26T00:00:00"/>
    <x v="2"/>
    <x v="2"/>
    <x v="0"/>
    <x v="0"/>
    <x v="7"/>
    <x v="2"/>
    <x v="3"/>
    <x v="2"/>
  </r>
  <r>
    <s v="TX500537"/>
    <x v="16"/>
    <x v="5"/>
    <n v="33.9"/>
    <n v="372.9"/>
    <x v="22"/>
    <d v="2025-01-24T00:00:00"/>
    <x v="1"/>
    <x v="2"/>
    <x v="1"/>
    <x v="0"/>
    <x v="7"/>
    <x v="3"/>
    <x v="3"/>
    <x v="1"/>
  </r>
  <r>
    <s v="TX500538"/>
    <x v="0"/>
    <x v="1"/>
    <n v="32.799999999999997"/>
    <n v="65.599999999999994"/>
    <x v="22"/>
    <d v="2025-01-25T00:00:00"/>
    <x v="2"/>
    <x v="4"/>
    <x v="4"/>
    <x v="0"/>
    <x v="8"/>
    <x v="1"/>
    <x v="3"/>
    <x v="2"/>
  </r>
  <r>
    <s v="TX500539"/>
    <x v="15"/>
    <x v="0"/>
    <n v="49.9"/>
    <n v="49.9"/>
    <x v="22"/>
    <d v="2025-01-24T00:00:00"/>
    <x v="1"/>
    <x v="3"/>
    <x v="1"/>
    <x v="0"/>
    <x v="8"/>
    <x v="3"/>
    <x v="3"/>
    <x v="1"/>
  </r>
  <r>
    <s v="TX500540"/>
    <x v="7"/>
    <x v="9"/>
    <n v="79.2"/>
    <n v="396"/>
    <x v="22"/>
    <d v="2025-01-24T00:00:00"/>
    <x v="2"/>
    <x v="4"/>
    <x v="0"/>
    <x v="0"/>
    <x v="8"/>
    <x v="3"/>
    <x v="3"/>
    <x v="2"/>
  </r>
  <r>
    <s v="TX500541"/>
    <x v="8"/>
    <x v="27"/>
    <n v="19.5"/>
    <n v="312"/>
    <x v="22"/>
    <d v="2025-01-25T00:00:00"/>
    <x v="1"/>
    <x v="3"/>
    <x v="2"/>
    <x v="0"/>
    <x v="8"/>
    <x v="1"/>
    <x v="3"/>
    <x v="1"/>
  </r>
  <r>
    <s v="TX500542"/>
    <x v="8"/>
    <x v="12"/>
    <n v="18"/>
    <n v="72"/>
    <x v="22"/>
    <d v="2025-01-24T00:00:00"/>
    <x v="1"/>
    <x v="1"/>
    <x v="0"/>
    <x v="0"/>
    <x v="10"/>
    <x v="3"/>
    <x v="3"/>
    <x v="1"/>
  </r>
  <r>
    <s v="TX500543"/>
    <x v="9"/>
    <x v="2"/>
    <n v="45.9"/>
    <n v="137.69999999999999"/>
    <x v="22"/>
    <d v="2025-01-25T00:00:00"/>
    <x v="2"/>
    <x v="1"/>
    <x v="1"/>
    <x v="0"/>
    <x v="10"/>
    <x v="1"/>
    <x v="3"/>
    <x v="2"/>
  </r>
  <r>
    <s v="TX500544"/>
    <x v="11"/>
    <x v="0"/>
    <n v="41.2"/>
    <n v="41.2"/>
    <x v="22"/>
    <d v="2025-01-25T00:00:00"/>
    <x v="2"/>
    <x v="1"/>
    <x v="2"/>
    <x v="0"/>
    <x v="11"/>
    <x v="1"/>
    <x v="3"/>
    <x v="2"/>
  </r>
  <r>
    <s v="TX500545"/>
    <x v="2"/>
    <x v="7"/>
    <n v="167.2"/>
    <n v="1672"/>
    <x v="22"/>
    <d v="2025-01-25T00:00:00"/>
    <x v="2"/>
    <x v="2"/>
    <x v="2"/>
    <x v="0"/>
    <x v="32"/>
    <x v="1"/>
    <x v="3"/>
    <x v="2"/>
  </r>
  <r>
    <s v="TX500546"/>
    <x v="6"/>
    <x v="17"/>
    <n v="74.5"/>
    <n v="2235"/>
    <x v="23"/>
    <d v="2025-01-27T00:00:00"/>
    <x v="2"/>
    <x v="1"/>
    <x v="2"/>
    <x v="0"/>
    <x v="38"/>
    <x v="2"/>
    <x v="3"/>
    <x v="2"/>
  </r>
  <r>
    <s v="TX500547"/>
    <x v="7"/>
    <x v="12"/>
    <n v="39.299999999999997"/>
    <n v="157.19999999999999"/>
    <x v="23"/>
    <d v="2025-01-25T00:00:00"/>
    <x v="0"/>
    <x v="2"/>
    <x v="0"/>
    <x v="0"/>
    <x v="19"/>
    <x v="3"/>
    <x v="3"/>
    <x v="0"/>
  </r>
  <r>
    <s v="TX500548"/>
    <x v="9"/>
    <x v="0"/>
    <n v="68.5"/>
    <n v="68.5"/>
    <x v="23"/>
    <d v="2025-01-27T00:00:00"/>
    <x v="1"/>
    <x v="1"/>
    <x v="2"/>
    <x v="0"/>
    <x v="12"/>
    <x v="2"/>
    <x v="3"/>
    <x v="1"/>
  </r>
  <r>
    <s v="TX500549"/>
    <x v="0"/>
    <x v="2"/>
    <n v="22.5"/>
    <n v="67.5"/>
    <x v="23"/>
    <d v="2025-01-24T00:00:00"/>
    <x v="2"/>
    <x v="4"/>
    <x v="0"/>
    <x v="0"/>
    <x v="13"/>
    <x v="7"/>
    <x v="3"/>
    <x v="2"/>
  </r>
  <r>
    <s v="TX500550"/>
    <x v="1"/>
    <x v="0"/>
    <n v="48"/>
    <n v="48"/>
    <x v="23"/>
    <d v="2025-01-25T00:00:00"/>
    <x v="3"/>
    <x v="4"/>
    <x v="1"/>
    <x v="0"/>
    <x v="46"/>
    <x v="3"/>
    <x v="3"/>
    <x v="3"/>
  </r>
  <r>
    <s v="TX500551"/>
    <x v="6"/>
    <x v="0"/>
    <n v="94"/>
    <n v="94"/>
    <x v="23"/>
    <d v="2025-01-25T00:00:00"/>
    <x v="1"/>
    <x v="3"/>
    <x v="1"/>
    <x v="0"/>
    <x v="1"/>
    <x v="3"/>
    <x v="3"/>
    <x v="1"/>
  </r>
  <r>
    <s v="TX500552"/>
    <x v="8"/>
    <x v="2"/>
    <n v="21.9"/>
    <n v="65.699999999999989"/>
    <x v="23"/>
    <d v="2025-01-25T00:00:00"/>
    <x v="2"/>
    <x v="0"/>
    <x v="0"/>
    <x v="0"/>
    <x v="44"/>
    <x v="3"/>
    <x v="3"/>
    <x v="2"/>
  </r>
  <r>
    <s v="TX500553"/>
    <x v="6"/>
    <x v="3"/>
    <n v="64.900000000000006"/>
    <n v="454.30000000000007"/>
    <x v="23"/>
    <d v="2025-01-25T00:00:00"/>
    <x v="2"/>
    <x v="0"/>
    <x v="0"/>
    <x v="0"/>
    <x v="3"/>
    <x v="3"/>
    <x v="3"/>
    <x v="2"/>
  </r>
  <r>
    <s v="TX500554"/>
    <x v="12"/>
    <x v="0"/>
    <n v="52.9"/>
    <n v="52.9"/>
    <x v="23"/>
    <d v="2025-01-24T00:00:00"/>
    <x v="2"/>
    <x v="1"/>
    <x v="1"/>
    <x v="0"/>
    <x v="3"/>
    <x v="7"/>
    <x v="3"/>
    <x v="2"/>
  </r>
  <r>
    <s v="TX500555"/>
    <x v="8"/>
    <x v="2"/>
    <n v="25.5"/>
    <n v="76.5"/>
    <x v="23"/>
    <d v="2025-01-25T00:00:00"/>
    <x v="2"/>
    <x v="1"/>
    <x v="2"/>
    <x v="0"/>
    <x v="3"/>
    <x v="3"/>
    <x v="3"/>
    <x v="2"/>
  </r>
  <r>
    <s v="TX500556"/>
    <x v="6"/>
    <x v="2"/>
    <n v="51.9"/>
    <n v="155.69999999999999"/>
    <x v="23"/>
    <d v="2025-01-25T00:00:00"/>
    <x v="2"/>
    <x v="3"/>
    <x v="0"/>
    <x v="0"/>
    <x v="3"/>
    <x v="3"/>
    <x v="3"/>
    <x v="2"/>
  </r>
  <r>
    <s v="TX500557"/>
    <x v="5"/>
    <x v="0"/>
    <n v="46.3"/>
    <n v="46.3"/>
    <x v="23"/>
    <d v="2025-01-27T00:00:00"/>
    <x v="2"/>
    <x v="4"/>
    <x v="0"/>
    <x v="0"/>
    <x v="3"/>
    <x v="2"/>
    <x v="3"/>
    <x v="2"/>
  </r>
  <r>
    <s v="TX500558"/>
    <x v="6"/>
    <x v="1"/>
    <n v="68.2"/>
    <n v="136.4"/>
    <x v="23"/>
    <d v="2025-01-26T00:00:00"/>
    <x v="2"/>
    <x v="3"/>
    <x v="0"/>
    <x v="0"/>
    <x v="3"/>
    <x v="1"/>
    <x v="3"/>
    <x v="2"/>
  </r>
  <r>
    <s v="TX500559"/>
    <x v="1"/>
    <x v="0"/>
    <n v="40.299999999999997"/>
    <n v="40.299999999999997"/>
    <x v="23"/>
    <d v="2025-01-25T00:00:00"/>
    <x v="1"/>
    <x v="0"/>
    <x v="1"/>
    <x v="0"/>
    <x v="3"/>
    <x v="3"/>
    <x v="3"/>
    <x v="1"/>
  </r>
  <r>
    <s v="TX500560"/>
    <x v="2"/>
    <x v="2"/>
    <n v="91.3"/>
    <n v="273.89999999999998"/>
    <x v="23"/>
    <d v="2025-01-29T00:00:00"/>
    <x v="1"/>
    <x v="0"/>
    <x v="2"/>
    <x v="0"/>
    <x v="6"/>
    <x v="0"/>
    <x v="3"/>
    <x v="1"/>
  </r>
  <r>
    <s v="TX500561"/>
    <x v="0"/>
    <x v="2"/>
    <n v="11.9"/>
    <n v="35.700000000000003"/>
    <x v="23"/>
    <d v="2025-01-25T00:00:00"/>
    <x v="2"/>
    <x v="0"/>
    <x v="1"/>
    <x v="0"/>
    <x v="6"/>
    <x v="3"/>
    <x v="3"/>
    <x v="2"/>
  </r>
  <r>
    <s v="TX500562"/>
    <x v="2"/>
    <x v="1"/>
    <n v="63.5"/>
    <n v="127"/>
    <x v="23"/>
    <d v="2025-01-26T00:00:00"/>
    <x v="1"/>
    <x v="1"/>
    <x v="0"/>
    <x v="0"/>
    <x v="6"/>
    <x v="1"/>
    <x v="3"/>
    <x v="1"/>
  </r>
  <r>
    <s v="TX500563"/>
    <x v="4"/>
    <x v="1"/>
    <n v="27.1"/>
    <n v="54.2"/>
    <x v="23"/>
    <d v="2025-01-27T00:00:00"/>
    <x v="1"/>
    <x v="2"/>
    <x v="2"/>
    <x v="0"/>
    <x v="6"/>
    <x v="2"/>
    <x v="3"/>
    <x v="1"/>
  </r>
  <r>
    <s v="TX500564"/>
    <x v="1"/>
    <x v="1"/>
    <n v="82.1"/>
    <n v="164.2"/>
    <x v="24"/>
    <d v="2025-01-28T00:00:00"/>
    <x v="1"/>
    <x v="1"/>
    <x v="1"/>
    <x v="0"/>
    <x v="7"/>
    <x v="2"/>
    <x v="3"/>
    <x v="1"/>
  </r>
  <r>
    <s v="TX500565"/>
    <x v="3"/>
    <x v="9"/>
    <n v="42.9"/>
    <n v="214.5"/>
    <x v="24"/>
    <d v="2025-01-27T00:00:00"/>
    <x v="2"/>
    <x v="1"/>
    <x v="0"/>
    <x v="0"/>
    <x v="8"/>
    <x v="1"/>
    <x v="3"/>
    <x v="2"/>
  </r>
  <r>
    <s v="TX500566"/>
    <x v="8"/>
    <x v="5"/>
    <n v="37.9"/>
    <n v="416.9"/>
    <x v="24"/>
    <d v="2025-02-01T00:00:00"/>
    <x v="1"/>
    <x v="0"/>
    <x v="0"/>
    <x v="0"/>
    <x v="8"/>
    <x v="6"/>
    <x v="3"/>
    <x v="1"/>
  </r>
  <r>
    <s v="TX500567"/>
    <x v="0"/>
    <x v="0"/>
    <n v="22.4"/>
    <n v="22.4"/>
    <x v="24"/>
    <d v="2025-01-26T00:00:00"/>
    <x v="2"/>
    <x v="0"/>
    <x v="1"/>
    <x v="0"/>
    <x v="17"/>
    <x v="3"/>
    <x v="3"/>
    <x v="2"/>
  </r>
  <r>
    <s v="TX500568"/>
    <x v="2"/>
    <x v="15"/>
    <n v="79.900000000000006"/>
    <n v="1038.7"/>
    <x v="24"/>
    <d v="2025-02-07T00:00:00"/>
    <x v="2"/>
    <x v="3"/>
    <x v="1"/>
    <x v="0"/>
    <x v="11"/>
    <x v="10"/>
    <x v="3"/>
    <x v="2"/>
  </r>
  <r>
    <s v="TX500569"/>
    <x v="1"/>
    <x v="0"/>
    <n v="70.599999999999994"/>
    <n v="70.599999999999994"/>
    <x v="24"/>
    <d v="2025-01-28T00:00:00"/>
    <x v="2"/>
    <x v="0"/>
    <x v="1"/>
    <x v="0"/>
    <x v="11"/>
    <x v="2"/>
    <x v="3"/>
    <x v="2"/>
  </r>
  <r>
    <s v="TX500570"/>
    <x v="6"/>
    <x v="0"/>
    <n v="49.5"/>
    <n v="49.5"/>
    <x v="24"/>
    <d v="2025-01-27T00:00:00"/>
    <x v="1"/>
    <x v="0"/>
    <x v="0"/>
    <x v="0"/>
    <x v="13"/>
    <x v="1"/>
    <x v="3"/>
    <x v="1"/>
  </r>
  <r>
    <s v="TX500571"/>
    <x v="2"/>
    <x v="1"/>
    <n v="96.6"/>
    <n v="193.2"/>
    <x v="24"/>
    <d v="2025-01-27T00:00:00"/>
    <x v="1"/>
    <x v="0"/>
    <x v="0"/>
    <x v="0"/>
    <x v="21"/>
    <x v="1"/>
    <x v="3"/>
    <x v="1"/>
  </r>
  <r>
    <s v="TX500572"/>
    <x v="6"/>
    <x v="1"/>
    <n v="52.8"/>
    <n v="105.6"/>
    <x v="24"/>
    <d v="2025-01-26T00:00:00"/>
    <x v="2"/>
    <x v="1"/>
    <x v="1"/>
    <x v="0"/>
    <x v="21"/>
    <x v="3"/>
    <x v="3"/>
    <x v="2"/>
  </r>
  <r>
    <s v="TX500573"/>
    <x v="2"/>
    <x v="0"/>
    <n v="101.7"/>
    <n v="101.7"/>
    <x v="24"/>
    <d v="2025-01-26T00:00:00"/>
    <x v="1"/>
    <x v="0"/>
    <x v="0"/>
    <x v="0"/>
    <x v="1"/>
    <x v="3"/>
    <x v="3"/>
    <x v="1"/>
  </r>
  <r>
    <s v="TX500574"/>
    <x v="4"/>
    <x v="9"/>
    <n v="26.9"/>
    <n v="134.5"/>
    <x v="24"/>
    <d v="2025-01-30T00:00:00"/>
    <x v="2"/>
    <x v="1"/>
    <x v="1"/>
    <x v="0"/>
    <x v="22"/>
    <x v="0"/>
    <x v="3"/>
    <x v="2"/>
  </r>
  <r>
    <s v="TX500575"/>
    <x v="2"/>
    <x v="12"/>
    <n v="211"/>
    <n v="844"/>
    <x v="24"/>
    <d v="2025-01-25T00:00:00"/>
    <x v="2"/>
    <x v="1"/>
    <x v="1"/>
    <x v="0"/>
    <x v="3"/>
    <x v="7"/>
    <x v="3"/>
    <x v="2"/>
  </r>
  <r>
    <s v="TX500576"/>
    <x v="0"/>
    <x v="12"/>
    <n v="21.1"/>
    <n v="84.4"/>
    <x v="24"/>
    <d v="2025-01-28T00:00:00"/>
    <x v="1"/>
    <x v="4"/>
    <x v="0"/>
    <x v="0"/>
    <x v="3"/>
    <x v="2"/>
    <x v="3"/>
    <x v="1"/>
  </r>
  <r>
    <s v="TX500577"/>
    <x v="10"/>
    <x v="0"/>
    <n v="26.6"/>
    <n v="26.6"/>
    <x v="24"/>
    <d v="2025-01-27T00:00:00"/>
    <x v="1"/>
    <x v="0"/>
    <x v="4"/>
    <x v="0"/>
    <x v="3"/>
    <x v="1"/>
    <x v="3"/>
    <x v="1"/>
  </r>
  <r>
    <s v="TX500578"/>
    <x v="12"/>
    <x v="12"/>
    <n v="51.2"/>
    <n v="204.8"/>
    <x v="24"/>
    <d v="2025-01-26T00:00:00"/>
    <x v="2"/>
    <x v="3"/>
    <x v="0"/>
    <x v="0"/>
    <x v="47"/>
    <x v="3"/>
    <x v="3"/>
    <x v="2"/>
  </r>
  <r>
    <s v="TX500579"/>
    <x v="0"/>
    <x v="9"/>
    <n v="10.6"/>
    <n v="53"/>
    <x v="24"/>
    <d v="2025-01-29T00:00:00"/>
    <x v="2"/>
    <x v="0"/>
    <x v="0"/>
    <x v="0"/>
    <x v="8"/>
    <x v="5"/>
    <x v="3"/>
    <x v="2"/>
  </r>
  <r>
    <s v="TX500580"/>
    <x v="6"/>
    <x v="2"/>
    <n v="43.4"/>
    <n v="130.19999999999999"/>
    <x v="24"/>
    <d v="2025-01-28T00:00:00"/>
    <x v="2"/>
    <x v="4"/>
    <x v="0"/>
    <x v="0"/>
    <x v="8"/>
    <x v="2"/>
    <x v="3"/>
    <x v="2"/>
  </r>
  <r>
    <s v="TX500581"/>
    <x v="12"/>
    <x v="0"/>
    <n v="80"/>
    <n v="80"/>
    <x v="24"/>
    <d v="2025-01-25T00:00:00"/>
    <x v="2"/>
    <x v="0"/>
    <x v="2"/>
    <x v="0"/>
    <x v="8"/>
    <x v="7"/>
    <x v="3"/>
    <x v="2"/>
  </r>
  <r>
    <s v="TX500582"/>
    <x v="10"/>
    <x v="12"/>
    <n v="64.7"/>
    <n v="258.8"/>
    <x v="24"/>
    <d v="2025-01-27T00:00:00"/>
    <x v="2"/>
    <x v="1"/>
    <x v="4"/>
    <x v="0"/>
    <x v="8"/>
    <x v="1"/>
    <x v="3"/>
    <x v="2"/>
  </r>
  <r>
    <s v="TX500583"/>
    <x v="8"/>
    <x v="5"/>
    <n v="26.3"/>
    <n v="289.3"/>
    <x v="25"/>
    <d v="2025-01-26T00:00:00"/>
    <x v="2"/>
    <x v="4"/>
    <x v="1"/>
    <x v="0"/>
    <x v="26"/>
    <x v="7"/>
    <x v="4"/>
    <x v="2"/>
  </r>
  <r>
    <s v="TX500584"/>
    <x v="10"/>
    <x v="0"/>
    <n v="28.5"/>
    <n v="28.5"/>
    <x v="25"/>
    <d v="2025-01-26T00:00:00"/>
    <x v="1"/>
    <x v="0"/>
    <x v="1"/>
    <x v="0"/>
    <x v="9"/>
    <x v="7"/>
    <x v="4"/>
    <x v="1"/>
  </r>
  <r>
    <s v="TX500585"/>
    <x v="17"/>
    <x v="0"/>
    <n v="47.8"/>
    <n v="47.8"/>
    <x v="25"/>
    <d v="2025-01-28T00:00:00"/>
    <x v="2"/>
    <x v="0"/>
    <x v="1"/>
    <x v="0"/>
    <x v="9"/>
    <x v="1"/>
    <x v="4"/>
    <x v="2"/>
  </r>
  <r>
    <s v="TX500586"/>
    <x v="10"/>
    <x v="2"/>
    <n v="42.8"/>
    <n v="128.39999999999998"/>
    <x v="25"/>
    <d v="2025-01-29T00:00:00"/>
    <x v="2"/>
    <x v="4"/>
    <x v="1"/>
    <x v="0"/>
    <x v="11"/>
    <x v="2"/>
    <x v="4"/>
    <x v="2"/>
  </r>
  <r>
    <s v="TX500587"/>
    <x v="6"/>
    <x v="9"/>
    <n v="46.8"/>
    <n v="234"/>
    <x v="25"/>
    <d v="2025-01-31T00:00:00"/>
    <x v="2"/>
    <x v="1"/>
    <x v="2"/>
    <x v="0"/>
    <x v="11"/>
    <x v="0"/>
    <x v="4"/>
    <x v="2"/>
  </r>
  <r>
    <s v="TX500588"/>
    <x v="1"/>
    <x v="7"/>
    <n v="64.099999999999994"/>
    <n v="641"/>
    <x v="25"/>
    <d v="2025-01-27T00:00:00"/>
    <x v="1"/>
    <x v="1"/>
    <x v="0"/>
    <x v="0"/>
    <x v="11"/>
    <x v="3"/>
    <x v="4"/>
    <x v="1"/>
  </r>
  <r>
    <s v="TX500589"/>
    <x v="2"/>
    <x v="0"/>
    <n v="89.1"/>
    <n v="89.1"/>
    <x v="25"/>
    <d v="2025-01-27T00:00:00"/>
    <x v="2"/>
    <x v="0"/>
    <x v="1"/>
    <x v="0"/>
    <x v="20"/>
    <x v="3"/>
    <x v="4"/>
    <x v="2"/>
  </r>
  <r>
    <s v="TX500590"/>
    <x v="2"/>
    <x v="2"/>
    <n v="83.1"/>
    <n v="249.29999999999998"/>
    <x v="25"/>
    <d v="2025-01-27T00:00:00"/>
    <x v="2"/>
    <x v="2"/>
    <x v="1"/>
    <x v="0"/>
    <x v="13"/>
    <x v="3"/>
    <x v="4"/>
    <x v="2"/>
  </r>
  <r>
    <s v="TX500591"/>
    <x v="8"/>
    <x v="2"/>
    <n v="40.9"/>
    <n v="122.69999999999999"/>
    <x v="25"/>
    <d v="2025-01-27T00:00:00"/>
    <x v="1"/>
    <x v="0"/>
    <x v="0"/>
    <x v="0"/>
    <x v="1"/>
    <x v="3"/>
    <x v="4"/>
    <x v="1"/>
  </r>
  <r>
    <s v="TX500592"/>
    <x v="2"/>
    <x v="1"/>
    <n v="125.7"/>
    <n v="251.4"/>
    <x v="25"/>
    <d v="2025-01-27T00:00:00"/>
    <x v="2"/>
    <x v="3"/>
    <x v="0"/>
    <x v="0"/>
    <x v="2"/>
    <x v="3"/>
    <x v="4"/>
    <x v="2"/>
  </r>
  <r>
    <s v="TX500593"/>
    <x v="3"/>
    <x v="1"/>
    <n v="30.9"/>
    <n v="61.8"/>
    <x v="25"/>
    <d v="2025-01-26T00:00:00"/>
    <x v="2"/>
    <x v="2"/>
    <x v="2"/>
    <x v="0"/>
    <x v="22"/>
    <x v="7"/>
    <x v="4"/>
    <x v="2"/>
  </r>
  <r>
    <s v="TX500594"/>
    <x v="8"/>
    <x v="1"/>
    <n v="18.3"/>
    <n v="36.6"/>
    <x v="25"/>
    <d v="2025-01-27T00:00:00"/>
    <x v="2"/>
    <x v="1"/>
    <x v="0"/>
    <x v="0"/>
    <x v="3"/>
    <x v="3"/>
    <x v="4"/>
    <x v="2"/>
  </r>
  <r>
    <s v="TX500595"/>
    <x v="4"/>
    <x v="1"/>
    <n v="56.5"/>
    <n v="113"/>
    <x v="25"/>
    <d v="2025-01-30T00:00:00"/>
    <x v="1"/>
    <x v="2"/>
    <x v="2"/>
    <x v="0"/>
    <x v="3"/>
    <x v="5"/>
    <x v="4"/>
    <x v="1"/>
  </r>
  <r>
    <s v="TX500596"/>
    <x v="10"/>
    <x v="3"/>
    <n v="29.9"/>
    <n v="209.29999999999998"/>
    <x v="25"/>
    <d v="2025-01-28T00:00:00"/>
    <x v="1"/>
    <x v="4"/>
    <x v="2"/>
    <x v="0"/>
    <x v="3"/>
    <x v="1"/>
    <x v="4"/>
    <x v="1"/>
  </r>
  <r>
    <s v="TX500597"/>
    <x v="5"/>
    <x v="1"/>
    <n v="50.4"/>
    <n v="100.8"/>
    <x v="25"/>
    <d v="2025-01-27T00:00:00"/>
    <x v="2"/>
    <x v="2"/>
    <x v="0"/>
    <x v="0"/>
    <x v="3"/>
    <x v="3"/>
    <x v="4"/>
    <x v="2"/>
  </r>
  <r>
    <s v="TX500598"/>
    <x v="2"/>
    <x v="0"/>
    <n v="85.8"/>
    <n v="85.8"/>
    <x v="25"/>
    <d v="2025-01-26T00:00:00"/>
    <x v="2"/>
    <x v="2"/>
    <x v="2"/>
    <x v="0"/>
    <x v="3"/>
    <x v="7"/>
    <x v="4"/>
    <x v="2"/>
  </r>
  <r>
    <s v="TX500599"/>
    <x v="4"/>
    <x v="27"/>
    <n v="66.599999999999994"/>
    <n v="1065.5999999999999"/>
    <x v="25"/>
    <d v="2025-01-28T00:00:00"/>
    <x v="1"/>
    <x v="1"/>
    <x v="0"/>
    <x v="0"/>
    <x v="3"/>
    <x v="1"/>
    <x v="4"/>
    <x v="1"/>
  </r>
  <r>
    <s v="TX500600"/>
    <x v="6"/>
    <x v="12"/>
    <n v="70.3"/>
    <n v="281.2"/>
    <x v="25"/>
    <d v="2025-01-27T00:00:00"/>
    <x v="2"/>
    <x v="0"/>
    <x v="1"/>
    <x v="0"/>
    <x v="3"/>
    <x v="3"/>
    <x v="4"/>
    <x v="2"/>
  </r>
  <r>
    <s v="TX500601"/>
    <x v="8"/>
    <x v="12"/>
    <n v="31"/>
    <n v="124"/>
    <x v="25"/>
    <d v="2025-01-29T00:00:00"/>
    <x v="1"/>
    <x v="0"/>
    <x v="2"/>
    <x v="0"/>
    <x v="3"/>
    <x v="2"/>
    <x v="4"/>
    <x v="1"/>
  </r>
  <r>
    <s v="TX500602"/>
    <x v="7"/>
    <x v="13"/>
    <n v="81.599999999999994"/>
    <n v="489.59999999999997"/>
    <x v="25"/>
    <d v="2025-01-27T00:00:00"/>
    <x v="2"/>
    <x v="1"/>
    <x v="1"/>
    <x v="0"/>
    <x v="37"/>
    <x v="3"/>
    <x v="4"/>
    <x v="2"/>
  </r>
  <r>
    <s v="TX500603"/>
    <x v="1"/>
    <x v="30"/>
    <n v="58.3"/>
    <n v="1457.5"/>
    <x v="25"/>
    <d v="2025-01-27T00:00:00"/>
    <x v="2"/>
    <x v="0"/>
    <x v="0"/>
    <x v="0"/>
    <x v="16"/>
    <x v="3"/>
    <x v="4"/>
    <x v="2"/>
  </r>
  <r>
    <s v="TX500604"/>
    <x v="1"/>
    <x v="12"/>
    <n v="35.1"/>
    <n v="140.4"/>
    <x v="25"/>
    <d v="2025-01-28T00:00:00"/>
    <x v="1"/>
    <x v="0"/>
    <x v="2"/>
    <x v="0"/>
    <x v="8"/>
    <x v="1"/>
    <x v="4"/>
    <x v="1"/>
  </r>
  <r>
    <s v="TX500605"/>
    <x v="2"/>
    <x v="0"/>
    <n v="80.2"/>
    <n v="80.2"/>
    <x v="25"/>
    <d v="2025-01-27T00:00:00"/>
    <x v="1"/>
    <x v="3"/>
    <x v="2"/>
    <x v="0"/>
    <x v="8"/>
    <x v="3"/>
    <x v="4"/>
    <x v="1"/>
  </r>
  <r>
    <s v="TX500606"/>
    <x v="14"/>
    <x v="2"/>
    <n v="39.200000000000003"/>
    <n v="117.60000000000001"/>
    <x v="25"/>
    <d v="2025-01-28T00:00:00"/>
    <x v="2"/>
    <x v="1"/>
    <x v="0"/>
    <x v="0"/>
    <x v="9"/>
    <x v="1"/>
    <x v="4"/>
    <x v="2"/>
  </r>
  <r>
    <s v="TX500607"/>
    <x v="0"/>
    <x v="1"/>
    <n v="15.4"/>
    <n v="30.8"/>
    <x v="25"/>
    <d v="2025-01-26T00:00:00"/>
    <x v="2"/>
    <x v="3"/>
    <x v="0"/>
    <x v="0"/>
    <x v="48"/>
    <x v="7"/>
    <x v="4"/>
    <x v="2"/>
  </r>
  <r>
    <s v="TX500608"/>
    <x v="3"/>
    <x v="2"/>
    <n v="65.400000000000006"/>
    <n v="196.20000000000002"/>
    <x v="25"/>
    <d v="2025-01-29T00:00:00"/>
    <x v="1"/>
    <x v="3"/>
    <x v="0"/>
    <x v="0"/>
    <x v="18"/>
    <x v="2"/>
    <x v="4"/>
    <x v="1"/>
  </r>
  <r>
    <s v="TX500609"/>
    <x v="1"/>
    <x v="8"/>
    <n v="63.2"/>
    <n v="505.6"/>
    <x v="25"/>
    <d v="2025-01-28T00:00:00"/>
    <x v="2"/>
    <x v="1"/>
    <x v="0"/>
    <x v="0"/>
    <x v="19"/>
    <x v="1"/>
    <x v="4"/>
    <x v="2"/>
  </r>
  <r>
    <s v="TX500610"/>
    <x v="1"/>
    <x v="13"/>
    <n v="35.700000000000003"/>
    <n v="214.20000000000002"/>
    <x v="25"/>
    <d v="2025-01-30T00:00:00"/>
    <x v="2"/>
    <x v="4"/>
    <x v="1"/>
    <x v="0"/>
    <x v="19"/>
    <x v="5"/>
    <x v="4"/>
    <x v="2"/>
  </r>
  <r>
    <s v="TX500611"/>
    <x v="0"/>
    <x v="28"/>
    <n v="26.2"/>
    <n v="524"/>
    <x v="25"/>
    <d v="2025-01-27T00:00:00"/>
    <x v="2"/>
    <x v="3"/>
    <x v="0"/>
    <x v="0"/>
    <x v="21"/>
    <x v="3"/>
    <x v="4"/>
    <x v="2"/>
  </r>
  <r>
    <s v="TX500612"/>
    <x v="7"/>
    <x v="1"/>
    <n v="31"/>
    <n v="62"/>
    <x v="25"/>
    <d v="2025-01-27T00:00:00"/>
    <x v="2"/>
    <x v="0"/>
    <x v="2"/>
    <x v="0"/>
    <x v="1"/>
    <x v="3"/>
    <x v="4"/>
    <x v="2"/>
  </r>
  <r>
    <s v="TX500613"/>
    <x v="8"/>
    <x v="12"/>
    <n v="37.700000000000003"/>
    <n v="150.80000000000001"/>
    <x v="25"/>
    <d v="2025-01-27T00:00:00"/>
    <x v="2"/>
    <x v="1"/>
    <x v="0"/>
    <x v="0"/>
    <x v="22"/>
    <x v="3"/>
    <x v="4"/>
    <x v="2"/>
  </r>
  <r>
    <s v="TX500614"/>
    <x v="10"/>
    <x v="33"/>
    <n v="43.6"/>
    <n v="1482.4"/>
    <x v="25"/>
    <d v="2025-01-28T00:00:00"/>
    <x v="2"/>
    <x v="4"/>
    <x v="1"/>
    <x v="0"/>
    <x v="3"/>
    <x v="1"/>
    <x v="4"/>
    <x v="2"/>
  </r>
  <r>
    <s v="TX500615"/>
    <x v="9"/>
    <x v="12"/>
    <n v="26.5"/>
    <n v="106"/>
    <x v="25"/>
    <d v="2025-01-28T00:00:00"/>
    <x v="1"/>
    <x v="0"/>
    <x v="4"/>
    <x v="0"/>
    <x v="3"/>
    <x v="1"/>
    <x v="4"/>
    <x v="1"/>
  </r>
  <r>
    <s v="TX500616"/>
    <x v="0"/>
    <x v="1"/>
    <n v="34.6"/>
    <n v="69.2"/>
    <x v="25"/>
    <d v="2025-01-27T00:00:00"/>
    <x v="1"/>
    <x v="4"/>
    <x v="1"/>
    <x v="0"/>
    <x v="3"/>
    <x v="3"/>
    <x v="4"/>
    <x v="1"/>
  </r>
  <r>
    <s v="TX500617"/>
    <x v="8"/>
    <x v="1"/>
    <n v="58.2"/>
    <n v="116.4"/>
    <x v="25"/>
    <d v="2025-01-27T00:00:00"/>
    <x v="1"/>
    <x v="2"/>
    <x v="2"/>
    <x v="0"/>
    <x v="3"/>
    <x v="3"/>
    <x v="4"/>
    <x v="1"/>
  </r>
  <r>
    <s v="TX500618"/>
    <x v="7"/>
    <x v="0"/>
    <n v="30.2"/>
    <n v="30.2"/>
    <x v="26"/>
    <d v="2025-01-28T00:00:00"/>
    <x v="2"/>
    <x v="2"/>
    <x v="1"/>
    <x v="0"/>
    <x v="3"/>
    <x v="3"/>
    <x v="4"/>
    <x v="2"/>
  </r>
  <r>
    <s v="TX500619"/>
    <x v="1"/>
    <x v="7"/>
    <n v="53.2"/>
    <n v="532"/>
    <x v="26"/>
    <d v="2025-01-28T00:00:00"/>
    <x v="1"/>
    <x v="0"/>
    <x v="2"/>
    <x v="0"/>
    <x v="5"/>
    <x v="3"/>
    <x v="4"/>
    <x v="1"/>
  </r>
  <r>
    <s v="TX500620"/>
    <x v="12"/>
    <x v="13"/>
    <n v="51.1"/>
    <n v="306.60000000000002"/>
    <x v="26"/>
    <d v="2025-01-27T00:00:00"/>
    <x v="1"/>
    <x v="1"/>
    <x v="2"/>
    <x v="0"/>
    <x v="5"/>
    <x v="7"/>
    <x v="4"/>
    <x v="1"/>
  </r>
  <r>
    <s v="TX500621"/>
    <x v="1"/>
    <x v="0"/>
    <n v="105.4"/>
    <n v="105.4"/>
    <x v="26"/>
    <d v="2025-01-31T00:00:00"/>
    <x v="2"/>
    <x v="1"/>
    <x v="2"/>
    <x v="0"/>
    <x v="23"/>
    <x v="5"/>
    <x v="4"/>
    <x v="2"/>
  </r>
  <r>
    <s v="TX500622"/>
    <x v="7"/>
    <x v="0"/>
    <n v="57.7"/>
    <n v="57.7"/>
    <x v="26"/>
    <d v="2025-01-27T00:00:00"/>
    <x v="1"/>
    <x v="0"/>
    <x v="4"/>
    <x v="0"/>
    <x v="8"/>
    <x v="7"/>
    <x v="4"/>
    <x v="1"/>
  </r>
  <r>
    <s v="TX500623"/>
    <x v="15"/>
    <x v="1"/>
    <n v="72.400000000000006"/>
    <n v="144.80000000000001"/>
    <x v="26"/>
    <d v="2025-02-01T00:00:00"/>
    <x v="2"/>
    <x v="0"/>
    <x v="0"/>
    <x v="0"/>
    <x v="17"/>
    <x v="0"/>
    <x v="4"/>
    <x v="2"/>
  </r>
  <r>
    <s v="TX500624"/>
    <x v="6"/>
    <x v="1"/>
    <n v="62.5"/>
    <n v="125"/>
    <x v="26"/>
    <d v="2025-01-28T00:00:00"/>
    <x v="0"/>
    <x v="0"/>
    <x v="2"/>
    <x v="0"/>
    <x v="11"/>
    <x v="3"/>
    <x v="4"/>
    <x v="0"/>
  </r>
  <r>
    <s v="TX500625"/>
    <x v="0"/>
    <x v="32"/>
    <n v="11.6"/>
    <n v="255.2"/>
    <x v="26"/>
    <d v="2025-01-29T00:00:00"/>
    <x v="2"/>
    <x v="3"/>
    <x v="2"/>
    <x v="0"/>
    <x v="18"/>
    <x v="1"/>
    <x v="4"/>
    <x v="2"/>
  </r>
  <r>
    <s v="TX500626"/>
    <x v="10"/>
    <x v="7"/>
    <n v="39.6"/>
    <n v="396"/>
    <x v="26"/>
    <d v="2025-01-29T00:00:00"/>
    <x v="2"/>
    <x v="2"/>
    <x v="2"/>
    <x v="0"/>
    <x v="18"/>
    <x v="1"/>
    <x v="4"/>
    <x v="2"/>
  </r>
  <r>
    <s v="TX500627"/>
    <x v="8"/>
    <x v="1"/>
    <n v="40.1"/>
    <n v="80.2"/>
    <x v="26"/>
    <d v="2025-01-28T00:00:00"/>
    <x v="2"/>
    <x v="2"/>
    <x v="0"/>
    <x v="0"/>
    <x v="18"/>
    <x v="3"/>
    <x v="4"/>
    <x v="2"/>
  </r>
  <r>
    <s v="TX500628"/>
    <x v="8"/>
    <x v="2"/>
    <n v="18.600000000000001"/>
    <n v="55.800000000000004"/>
    <x v="26"/>
    <d v="2025-01-28T00:00:00"/>
    <x v="2"/>
    <x v="2"/>
    <x v="0"/>
    <x v="0"/>
    <x v="21"/>
    <x v="3"/>
    <x v="4"/>
    <x v="2"/>
  </r>
  <r>
    <s v="TX500629"/>
    <x v="4"/>
    <x v="0"/>
    <n v="58.8"/>
    <n v="58.8"/>
    <x v="26"/>
    <d v="2025-01-29T00:00:00"/>
    <x v="2"/>
    <x v="0"/>
    <x v="1"/>
    <x v="0"/>
    <x v="21"/>
    <x v="1"/>
    <x v="4"/>
    <x v="2"/>
  </r>
  <r>
    <s v="TX500630"/>
    <x v="8"/>
    <x v="1"/>
    <n v="22.1"/>
    <n v="44.2"/>
    <x v="26"/>
    <d v="2025-01-30T00:00:00"/>
    <x v="1"/>
    <x v="1"/>
    <x v="2"/>
    <x v="0"/>
    <x v="21"/>
    <x v="2"/>
    <x v="4"/>
    <x v="1"/>
  </r>
  <r>
    <s v="TX500631"/>
    <x v="2"/>
    <x v="0"/>
    <n v="114.9"/>
    <n v="114.9"/>
    <x v="27"/>
    <d v="2025-01-29T00:00:00"/>
    <x v="2"/>
    <x v="1"/>
    <x v="1"/>
    <x v="0"/>
    <x v="22"/>
    <x v="3"/>
    <x v="4"/>
    <x v="2"/>
  </r>
  <r>
    <s v="TX500632"/>
    <x v="9"/>
    <x v="9"/>
    <n v="75.8"/>
    <n v="379"/>
    <x v="27"/>
    <d v="2025-01-29T00:00:00"/>
    <x v="1"/>
    <x v="0"/>
    <x v="2"/>
    <x v="0"/>
    <x v="3"/>
    <x v="3"/>
    <x v="4"/>
    <x v="1"/>
  </r>
  <r>
    <s v="TX500633"/>
    <x v="14"/>
    <x v="9"/>
    <n v="20.6"/>
    <n v="103"/>
    <x v="27"/>
    <d v="2025-01-29T00:00:00"/>
    <x v="1"/>
    <x v="2"/>
    <x v="2"/>
    <x v="0"/>
    <x v="3"/>
    <x v="3"/>
    <x v="4"/>
    <x v="1"/>
  </r>
  <r>
    <s v="TX500634"/>
    <x v="17"/>
    <x v="2"/>
    <n v="67.900000000000006"/>
    <n v="203.70000000000002"/>
    <x v="27"/>
    <d v="2025-01-29T00:00:00"/>
    <x v="2"/>
    <x v="1"/>
    <x v="1"/>
    <x v="0"/>
    <x v="3"/>
    <x v="3"/>
    <x v="4"/>
    <x v="2"/>
  </r>
  <r>
    <s v="TX500635"/>
    <x v="0"/>
    <x v="9"/>
    <n v="27"/>
    <n v="135"/>
    <x v="27"/>
    <d v="2025-02-04T00:00:00"/>
    <x v="2"/>
    <x v="0"/>
    <x v="2"/>
    <x v="0"/>
    <x v="3"/>
    <x v="6"/>
    <x v="4"/>
    <x v="2"/>
  </r>
  <r>
    <s v="TX500636"/>
    <x v="13"/>
    <x v="0"/>
    <n v="50.6"/>
    <n v="50.6"/>
    <x v="27"/>
    <d v="2025-01-28T00:00:00"/>
    <x v="1"/>
    <x v="0"/>
    <x v="1"/>
    <x v="0"/>
    <x v="3"/>
    <x v="7"/>
    <x v="4"/>
    <x v="1"/>
  </r>
  <r>
    <s v="TX500637"/>
    <x v="4"/>
    <x v="9"/>
    <n v="22.1"/>
    <n v="110.5"/>
    <x v="27"/>
    <d v="2025-02-02T00:00:00"/>
    <x v="1"/>
    <x v="0"/>
    <x v="0"/>
    <x v="0"/>
    <x v="3"/>
    <x v="0"/>
    <x v="4"/>
    <x v="1"/>
  </r>
  <r>
    <s v="TX500638"/>
    <x v="8"/>
    <x v="2"/>
    <n v="42.9"/>
    <n v="128.69999999999999"/>
    <x v="27"/>
    <d v="2025-01-30T00:00:00"/>
    <x v="2"/>
    <x v="0"/>
    <x v="0"/>
    <x v="0"/>
    <x v="3"/>
    <x v="1"/>
    <x v="4"/>
    <x v="2"/>
  </r>
  <r>
    <s v="TX500639"/>
    <x v="1"/>
    <x v="5"/>
    <n v="62.4"/>
    <n v="686.4"/>
    <x v="27"/>
    <d v="2025-01-30T00:00:00"/>
    <x v="2"/>
    <x v="2"/>
    <x v="0"/>
    <x v="0"/>
    <x v="3"/>
    <x v="1"/>
    <x v="4"/>
    <x v="2"/>
  </r>
  <r>
    <s v="TX500640"/>
    <x v="13"/>
    <x v="11"/>
    <n v="36.4"/>
    <n v="327.59999999999997"/>
    <x v="27"/>
    <d v="2025-01-30T00:00:00"/>
    <x v="2"/>
    <x v="0"/>
    <x v="2"/>
    <x v="0"/>
    <x v="3"/>
    <x v="1"/>
    <x v="4"/>
    <x v="2"/>
  </r>
  <r>
    <s v="TX500641"/>
    <x v="0"/>
    <x v="1"/>
    <n v="22.5"/>
    <n v="45"/>
    <x v="27"/>
    <d v="2025-01-31T00:00:00"/>
    <x v="1"/>
    <x v="0"/>
    <x v="0"/>
    <x v="0"/>
    <x v="3"/>
    <x v="2"/>
    <x v="4"/>
    <x v="1"/>
  </r>
  <r>
    <s v="TX500642"/>
    <x v="6"/>
    <x v="12"/>
    <n v="70.8"/>
    <n v="283.2"/>
    <x v="27"/>
    <d v="2025-01-30T00:00:00"/>
    <x v="2"/>
    <x v="4"/>
    <x v="0"/>
    <x v="0"/>
    <x v="3"/>
    <x v="1"/>
    <x v="4"/>
    <x v="2"/>
  </r>
  <r>
    <s v="TX500643"/>
    <x v="6"/>
    <x v="9"/>
    <n v="56.6"/>
    <n v="283"/>
    <x v="27"/>
    <d v="2025-01-30T00:00:00"/>
    <x v="1"/>
    <x v="0"/>
    <x v="1"/>
    <x v="0"/>
    <x v="4"/>
    <x v="1"/>
    <x v="4"/>
    <x v="1"/>
  </r>
  <r>
    <s v="TX500644"/>
    <x v="6"/>
    <x v="1"/>
    <n v="47.9"/>
    <n v="95.8"/>
    <x v="27"/>
    <d v="2025-01-29T00:00:00"/>
    <x v="2"/>
    <x v="0"/>
    <x v="0"/>
    <x v="0"/>
    <x v="6"/>
    <x v="3"/>
    <x v="4"/>
    <x v="2"/>
  </r>
  <r>
    <s v="TX500645"/>
    <x v="6"/>
    <x v="8"/>
    <n v="78.400000000000006"/>
    <n v="627.20000000000005"/>
    <x v="27"/>
    <d v="2025-01-30T00:00:00"/>
    <x v="2"/>
    <x v="1"/>
    <x v="0"/>
    <x v="0"/>
    <x v="6"/>
    <x v="1"/>
    <x v="4"/>
    <x v="2"/>
  </r>
  <r>
    <s v="TX500646"/>
    <x v="2"/>
    <x v="21"/>
    <n v="122.1"/>
    <n v="1709.3999999999999"/>
    <x v="27"/>
    <d v="2025-02-02T00:00:00"/>
    <x v="2"/>
    <x v="0"/>
    <x v="2"/>
    <x v="0"/>
    <x v="6"/>
    <x v="0"/>
    <x v="4"/>
    <x v="2"/>
  </r>
  <r>
    <s v="TX500647"/>
    <x v="2"/>
    <x v="1"/>
    <n v="83.7"/>
    <n v="167.4"/>
    <x v="28"/>
    <d v="2025-01-29T00:00:00"/>
    <x v="0"/>
    <x v="1"/>
    <x v="2"/>
    <x v="0"/>
    <x v="7"/>
    <x v="7"/>
    <x v="4"/>
    <x v="0"/>
  </r>
  <r>
    <s v="TX500648"/>
    <x v="3"/>
    <x v="12"/>
    <n v="97.9"/>
    <n v="391.6"/>
    <x v="28"/>
    <d v="2025-02-02T00:00:00"/>
    <x v="2"/>
    <x v="3"/>
    <x v="2"/>
    <x v="0"/>
    <x v="7"/>
    <x v="5"/>
    <x v="4"/>
    <x v="2"/>
  </r>
  <r>
    <s v="TX500649"/>
    <x v="14"/>
    <x v="0"/>
    <n v="15"/>
    <n v="15"/>
    <x v="28"/>
    <d v="2025-02-03T00:00:00"/>
    <x v="2"/>
    <x v="3"/>
    <x v="0"/>
    <x v="0"/>
    <x v="8"/>
    <x v="0"/>
    <x v="4"/>
    <x v="2"/>
  </r>
  <r>
    <s v="TX500650"/>
    <x v="12"/>
    <x v="2"/>
    <n v="94.6"/>
    <n v="283.79999999999995"/>
    <x v="28"/>
    <d v="2025-01-30T00:00:00"/>
    <x v="1"/>
    <x v="2"/>
    <x v="1"/>
    <x v="0"/>
    <x v="8"/>
    <x v="3"/>
    <x v="4"/>
    <x v="1"/>
  </r>
  <r>
    <s v="TX500651"/>
    <x v="0"/>
    <x v="13"/>
    <n v="19.7"/>
    <n v="118.19999999999999"/>
    <x v="28"/>
    <d v="2025-02-09T00:00:00"/>
    <x v="2"/>
    <x v="0"/>
    <x v="2"/>
    <x v="0"/>
    <x v="8"/>
    <x v="11"/>
    <x v="4"/>
    <x v="2"/>
  </r>
  <r>
    <s v="TX500652"/>
    <x v="7"/>
    <x v="0"/>
    <n v="46.7"/>
    <n v="46.7"/>
    <x v="28"/>
    <d v="2025-02-01T00:00:00"/>
    <x v="2"/>
    <x v="2"/>
    <x v="0"/>
    <x v="0"/>
    <x v="17"/>
    <x v="2"/>
    <x v="4"/>
    <x v="2"/>
  </r>
  <r>
    <s v="TX500653"/>
    <x v="1"/>
    <x v="12"/>
    <n v="43"/>
    <n v="172"/>
    <x v="28"/>
    <d v="2025-01-30T00:00:00"/>
    <x v="1"/>
    <x v="2"/>
    <x v="2"/>
    <x v="0"/>
    <x v="17"/>
    <x v="3"/>
    <x v="4"/>
    <x v="1"/>
  </r>
  <r>
    <s v="TX500654"/>
    <x v="6"/>
    <x v="2"/>
    <n v="68.2"/>
    <n v="204.60000000000002"/>
    <x v="28"/>
    <d v="2025-02-04T00:00:00"/>
    <x v="2"/>
    <x v="0"/>
    <x v="0"/>
    <x v="0"/>
    <x v="9"/>
    <x v="4"/>
    <x v="4"/>
    <x v="2"/>
  </r>
  <r>
    <s v="TX500655"/>
    <x v="10"/>
    <x v="7"/>
    <n v="24.3"/>
    <n v="243"/>
    <x v="28"/>
    <d v="2025-01-30T00:00:00"/>
    <x v="1"/>
    <x v="0"/>
    <x v="2"/>
    <x v="0"/>
    <x v="10"/>
    <x v="3"/>
    <x v="4"/>
    <x v="1"/>
  </r>
  <r>
    <s v="TX500656"/>
    <x v="7"/>
    <x v="1"/>
    <n v="86.8"/>
    <n v="173.6"/>
    <x v="28"/>
    <d v="2025-02-02T00:00:00"/>
    <x v="2"/>
    <x v="4"/>
    <x v="2"/>
    <x v="0"/>
    <x v="11"/>
    <x v="5"/>
    <x v="4"/>
    <x v="2"/>
  </r>
  <r>
    <s v="TX500657"/>
    <x v="0"/>
    <x v="1"/>
    <n v="15.8"/>
    <n v="31.6"/>
    <x v="28"/>
    <d v="2025-01-31T00:00:00"/>
    <x v="1"/>
    <x v="1"/>
    <x v="0"/>
    <x v="0"/>
    <x v="11"/>
    <x v="1"/>
    <x v="4"/>
    <x v="1"/>
  </r>
  <r>
    <s v="TX500658"/>
    <x v="2"/>
    <x v="12"/>
    <n v="61.6"/>
    <n v="246.4"/>
    <x v="28"/>
    <d v="2025-01-30T00:00:00"/>
    <x v="1"/>
    <x v="2"/>
    <x v="0"/>
    <x v="0"/>
    <x v="11"/>
    <x v="3"/>
    <x v="4"/>
    <x v="1"/>
  </r>
  <r>
    <s v="TX500659"/>
    <x v="6"/>
    <x v="2"/>
    <n v="48.7"/>
    <n v="146.10000000000002"/>
    <x v="28"/>
    <d v="2025-02-04T00:00:00"/>
    <x v="2"/>
    <x v="1"/>
    <x v="2"/>
    <x v="0"/>
    <x v="45"/>
    <x v="4"/>
    <x v="4"/>
    <x v="2"/>
  </r>
  <r>
    <s v="TX500660"/>
    <x v="8"/>
    <x v="12"/>
    <n v="24.3"/>
    <n v="97.2"/>
    <x v="28"/>
    <d v="2025-01-31T00:00:00"/>
    <x v="2"/>
    <x v="1"/>
    <x v="2"/>
    <x v="0"/>
    <x v="21"/>
    <x v="1"/>
    <x v="4"/>
    <x v="2"/>
  </r>
  <r>
    <s v="TX500661"/>
    <x v="2"/>
    <x v="1"/>
    <n v="130.69999999999999"/>
    <n v="261.39999999999998"/>
    <x v="28"/>
    <d v="2025-01-30T00:00:00"/>
    <x v="2"/>
    <x v="2"/>
    <x v="0"/>
    <x v="0"/>
    <x v="44"/>
    <x v="3"/>
    <x v="4"/>
    <x v="2"/>
  </r>
  <r>
    <s v="TX500662"/>
    <x v="10"/>
    <x v="0"/>
    <n v="26"/>
    <n v="26"/>
    <x v="28"/>
    <d v="2025-01-31T00:00:00"/>
    <x v="1"/>
    <x v="0"/>
    <x v="0"/>
    <x v="0"/>
    <x v="3"/>
    <x v="1"/>
    <x v="4"/>
    <x v="1"/>
  </r>
  <r>
    <s v="TX500663"/>
    <x v="2"/>
    <x v="9"/>
    <n v="94.4"/>
    <n v="472"/>
    <x v="28"/>
    <d v="2025-01-30T00:00:00"/>
    <x v="2"/>
    <x v="0"/>
    <x v="0"/>
    <x v="0"/>
    <x v="3"/>
    <x v="3"/>
    <x v="4"/>
    <x v="2"/>
  </r>
  <r>
    <s v="TX500664"/>
    <x v="0"/>
    <x v="13"/>
    <n v="23.7"/>
    <n v="142.19999999999999"/>
    <x v="28"/>
    <d v="2025-01-31T00:00:00"/>
    <x v="1"/>
    <x v="2"/>
    <x v="2"/>
    <x v="0"/>
    <x v="3"/>
    <x v="1"/>
    <x v="4"/>
    <x v="1"/>
  </r>
  <r>
    <s v="TX500665"/>
    <x v="9"/>
    <x v="4"/>
    <n v="37.4"/>
    <n v="448.79999999999995"/>
    <x v="28"/>
    <d v="2025-01-31T00:00:00"/>
    <x v="1"/>
    <x v="2"/>
    <x v="0"/>
    <x v="0"/>
    <x v="3"/>
    <x v="1"/>
    <x v="4"/>
    <x v="1"/>
  </r>
  <r>
    <s v="TX500666"/>
    <x v="1"/>
    <x v="34"/>
    <n v="55.2"/>
    <n v="1987.2"/>
    <x v="28"/>
    <d v="2025-01-29T00:00:00"/>
    <x v="2"/>
    <x v="3"/>
    <x v="1"/>
    <x v="0"/>
    <x v="3"/>
    <x v="7"/>
    <x v="4"/>
    <x v="2"/>
  </r>
  <r>
    <s v="TX500667"/>
    <x v="2"/>
    <x v="11"/>
    <n v="57.1"/>
    <n v="513.9"/>
    <x v="28"/>
    <d v="2025-01-31T00:00:00"/>
    <x v="1"/>
    <x v="0"/>
    <x v="2"/>
    <x v="0"/>
    <x v="3"/>
    <x v="1"/>
    <x v="4"/>
    <x v="1"/>
  </r>
  <r>
    <s v="TX500668"/>
    <x v="12"/>
    <x v="0"/>
    <n v="55.3"/>
    <n v="55.3"/>
    <x v="28"/>
    <d v="2025-01-30T00:00:00"/>
    <x v="2"/>
    <x v="2"/>
    <x v="2"/>
    <x v="0"/>
    <x v="3"/>
    <x v="3"/>
    <x v="4"/>
    <x v="2"/>
  </r>
  <r>
    <s v="TX500669"/>
    <x v="15"/>
    <x v="3"/>
    <n v="23.9"/>
    <n v="167.29999999999998"/>
    <x v="28"/>
    <d v="2025-01-30T00:00:00"/>
    <x v="2"/>
    <x v="4"/>
    <x v="1"/>
    <x v="0"/>
    <x v="3"/>
    <x v="3"/>
    <x v="4"/>
    <x v="2"/>
  </r>
  <r>
    <s v="TX500670"/>
    <x v="0"/>
    <x v="0"/>
    <n v="34.1"/>
    <n v="34.1"/>
    <x v="28"/>
    <d v="2025-02-05T00:00:00"/>
    <x v="2"/>
    <x v="2"/>
    <x v="0"/>
    <x v="0"/>
    <x v="3"/>
    <x v="6"/>
    <x v="4"/>
    <x v="2"/>
  </r>
  <r>
    <s v="TX500671"/>
    <x v="12"/>
    <x v="12"/>
    <n v="38.5"/>
    <n v="154"/>
    <x v="28"/>
    <d v="2025-02-09T00:00:00"/>
    <x v="2"/>
    <x v="0"/>
    <x v="0"/>
    <x v="0"/>
    <x v="3"/>
    <x v="11"/>
    <x v="4"/>
    <x v="2"/>
  </r>
  <r>
    <s v="TX500672"/>
    <x v="7"/>
    <x v="1"/>
    <n v="105"/>
    <n v="210"/>
    <x v="28"/>
    <d v="2025-02-04T00:00:00"/>
    <x v="2"/>
    <x v="0"/>
    <x v="2"/>
    <x v="0"/>
    <x v="3"/>
    <x v="4"/>
    <x v="4"/>
    <x v="2"/>
  </r>
  <r>
    <s v="TX500673"/>
    <x v="8"/>
    <x v="9"/>
    <n v="45.2"/>
    <n v="226"/>
    <x v="28"/>
    <d v="2025-01-31T00:00:00"/>
    <x v="2"/>
    <x v="0"/>
    <x v="2"/>
    <x v="0"/>
    <x v="3"/>
    <x v="1"/>
    <x v="4"/>
    <x v="2"/>
  </r>
  <r>
    <s v="TX500674"/>
    <x v="17"/>
    <x v="2"/>
    <n v="24.8"/>
    <n v="74.400000000000006"/>
    <x v="28"/>
    <d v="2025-01-29T00:00:00"/>
    <x v="0"/>
    <x v="0"/>
    <x v="1"/>
    <x v="0"/>
    <x v="3"/>
    <x v="7"/>
    <x v="4"/>
    <x v="0"/>
  </r>
  <r>
    <s v="TX500675"/>
    <x v="11"/>
    <x v="12"/>
    <n v="43.8"/>
    <n v="175.2"/>
    <x v="28"/>
    <d v="2025-02-05T00:00:00"/>
    <x v="2"/>
    <x v="1"/>
    <x v="2"/>
    <x v="0"/>
    <x v="6"/>
    <x v="6"/>
    <x v="4"/>
    <x v="2"/>
  </r>
  <r>
    <s v="TX500676"/>
    <x v="1"/>
    <x v="0"/>
    <n v="75"/>
    <n v="75"/>
    <x v="28"/>
    <d v="2025-01-31T00:00:00"/>
    <x v="2"/>
    <x v="4"/>
    <x v="1"/>
    <x v="0"/>
    <x v="6"/>
    <x v="1"/>
    <x v="4"/>
    <x v="2"/>
  </r>
  <r>
    <s v="TX500677"/>
    <x v="2"/>
    <x v="0"/>
    <n v="169.9"/>
    <n v="169.9"/>
    <x v="28"/>
    <d v="2025-01-30T00:00:00"/>
    <x v="1"/>
    <x v="2"/>
    <x v="0"/>
    <x v="0"/>
    <x v="6"/>
    <x v="3"/>
    <x v="4"/>
    <x v="1"/>
  </r>
  <r>
    <s v="TX500678"/>
    <x v="9"/>
    <x v="1"/>
    <n v="72.2"/>
    <n v="144.4"/>
    <x v="28"/>
    <d v="2025-01-31T00:00:00"/>
    <x v="2"/>
    <x v="4"/>
    <x v="1"/>
    <x v="0"/>
    <x v="6"/>
    <x v="1"/>
    <x v="4"/>
    <x v="2"/>
  </r>
  <r>
    <s v="TX500679"/>
    <x v="0"/>
    <x v="0"/>
    <n v="20"/>
    <n v="20"/>
    <x v="29"/>
    <d v="2025-02-02T00:00:00"/>
    <x v="2"/>
    <x v="2"/>
    <x v="1"/>
    <x v="0"/>
    <x v="7"/>
    <x v="2"/>
    <x v="4"/>
    <x v="2"/>
  </r>
  <r>
    <s v="TX500680"/>
    <x v="9"/>
    <x v="1"/>
    <n v="40.799999999999997"/>
    <n v="81.599999999999994"/>
    <x v="29"/>
    <d v="2025-02-01T00:00:00"/>
    <x v="2"/>
    <x v="3"/>
    <x v="2"/>
    <x v="0"/>
    <x v="8"/>
    <x v="1"/>
    <x v="4"/>
    <x v="2"/>
  </r>
  <r>
    <s v="TX500681"/>
    <x v="10"/>
    <x v="12"/>
    <n v="58"/>
    <n v="232"/>
    <x v="29"/>
    <d v="2025-02-03T00:00:00"/>
    <x v="2"/>
    <x v="0"/>
    <x v="0"/>
    <x v="0"/>
    <x v="8"/>
    <x v="5"/>
    <x v="4"/>
    <x v="2"/>
  </r>
  <r>
    <s v="TX500682"/>
    <x v="12"/>
    <x v="1"/>
    <n v="43.1"/>
    <n v="86.2"/>
    <x v="29"/>
    <d v="2025-01-31T00:00:00"/>
    <x v="2"/>
    <x v="1"/>
    <x v="2"/>
    <x v="0"/>
    <x v="8"/>
    <x v="3"/>
    <x v="4"/>
    <x v="2"/>
  </r>
  <r>
    <s v="TX500683"/>
    <x v="6"/>
    <x v="11"/>
    <n v="74.7"/>
    <n v="672.30000000000007"/>
    <x v="29"/>
    <d v="2025-02-01T00:00:00"/>
    <x v="1"/>
    <x v="0"/>
    <x v="2"/>
    <x v="0"/>
    <x v="8"/>
    <x v="1"/>
    <x v="4"/>
    <x v="1"/>
  </r>
  <r>
    <s v="TX500684"/>
    <x v="6"/>
    <x v="0"/>
    <n v="128.19999999999999"/>
    <n v="128.19999999999999"/>
    <x v="29"/>
    <d v="2025-01-30T00:00:00"/>
    <x v="1"/>
    <x v="1"/>
    <x v="0"/>
    <x v="0"/>
    <x v="8"/>
    <x v="7"/>
    <x v="4"/>
    <x v="1"/>
  </r>
  <r>
    <s v="TX500685"/>
    <x v="14"/>
    <x v="12"/>
    <n v="26.7"/>
    <n v="106.8"/>
    <x v="29"/>
    <d v="2025-01-31T00:00:00"/>
    <x v="1"/>
    <x v="1"/>
    <x v="0"/>
    <x v="0"/>
    <x v="8"/>
    <x v="3"/>
    <x v="4"/>
    <x v="1"/>
  </r>
  <r>
    <s v="TX500686"/>
    <x v="17"/>
    <x v="13"/>
    <n v="31.5"/>
    <n v="189"/>
    <x v="29"/>
    <d v="2025-01-31T00:00:00"/>
    <x v="2"/>
    <x v="2"/>
    <x v="0"/>
    <x v="0"/>
    <x v="17"/>
    <x v="3"/>
    <x v="4"/>
    <x v="2"/>
  </r>
  <r>
    <s v="TX500687"/>
    <x v="3"/>
    <x v="3"/>
    <n v="64.7"/>
    <n v="452.90000000000003"/>
    <x v="29"/>
    <d v="2025-01-31T00:00:00"/>
    <x v="2"/>
    <x v="0"/>
    <x v="2"/>
    <x v="0"/>
    <x v="9"/>
    <x v="3"/>
    <x v="4"/>
    <x v="2"/>
  </r>
  <r>
    <s v="TX500688"/>
    <x v="5"/>
    <x v="1"/>
    <n v="55.6"/>
    <n v="111.2"/>
    <x v="29"/>
    <d v="2025-02-02T00:00:00"/>
    <x v="2"/>
    <x v="3"/>
    <x v="0"/>
    <x v="0"/>
    <x v="11"/>
    <x v="2"/>
    <x v="4"/>
    <x v="2"/>
  </r>
  <r>
    <s v="TX500689"/>
    <x v="3"/>
    <x v="1"/>
    <n v="36.200000000000003"/>
    <n v="72.400000000000006"/>
    <x v="29"/>
    <d v="2025-01-31T00:00:00"/>
    <x v="2"/>
    <x v="3"/>
    <x v="0"/>
    <x v="0"/>
    <x v="11"/>
    <x v="3"/>
    <x v="4"/>
    <x v="2"/>
  </r>
  <r>
    <s v="TX500690"/>
    <x v="0"/>
    <x v="0"/>
    <n v="26.6"/>
    <n v="26.6"/>
    <x v="29"/>
    <d v="2025-01-31T00:00:00"/>
    <x v="0"/>
    <x v="1"/>
    <x v="1"/>
    <x v="0"/>
    <x v="19"/>
    <x v="3"/>
    <x v="4"/>
    <x v="0"/>
  </r>
  <r>
    <s v="TX500691"/>
    <x v="10"/>
    <x v="12"/>
    <n v="31.5"/>
    <n v="126"/>
    <x v="29"/>
    <d v="2025-02-01T00:00:00"/>
    <x v="1"/>
    <x v="0"/>
    <x v="0"/>
    <x v="0"/>
    <x v="31"/>
    <x v="1"/>
    <x v="4"/>
    <x v="1"/>
  </r>
  <r>
    <s v="TX500692"/>
    <x v="10"/>
    <x v="0"/>
    <n v="27"/>
    <n v="27"/>
    <x v="29"/>
    <d v="2025-02-01T00:00:00"/>
    <x v="2"/>
    <x v="1"/>
    <x v="2"/>
    <x v="0"/>
    <x v="13"/>
    <x v="1"/>
    <x v="4"/>
    <x v="2"/>
  </r>
  <r>
    <s v="TX500693"/>
    <x v="4"/>
    <x v="0"/>
    <n v="32"/>
    <n v="32"/>
    <x v="29"/>
    <d v="2025-02-02T00:00:00"/>
    <x v="1"/>
    <x v="3"/>
    <x v="0"/>
    <x v="0"/>
    <x v="21"/>
    <x v="2"/>
    <x v="4"/>
    <x v="1"/>
  </r>
  <r>
    <s v="TX500694"/>
    <x v="1"/>
    <x v="2"/>
    <n v="48.1"/>
    <n v="144.30000000000001"/>
    <x v="29"/>
    <d v="2025-02-01T00:00:00"/>
    <x v="1"/>
    <x v="2"/>
    <x v="1"/>
    <x v="0"/>
    <x v="1"/>
    <x v="1"/>
    <x v="4"/>
    <x v="1"/>
  </r>
  <r>
    <s v="TX500695"/>
    <x v="9"/>
    <x v="1"/>
    <n v="43.4"/>
    <n v="86.8"/>
    <x v="29"/>
    <d v="2025-01-31T00:00:00"/>
    <x v="1"/>
    <x v="1"/>
    <x v="1"/>
    <x v="0"/>
    <x v="22"/>
    <x v="3"/>
    <x v="4"/>
    <x v="1"/>
  </r>
  <r>
    <s v="TX500696"/>
    <x v="6"/>
    <x v="1"/>
    <n v="42.6"/>
    <n v="85.2"/>
    <x v="29"/>
    <d v="2025-02-02T00:00:00"/>
    <x v="2"/>
    <x v="3"/>
    <x v="0"/>
    <x v="0"/>
    <x v="22"/>
    <x v="2"/>
    <x v="4"/>
    <x v="2"/>
  </r>
  <r>
    <s v="TX500697"/>
    <x v="8"/>
    <x v="1"/>
    <n v="15.9"/>
    <n v="31.8"/>
    <x v="29"/>
    <d v="2025-01-31T00:00:00"/>
    <x v="2"/>
    <x v="0"/>
    <x v="0"/>
    <x v="0"/>
    <x v="34"/>
    <x v="3"/>
    <x v="4"/>
    <x v="2"/>
  </r>
  <r>
    <s v="TX500698"/>
    <x v="9"/>
    <x v="1"/>
    <n v="63.2"/>
    <n v="126.4"/>
    <x v="29"/>
    <d v="2025-01-31T00:00:00"/>
    <x v="1"/>
    <x v="1"/>
    <x v="0"/>
    <x v="0"/>
    <x v="3"/>
    <x v="3"/>
    <x v="4"/>
    <x v="1"/>
  </r>
  <r>
    <s v="TX500699"/>
    <x v="7"/>
    <x v="12"/>
    <n v="64.8"/>
    <n v="259.2"/>
    <x v="29"/>
    <d v="2025-02-01T00:00:00"/>
    <x v="0"/>
    <x v="4"/>
    <x v="1"/>
    <x v="0"/>
    <x v="3"/>
    <x v="1"/>
    <x v="4"/>
    <x v="0"/>
  </r>
  <r>
    <s v="TX500700"/>
    <x v="7"/>
    <x v="2"/>
    <n v="79.8"/>
    <n v="239.39999999999998"/>
    <x v="29"/>
    <d v="2025-01-31T00:00:00"/>
    <x v="1"/>
    <x v="0"/>
    <x v="0"/>
    <x v="0"/>
    <x v="3"/>
    <x v="3"/>
    <x v="4"/>
    <x v="1"/>
  </r>
  <r>
    <s v="TX500701"/>
    <x v="9"/>
    <x v="0"/>
    <n v="54.4"/>
    <n v="54.4"/>
    <x v="29"/>
    <d v="2025-02-01T00:00:00"/>
    <x v="2"/>
    <x v="4"/>
    <x v="2"/>
    <x v="0"/>
    <x v="3"/>
    <x v="1"/>
    <x v="4"/>
    <x v="2"/>
  </r>
  <r>
    <s v="TX500702"/>
    <x v="6"/>
    <x v="0"/>
    <n v="87.3"/>
    <n v="87.3"/>
    <x v="29"/>
    <d v="2025-01-31T00:00:00"/>
    <x v="1"/>
    <x v="1"/>
    <x v="0"/>
    <x v="0"/>
    <x v="3"/>
    <x v="3"/>
    <x v="4"/>
    <x v="1"/>
  </r>
  <r>
    <s v="TX500703"/>
    <x v="8"/>
    <x v="12"/>
    <n v="32.4"/>
    <n v="129.6"/>
    <x v="29"/>
    <d v="2025-01-30T00:00:00"/>
    <x v="1"/>
    <x v="1"/>
    <x v="0"/>
    <x v="0"/>
    <x v="3"/>
    <x v="7"/>
    <x v="4"/>
    <x v="1"/>
  </r>
  <r>
    <s v="TX500704"/>
    <x v="2"/>
    <x v="0"/>
    <n v="177.4"/>
    <n v="177.4"/>
    <x v="29"/>
    <d v="2025-02-03T00:00:00"/>
    <x v="1"/>
    <x v="0"/>
    <x v="2"/>
    <x v="0"/>
    <x v="3"/>
    <x v="5"/>
    <x v="4"/>
    <x v="1"/>
  </r>
  <r>
    <s v="TX500705"/>
    <x v="7"/>
    <x v="1"/>
    <n v="70.099999999999994"/>
    <n v="140.19999999999999"/>
    <x v="29"/>
    <d v="2025-01-31T00:00:00"/>
    <x v="1"/>
    <x v="3"/>
    <x v="1"/>
    <x v="0"/>
    <x v="3"/>
    <x v="3"/>
    <x v="4"/>
    <x v="1"/>
  </r>
  <r>
    <s v="TX500706"/>
    <x v="9"/>
    <x v="13"/>
    <n v="51.1"/>
    <n v="306.60000000000002"/>
    <x v="29"/>
    <d v="2025-01-31T00:00:00"/>
    <x v="2"/>
    <x v="0"/>
    <x v="0"/>
    <x v="0"/>
    <x v="3"/>
    <x v="3"/>
    <x v="4"/>
    <x v="2"/>
  </r>
  <r>
    <s v="TX500707"/>
    <x v="2"/>
    <x v="9"/>
    <n v="79.900000000000006"/>
    <n v="399.5"/>
    <x v="29"/>
    <d v="2025-02-01T00:00:00"/>
    <x v="1"/>
    <x v="3"/>
    <x v="2"/>
    <x v="0"/>
    <x v="24"/>
    <x v="1"/>
    <x v="4"/>
    <x v="1"/>
  </r>
  <r>
    <s v="TX500708"/>
    <x v="6"/>
    <x v="0"/>
    <n v="57.6"/>
    <n v="57.6"/>
    <x v="30"/>
    <d v="2025-02-05T00:00:00"/>
    <x v="1"/>
    <x v="0"/>
    <x v="2"/>
    <x v="0"/>
    <x v="49"/>
    <x v="0"/>
    <x v="4"/>
    <x v="1"/>
  </r>
  <r>
    <s v="TX500709"/>
    <x v="8"/>
    <x v="7"/>
    <n v="59.7"/>
    <n v="597"/>
    <x v="30"/>
    <d v="2025-02-04T00:00:00"/>
    <x v="1"/>
    <x v="2"/>
    <x v="0"/>
    <x v="0"/>
    <x v="25"/>
    <x v="5"/>
    <x v="4"/>
    <x v="1"/>
  </r>
  <r>
    <s v="TX500710"/>
    <x v="8"/>
    <x v="9"/>
    <n v="30"/>
    <n v="150"/>
    <x v="30"/>
    <d v="2025-02-02T00:00:00"/>
    <x v="1"/>
    <x v="1"/>
    <x v="0"/>
    <x v="0"/>
    <x v="6"/>
    <x v="1"/>
    <x v="4"/>
    <x v="1"/>
  </r>
  <r>
    <s v="TX500711"/>
    <x v="10"/>
    <x v="1"/>
    <n v="69.2"/>
    <n v="138.4"/>
    <x v="30"/>
    <d v="2025-02-02T00:00:00"/>
    <x v="0"/>
    <x v="2"/>
    <x v="1"/>
    <x v="0"/>
    <x v="6"/>
    <x v="1"/>
    <x v="4"/>
    <x v="0"/>
  </r>
  <r>
    <s v="TX500712"/>
    <x v="0"/>
    <x v="8"/>
    <n v="10.9"/>
    <n v="87.2"/>
    <x v="30"/>
    <d v="2025-02-01T00:00:00"/>
    <x v="2"/>
    <x v="0"/>
    <x v="2"/>
    <x v="0"/>
    <x v="6"/>
    <x v="3"/>
    <x v="4"/>
    <x v="2"/>
  </r>
  <r>
    <s v="TX500713"/>
    <x v="16"/>
    <x v="1"/>
    <n v="48.6"/>
    <n v="97.2"/>
    <x v="30"/>
    <d v="2025-02-04T00:00:00"/>
    <x v="1"/>
    <x v="1"/>
    <x v="2"/>
    <x v="0"/>
    <x v="6"/>
    <x v="5"/>
    <x v="4"/>
    <x v="1"/>
  </r>
  <r>
    <s v="TX500714"/>
    <x v="2"/>
    <x v="1"/>
    <n v="61.1"/>
    <n v="122.2"/>
    <x v="30"/>
    <d v="2025-02-03T00:00:00"/>
    <x v="2"/>
    <x v="1"/>
    <x v="2"/>
    <x v="0"/>
    <x v="7"/>
    <x v="2"/>
    <x v="4"/>
    <x v="2"/>
  </r>
  <r>
    <s v="TX500715"/>
    <x v="8"/>
    <x v="1"/>
    <n v="23.2"/>
    <n v="46.4"/>
    <x v="30"/>
    <d v="2025-02-01T00:00:00"/>
    <x v="1"/>
    <x v="3"/>
    <x v="2"/>
    <x v="0"/>
    <x v="8"/>
    <x v="3"/>
    <x v="4"/>
    <x v="1"/>
  </r>
  <r>
    <s v="TX500716"/>
    <x v="12"/>
    <x v="12"/>
    <n v="55.8"/>
    <n v="223.2"/>
    <x v="30"/>
    <d v="2025-02-01T00:00:00"/>
    <x v="1"/>
    <x v="0"/>
    <x v="0"/>
    <x v="0"/>
    <x v="8"/>
    <x v="3"/>
    <x v="4"/>
    <x v="1"/>
  </r>
  <r>
    <s v="TX500717"/>
    <x v="9"/>
    <x v="12"/>
    <n v="24.8"/>
    <n v="99.2"/>
    <x v="30"/>
    <d v="2025-02-01T00:00:00"/>
    <x v="2"/>
    <x v="0"/>
    <x v="2"/>
    <x v="0"/>
    <x v="8"/>
    <x v="3"/>
    <x v="4"/>
    <x v="2"/>
  </r>
  <r>
    <s v="TX500718"/>
    <x v="10"/>
    <x v="1"/>
    <n v="27.9"/>
    <n v="55.8"/>
    <x v="30"/>
    <d v="2025-01-31T00:00:00"/>
    <x v="1"/>
    <x v="2"/>
    <x v="2"/>
    <x v="0"/>
    <x v="8"/>
    <x v="7"/>
    <x v="4"/>
    <x v="1"/>
  </r>
  <r>
    <s v="TX500719"/>
    <x v="10"/>
    <x v="13"/>
    <n v="51.1"/>
    <n v="306.60000000000002"/>
    <x v="30"/>
    <d v="2025-01-31T00:00:00"/>
    <x v="2"/>
    <x v="3"/>
    <x v="0"/>
    <x v="0"/>
    <x v="8"/>
    <x v="7"/>
    <x v="4"/>
    <x v="2"/>
  </r>
  <r>
    <s v="TX500720"/>
    <x v="17"/>
    <x v="5"/>
    <n v="32.700000000000003"/>
    <n v="359.70000000000005"/>
    <x v="30"/>
    <d v="2025-02-01T00:00:00"/>
    <x v="1"/>
    <x v="4"/>
    <x v="2"/>
    <x v="0"/>
    <x v="17"/>
    <x v="3"/>
    <x v="4"/>
    <x v="1"/>
  </r>
  <r>
    <s v="TX500721"/>
    <x v="8"/>
    <x v="12"/>
    <n v="22.5"/>
    <n v="90"/>
    <x v="30"/>
    <d v="2025-01-31T00:00:00"/>
    <x v="1"/>
    <x v="0"/>
    <x v="2"/>
    <x v="0"/>
    <x v="26"/>
    <x v="7"/>
    <x v="4"/>
    <x v="1"/>
  </r>
  <r>
    <s v="TX500722"/>
    <x v="0"/>
    <x v="3"/>
    <n v="14.6"/>
    <n v="102.2"/>
    <x v="30"/>
    <d v="2025-02-01T00:00:00"/>
    <x v="2"/>
    <x v="2"/>
    <x v="0"/>
    <x v="0"/>
    <x v="41"/>
    <x v="3"/>
    <x v="4"/>
    <x v="2"/>
  </r>
  <r>
    <s v="TX500723"/>
    <x v="5"/>
    <x v="2"/>
    <n v="32.5"/>
    <n v="97.5"/>
    <x v="30"/>
    <d v="2025-02-03T00:00:00"/>
    <x v="1"/>
    <x v="0"/>
    <x v="0"/>
    <x v="0"/>
    <x v="10"/>
    <x v="2"/>
    <x v="4"/>
    <x v="1"/>
  </r>
  <r>
    <s v="TX500724"/>
    <x v="18"/>
    <x v="0"/>
    <n v="78.099999999999994"/>
    <n v="78.099999999999994"/>
    <x v="30"/>
    <d v="2025-02-03T00:00:00"/>
    <x v="1"/>
    <x v="0"/>
    <x v="2"/>
    <x v="0"/>
    <x v="11"/>
    <x v="2"/>
    <x v="4"/>
    <x v="1"/>
  </r>
  <r>
    <s v="TX500725"/>
    <x v="12"/>
    <x v="13"/>
    <n v="110.2"/>
    <n v="661.2"/>
    <x v="30"/>
    <d v="2025-01-31T00:00:00"/>
    <x v="1"/>
    <x v="1"/>
    <x v="4"/>
    <x v="0"/>
    <x v="13"/>
    <x v="7"/>
    <x v="4"/>
    <x v="1"/>
  </r>
  <r>
    <s v="TX500726"/>
    <x v="6"/>
    <x v="2"/>
    <n v="86.3"/>
    <n v="258.89999999999998"/>
    <x v="30"/>
    <d v="2025-02-02T00:00:00"/>
    <x v="2"/>
    <x v="3"/>
    <x v="0"/>
    <x v="0"/>
    <x v="21"/>
    <x v="1"/>
    <x v="4"/>
    <x v="2"/>
  </r>
  <r>
    <s v="TX500727"/>
    <x v="1"/>
    <x v="13"/>
    <n v="73.599999999999994"/>
    <n v="441.59999999999997"/>
    <x v="30"/>
    <d v="2025-02-02T00:00:00"/>
    <x v="3"/>
    <x v="3"/>
    <x v="4"/>
    <x v="0"/>
    <x v="44"/>
    <x v="1"/>
    <x v="4"/>
    <x v="3"/>
  </r>
  <r>
    <s v="TX500728"/>
    <x v="6"/>
    <x v="15"/>
    <n v="67.7"/>
    <n v="880.1"/>
    <x v="30"/>
    <d v="2025-02-02T00:00:00"/>
    <x v="2"/>
    <x v="0"/>
    <x v="2"/>
    <x v="0"/>
    <x v="3"/>
    <x v="1"/>
    <x v="4"/>
    <x v="2"/>
  </r>
  <r>
    <s v="TX500729"/>
    <x v="7"/>
    <x v="13"/>
    <n v="142.19999999999999"/>
    <n v="853.19999999999993"/>
    <x v="30"/>
    <d v="2025-02-01T00:00:00"/>
    <x v="2"/>
    <x v="2"/>
    <x v="4"/>
    <x v="0"/>
    <x v="3"/>
    <x v="3"/>
    <x v="4"/>
    <x v="2"/>
  </r>
  <r>
    <s v="TX500730"/>
    <x v="1"/>
    <x v="11"/>
    <n v="45.8"/>
    <n v="412.2"/>
    <x v="30"/>
    <d v="2025-02-02T00:00:00"/>
    <x v="2"/>
    <x v="1"/>
    <x v="2"/>
    <x v="0"/>
    <x v="3"/>
    <x v="1"/>
    <x v="4"/>
    <x v="2"/>
  </r>
  <r>
    <s v="TX500731"/>
    <x v="10"/>
    <x v="1"/>
    <n v="24.2"/>
    <n v="48.4"/>
    <x v="31"/>
    <d v="2025-02-04T00:00:00"/>
    <x v="2"/>
    <x v="3"/>
    <x v="2"/>
    <x v="0"/>
    <x v="3"/>
    <x v="2"/>
    <x v="4"/>
    <x v="2"/>
  </r>
  <r>
    <s v="TX500732"/>
    <x v="2"/>
    <x v="2"/>
    <n v="144.9"/>
    <n v="434.70000000000005"/>
    <x v="31"/>
    <d v="2025-02-02T00:00:00"/>
    <x v="3"/>
    <x v="2"/>
    <x v="2"/>
    <x v="0"/>
    <x v="3"/>
    <x v="3"/>
    <x v="4"/>
    <x v="3"/>
  </r>
  <r>
    <s v="TX500733"/>
    <x v="11"/>
    <x v="9"/>
    <n v="32.799999999999997"/>
    <n v="164"/>
    <x v="31"/>
    <d v="2025-02-04T00:00:00"/>
    <x v="2"/>
    <x v="2"/>
    <x v="0"/>
    <x v="0"/>
    <x v="23"/>
    <x v="2"/>
    <x v="4"/>
    <x v="2"/>
  </r>
  <r>
    <s v="TX500734"/>
    <x v="7"/>
    <x v="7"/>
    <n v="35.700000000000003"/>
    <n v="357"/>
    <x v="31"/>
    <d v="2025-02-01T00:00:00"/>
    <x v="2"/>
    <x v="0"/>
    <x v="1"/>
    <x v="0"/>
    <x v="6"/>
    <x v="7"/>
    <x v="4"/>
    <x v="2"/>
  </r>
  <r>
    <s v="TX500735"/>
    <x v="9"/>
    <x v="1"/>
    <n v="54.6"/>
    <n v="109.2"/>
    <x v="31"/>
    <d v="2025-02-02T00:00:00"/>
    <x v="2"/>
    <x v="2"/>
    <x v="0"/>
    <x v="0"/>
    <x v="6"/>
    <x v="3"/>
    <x v="4"/>
    <x v="2"/>
  </r>
  <r>
    <s v="TX500736"/>
    <x v="8"/>
    <x v="1"/>
    <n v="35.700000000000003"/>
    <n v="71.400000000000006"/>
    <x v="31"/>
    <d v="2025-02-04T00:00:00"/>
    <x v="0"/>
    <x v="0"/>
    <x v="1"/>
    <x v="0"/>
    <x v="6"/>
    <x v="2"/>
    <x v="4"/>
    <x v="0"/>
  </r>
  <r>
    <s v="TX500737"/>
    <x v="10"/>
    <x v="1"/>
    <n v="52.4"/>
    <n v="104.8"/>
    <x v="31"/>
    <d v="2025-02-01T00:00:00"/>
    <x v="2"/>
    <x v="0"/>
    <x v="3"/>
    <x v="0"/>
    <x v="6"/>
    <x v="7"/>
    <x v="4"/>
    <x v="2"/>
  </r>
  <r>
    <s v="TX500738"/>
    <x v="8"/>
    <x v="21"/>
    <n v="16.2"/>
    <n v="226.79999999999998"/>
    <x v="31"/>
    <d v="2025-02-02T00:00:00"/>
    <x v="0"/>
    <x v="0"/>
    <x v="1"/>
    <x v="0"/>
    <x v="8"/>
    <x v="3"/>
    <x v="4"/>
    <x v="0"/>
  </r>
  <r>
    <s v="TX500739"/>
    <x v="6"/>
    <x v="35"/>
    <n v="42.8"/>
    <n v="2011.6"/>
    <x v="31"/>
    <d v="2025-02-02T00:00:00"/>
    <x v="2"/>
    <x v="0"/>
    <x v="0"/>
    <x v="0"/>
    <x v="8"/>
    <x v="3"/>
    <x v="4"/>
    <x v="2"/>
  </r>
  <r>
    <s v="TX500740"/>
    <x v="6"/>
    <x v="11"/>
    <n v="144.4"/>
    <n v="1299.6000000000001"/>
    <x v="31"/>
    <d v="2025-02-04T00:00:00"/>
    <x v="2"/>
    <x v="4"/>
    <x v="0"/>
    <x v="0"/>
    <x v="8"/>
    <x v="2"/>
    <x v="4"/>
    <x v="2"/>
  </r>
  <r>
    <s v="TX500741"/>
    <x v="3"/>
    <x v="34"/>
    <n v="30.6"/>
    <n v="1101.6000000000001"/>
    <x v="31"/>
    <d v="2025-02-05T00:00:00"/>
    <x v="2"/>
    <x v="2"/>
    <x v="2"/>
    <x v="0"/>
    <x v="11"/>
    <x v="5"/>
    <x v="4"/>
    <x v="2"/>
  </r>
  <r>
    <s v="TX500742"/>
    <x v="2"/>
    <x v="1"/>
    <n v="117.5"/>
    <n v="235"/>
    <x v="31"/>
    <d v="2025-02-02T00:00:00"/>
    <x v="1"/>
    <x v="0"/>
    <x v="0"/>
    <x v="0"/>
    <x v="19"/>
    <x v="3"/>
    <x v="4"/>
    <x v="1"/>
  </r>
  <r>
    <s v="TX500743"/>
    <x v="6"/>
    <x v="1"/>
    <n v="105.7"/>
    <n v="211.4"/>
    <x v="31"/>
    <d v="2025-02-02T00:00:00"/>
    <x v="2"/>
    <x v="2"/>
    <x v="2"/>
    <x v="0"/>
    <x v="21"/>
    <x v="3"/>
    <x v="4"/>
    <x v="2"/>
  </r>
  <r>
    <s v="TX500744"/>
    <x v="3"/>
    <x v="2"/>
    <n v="133.69999999999999"/>
    <n v="401.09999999999997"/>
    <x v="31"/>
    <d v="2025-02-02T00:00:00"/>
    <x v="0"/>
    <x v="4"/>
    <x v="2"/>
    <x v="0"/>
    <x v="21"/>
    <x v="3"/>
    <x v="4"/>
    <x v="0"/>
  </r>
  <r>
    <s v="TX500745"/>
    <x v="4"/>
    <x v="9"/>
    <n v="46.8"/>
    <n v="234"/>
    <x v="32"/>
    <d v="2025-02-10T00:00:00"/>
    <x v="2"/>
    <x v="0"/>
    <x v="1"/>
    <x v="0"/>
    <x v="21"/>
    <x v="9"/>
    <x v="5"/>
    <x v="2"/>
  </r>
  <r>
    <s v="TX500746"/>
    <x v="10"/>
    <x v="2"/>
    <n v="58.4"/>
    <n v="175.2"/>
    <x v="32"/>
    <d v="2025-02-04T00:00:00"/>
    <x v="2"/>
    <x v="0"/>
    <x v="0"/>
    <x v="0"/>
    <x v="1"/>
    <x v="1"/>
    <x v="5"/>
    <x v="2"/>
  </r>
  <r>
    <s v="TX500747"/>
    <x v="6"/>
    <x v="11"/>
    <n v="65.099999999999994"/>
    <n v="585.9"/>
    <x v="32"/>
    <d v="2025-02-06T00:00:00"/>
    <x v="1"/>
    <x v="1"/>
    <x v="2"/>
    <x v="0"/>
    <x v="22"/>
    <x v="5"/>
    <x v="5"/>
    <x v="1"/>
  </r>
  <r>
    <s v="TX500748"/>
    <x v="8"/>
    <x v="0"/>
    <n v="18.600000000000001"/>
    <n v="18.600000000000001"/>
    <x v="32"/>
    <d v="2025-02-05T00:00:00"/>
    <x v="2"/>
    <x v="0"/>
    <x v="4"/>
    <x v="0"/>
    <x v="22"/>
    <x v="2"/>
    <x v="5"/>
    <x v="2"/>
  </r>
  <r>
    <s v="TX500749"/>
    <x v="1"/>
    <x v="5"/>
    <n v="92.3"/>
    <n v="1015.3"/>
    <x v="32"/>
    <d v="2025-02-04T00:00:00"/>
    <x v="1"/>
    <x v="1"/>
    <x v="0"/>
    <x v="0"/>
    <x v="3"/>
    <x v="1"/>
    <x v="5"/>
    <x v="1"/>
  </r>
  <r>
    <s v="TX500750"/>
    <x v="6"/>
    <x v="2"/>
    <n v="81.7"/>
    <n v="245.10000000000002"/>
    <x v="32"/>
    <d v="2025-02-03T00:00:00"/>
    <x v="0"/>
    <x v="4"/>
    <x v="4"/>
    <x v="0"/>
    <x v="3"/>
    <x v="3"/>
    <x v="5"/>
    <x v="0"/>
  </r>
  <r>
    <s v="TX500751"/>
    <x v="8"/>
    <x v="1"/>
    <n v="40.9"/>
    <n v="81.8"/>
    <x v="32"/>
    <d v="2025-02-04T00:00:00"/>
    <x v="1"/>
    <x v="0"/>
    <x v="1"/>
    <x v="0"/>
    <x v="3"/>
    <x v="1"/>
    <x v="5"/>
    <x v="1"/>
  </r>
  <r>
    <s v="TX500752"/>
    <x v="6"/>
    <x v="12"/>
    <n v="43.2"/>
    <n v="172.8"/>
    <x v="32"/>
    <d v="2025-02-08T00:00:00"/>
    <x v="2"/>
    <x v="0"/>
    <x v="1"/>
    <x v="0"/>
    <x v="3"/>
    <x v="4"/>
    <x v="5"/>
    <x v="2"/>
  </r>
  <r>
    <s v="TX500753"/>
    <x v="8"/>
    <x v="5"/>
    <n v="25.8"/>
    <n v="283.8"/>
    <x v="32"/>
    <d v="2025-02-05T00:00:00"/>
    <x v="1"/>
    <x v="2"/>
    <x v="1"/>
    <x v="0"/>
    <x v="3"/>
    <x v="2"/>
    <x v="5"/>
    <x v="1"/>
  </r>
  <r>
    <s v="TX500754"/>
    <x v="15"/>
    <x v="12"/>
    <n v="36.4"/>
    <n v="145.6"/>
    <x v="32"/>
    <d v="2025-02-03T00:00:00"/>
    <x v="1"/>
    <x v="0"/>
    <x v="0"/>
    <x v="0"/>
    <x v="3"/>
    <x v="3"/>
    <x v="5"/>
    <x v="1"/>
  </r>
  <r>
    <s v="TX500755"/>
    <x v="10"/>
    <x v="0"/>
    <n v="59.1"/>
    <n v="59.1"/>
    <x v="32"/>
    <d v="2025-02-03T00:00:00"/>
    <x v="2"/>
    <x v="2"/>
    <x v="0"/>
    <x v="0"/>
    <x v="7"/>
    <x v="3"/>
    <x v="5"/>
    <x v="2"/>
  </r>
  <r>
    <s v="TX500756"/>
    <x v="2"/>
    <x v="14"/>
    <n v="74.5"/>
    <n v="1266.5"/>
    <x v="32"/>
    <d v="2025-02-04T00:00:00"/>
    <x v="1"/>
    <x v="4"/>
    <x v="0"/>
    <x v="0"/>
    <x v="18"/>
    <x v="1"/>
    <x v="5"/>
    <x v="1"/>
  </r>
  <r>
    <s v="TX500757"/>
    <x v="5"/>
    <x v="0"/>
    <n v="72.8"/>
    <n v="72.8"/>
    <x v="32"/>
    <d v="2025-02-03T00:00:00"/>
    <x v="2"/>
    <x v="0"/>
    <x v="1"/>
    <x v="0"/>
    <x v="19"/>
    <x v="3"/>
    <x v="5"/>
    <x v="2"/>
  </r>
  <r>
    <s v="TX500758"/>
    <x v="6"/>
    <x v="12"/>
    <n v="137.30000000000001"/>
    <n v="549.20000000000005"/>
    <x v="32"/>
    <d v="2025-02-05T00:00:00"/>
    <x v="2"/>
    <x v="0"/>
    <x v="0"/>
    <x v="0"/>
    <x v="13"/>
    <x v="2"/>
    <x v="5"/>
    <x v="2"/>
  </r>
  <r>
    <s v="TX500759"/>
    <x v="1"/>
    <x v="2"/>
    <n v="48.7"/>
    <n v="146.10000000000002"/>
    <x v="32"/>
    <d v="2025-02-07T00:00:00"/>
    <x v="2"/>
    <x v="0"/>
    <x v="1"/>
    <x v="0"/>
    <x v="21"/>
    <x v="0"/>
    <x v="5"/>
    <x v="2"/>
  </r>
  <r>
    <s v="TX500760"/>
    <x v="6"/>
    <x v="12"/>
    <n v="53.7"/>
    <n v="214.8"/>
    <x v="32"/>
    <d v="2025-02-06T00:00:00"/>
    <x v="1"/>
    <x v="1"/>
    <x v="4"/>
    <x v="0"/>
    <x v="2"/>
    <x v="5"/>
    <x v="5"/>
    <x v="1"/>
  </r>
  <r>
    <s v="TX500761"/>
    <x v="2"/>
    <x v="3"/>
    <n v="100.9"/>
    <n v="706.30000000000007"/>
    <x v="32"/>
    <d v="2025-02-04T00:00:00"/>
    <x v="2"/>
    <x v="0"/>
    <x v="1"/>
    <x v="0"/>
    <x v="2"/>
    <x v="1"/>
    <x v="5"/>
    <x v="2"/>
  </r>
  <r>
    <s v="TX500762"/>
    <x v="10"/>
    <x v="1"/>
    <n v="41.8"/>
    <n v="83.6"/>
    <x v="32"/>
    <d v="2025-02-06T00:00:00"/>
    <x v="1"/>
    <x v="3"/>
    <x v="2"/>
    <x v="0"/>
    <x v="22"/>
    <x v="5"/>
    <x v="5"/>
    <x v="1"/>
  </r>
  <r>
    <s v="TX500763"/>
    <x v="4"/>
    <x v="8"/>
    <n v="28.5"/>
    <n v="228"/>
    <x v="32"/>
    <d v="2025-02-04T00:00:00"/>
    <x v="1"/>
    <x v="2"/>
    <x v="1"/>
    <x v="0"/>
    <x v="3"/>
    <x v="1"/>
    <x v="5"/>
    <x v="1"/>
  </r>
  <r>
    <s v="TX500764"/>
    <x v="7"/>
    <x v="12"/>
    <n v="88.9"/>
    <n v="355.6"/>
    <x v="32"/>
    <d v="2025-02-05T00:00:00"/>
    <x v="2"/>
    <x v="0"/>
    <x v="2"/>
    <x v="0"/>
    <x v="3"/>
    <x v="2"/>
    <x v="5"/>
    <x v="2"/>
  </r>
  <r>
    <s v="TX500765"/>
    <x v="6"/>
    <x v="0"/>
    <n v="62.5"/>
    <n v="62.5"/>
    <x v="32"/>
    <d v="2025-02-11T00:00:00"/>
    <x v="2"/>
    <x v="0"/>
    <x v="2"/>
    <x v="0"/>
    <x v="3"/>
    <x v="8"/>
    <x v="5"/>
    <x v="2"/>
  </r>
  <r>
    <s v="TX500766"/>
    <x v="1"/>
    <x v="2"/>
    <n v="46.9"/>
    <n v="140.69999999999999"/>
    <x v="32"/>
    <d v="2025-02-03T00:00:00"/>
    <x v="1"/>
    <x v="0"/>
    <x v="2"/>
    <x v="0"/>
    <x v="3"/>
    <x v="3"/>
    <x v="5"/>
    <x v="1"/>
  </r>
  <r>
    <s v="TX500767"/>
    <x v="8"/>
    <x v="2"/>
    <n v="45"/>
    <n v="135"/>
    <x v="32"/>
    <d v="2025-02-16T00:00:00"/>
    <x v="1"/>
    <x v="1"/>
    <x v="0"/>
    <x v="0"/>
    <x v="3"/>
    <x v="12"/>
    <x v="5"/>
    <x v="1"/>
  </r>
  <r>
    <s v="TX500768"/>
    <x v="6"/>
    <x v="2"/>
    <n v="45.2"/>
    <n v="135.60000000000002"/>
    <x v="32"/>
    <d v="2025-02-04T00:00:00"/>
    <x v="1"/>
    <x v="4"/>
    <x v="2"/>
    <x v="0"/>
    <x v="3"/>
    <x v="1"/>
    <x v="5"/>
    <x v="1"/>
  </r>
  <r>
    <s v="TX500769"/>
    <x v="4"/>
    <x v="1"/>
    <n v="60.1"/>
    <n v="120.2"/>
    <x v="32"/>
    <d v="2025-02-03T00:00:00"/>
    <x v="2"/>
    <x v="0"/>
    <x v="2"/>
    <x v="0"/>
    <x v="3"/>
    <x v="3"/>
    <x v="5"/>
    <x v="2"/>
  </r>
  <r>
    <s v="TX500770"/>
    <x v="12"/>
    <x v="12"/>
    <n v="118.7"/>
    <n v="474.8"/>
    <x v="32"/>
    <d v="2025-02-04T00:00:00"/>
    <x v="2"/>
    <x v="0"/>
    <x v="0"/>
    <x v="0"/>
    <x v="3"/>
    <x v="1"/>
    <x v="5"/>
    <x v="2"/>
  </r>
  <r>
    <s v="TX500771"/>
    <x v="9"/>
    <x v="0"/>
    <n v="57.8"/>
    <n v="57.8"/>
    <x v="32"/>
    <d v="2025-02-11T00:00:00"/>
    <x v="2"/>
    <x v="1"/>
    <x v="0"/>
    <x v="0"/>
    <x v="3"/>
    <x v="8"/>
    <x v="5"/>
    <x v="2"/>
  </r>
  <r>
    <s v="TX500772"/>
    <x v="4"/>
    <x v="0"/>
    <n v="19.5"/>
    <n v="19.5"/>
    <x v="32"/>
    <d v="2025-02-03T00:00:00"/>
    <x v="1"/>
    <x v="1"/>
    <x v="1"/>
    <x v="0"/>
    <x v="3"/>
    <x v="3"/>
    <x v="5"/>
    <x v="1"/>
  </r>
  <r>
    <s v="TX500773"/>
    <x v="12"/>
    <x v="0"/>
    <n v="42.6"/>
    <n v="42.6"/>
    <x v="32"/>
    <d v="2025-02-03T00:00:00"/>
    <x v="1"/>
    <x v="0"/>
    <x v="1"/>
    <x v="0"/>
    <x v="3"/>
    <x v="3"/>
    <x v="5"/>
    <x v="1"/>
  </r>
  <r>
    <s v="TX500774"/>
    <x v="6"/>
    <x v="1"/>
    <n v="74.8"/>
    <n v="149.6"/>
    <x v="32"/>
    <d v="2025-02-03T00:00:00"/>
    <x v="2"/>
    <x v="3"/>
    <x v="2"/>
    <x v="0"/>
    <x v="37"/>
    <x v="3"/>
    <x v="5"/>
    <x v="2"/>
  </r>
  <r>
    <s v="TX500775"/>
    <x v="8"/>
    <x v="2"/>
    <n v="32.5"/>
    <n v="97.5"/>
    <x v="32"/>
    <d v="2025-02-03T00:00:00"/>
    <x v="1"/>
    <x v="2"/>
    <x v="4"/>
    <x v="0"/>
    <x v="16"/>
    <x v="3"/>
    <x v="5"/>
    <x v="1"/>
  </r>
  <r>
    <s v="TX500776"/>
    <x v="2"/>
    <x v="2"/>
    <n v="60.5"/>
    <n v="181.5"/>
    <x v="32"/>
    <d v="2025-02-02T00:00:00"/>
    <x v="2"/>
    <x v="1"/>
    <x v="2"/>
    <x v="0"/>
    <x v="25"/>
    <x v="7"/>
    <x v="5"/>
    <x v="2"/>
  </r>
  <r>
    <s v="TX500777"/>
    <x v="1"/>
    <x v="3"/>
    <n v="57.2"/>
    <n v="400.40000000000003"/>
    <x v="32"/>
    <d v="2025-02-04T00:00:00"/>
    <x v="0"/>
    <x v="2"/>
    <x v="0"/>
    <x v="0"/>
    <x v="25"/>
    <x v="1"/>
    <x v="5"/>
    <x v="0"/>
  </r>
  <r>
    <s v="TX500778"/>
    <x v="16"/>
    <x v="1"/>
    <n v="112"/>
    <n v="224"/>
    <x v="32"/>
    <d v="2025-02-03T00:00:00"/>
    <x v="2"/>
    <x v="1"/>
    <x v="1"/>
    <x v="0"/>
    <x v="5"/>
    <x v="3"/>
    <x v="5"/>
    <x v="2"/>
  </r>
  <r>
    <s v="TX500779"/>
    <x v="7"/>
    <x v="7"/>
    <n v="49"/>
    <n v="490"/>
    <x v="32"/>
    <d v="2025-02-03T00:00:00"/>
    <x v="3"/>
    <x v="2"/>
    <x v="1"/>
    <x v="0"/>
    <x v="6"/>
    <x v="3"/>
    <x v="5"/>
    <x v="3"/>
  </r>
  <r>
    <s v="TX500780"/>
    <x v="0"/>
    <x v="1"/>
    <n v="33.700000000000003"/>
    <n v="67.400000000000006"/>
    <x v="32"/>
    <d v="2025-02-06T00:00:00"/>
    <x v="2"/>
    <x v="3"/>
    <x v="0"/>
    <x v="0"/>
    <x v="6"/>
    <x v="5"/>
    <x v="5"/>
    <x v="2"/>
  </r>
  <r>
    <s v="TX500781"/>
    <x v="4"/>
    <x v="2"/>
    <n v="35.6"/>
    <n v="106.80000000000001"/>
    <x v="32"/>
    <d v="2025-02-05T00:00:00"/>
    <x v="2"/>
    <x v="0"/>
    <x v="2"/>
    <x v="0"/>
    <x v="6"/>
    <x v="2"/>
    <x v="5"/>
    <x v="2"/>
  </r>
  <r>
    <s v="TX500782"/>
    <x v="4"/>
    <x v="36"/>
    <n v="30.4"/>
    <n v="1064"/>
    <x v="33"/>
    <d v="2025-02-03T00:00:00"/>
    <x v="2"/>
    <x v="0"/>
    <x v="1"/>
    <x v="0"/>
    <x v="7"/>
    <x v="7"/>
    <x v="5"/>
    <x v="2"/>
  </r>
  <r>
    <s v="TX500783"/>
    <x v="10"/>
    <x v="4"/>
    <n v="50.2"/>
    <n v="602.40000000000009"/>
    <x v="33"/>
    <d v="2025-02-04T00:00:00"/>
    <x v="1"/>
    <x v="4"/>
    <x v="0"/>
    <x v="0"/>
    <x v="8"/>
    <x v="3"/>
    <x v="5"/>
    <x v="1"/>
  </r>
  <r>
    <s v="TX500784"/>
    <x v="1"/>
    <x v="1"/>
    <n v="43.7"/>
    <n v="87.4"/>
    <x v="33"/>
    <d v="2025-02-05T00:00:00"/>
    <x v="2"/>
    <x v="0"/>
    <x v="0"/>
    <x v="0"/>
    <x v="8"/>
    <x v="1"/>
    <x v="5"/>
    <x v="2"/>
  </r>
  <r>
    <s v="TX500785"/>
    <x v="10"/>
    <x v="0"/>
    <n v="33.299999999999997"/>
    <n v="33.299999999999997"/>
    <x v="33"/>
    <d v="2025-02-04T00:00:00"/>
    <x v="2"/>
    <x v="2"/>
    <x v="1"/>
    <x v="0"/>
    <x v="8"/>
    <x v="3"/>
    <x v="5"/>
    <x v="2"/>
  </r>
  <r>
    <s v="TX500786"/>
    <x v="8"/>
    <x v="12"/>
    <n v="15.1"/>
    <n v="60.4"/>
    <x v="33"/>
    <d v="2025-02-05T00:00:00"/>
    <x v="2"/>
    <x v="4"/>
    <x v="2"/>
    <x v="0"/>
    <x v="8"/>
    <x v="1"/>
    <x v="5"/>
    <x v="2"/>
  </r>
  <r>
    <s v="TX500787"/>
    <x v="6"/>
    <x v="9"/>
    <n v="118.2"/>
    <n v="591"/>
    <x v="33"/>
    <d v="2025-02-04T00:00:00"/>
    <x v="2"/>
    <x v="3"/>
    <x v="4"/>
    <x v="0"/>
    <x v="8"/>
    <x v="3"/>
    <x v="5"/>
    <x v="2"/>
  </r>
  <r>
    <s v="TX500788"/>
    <x v="10"/>
    <x v="2"/>
    <n v="28.9"/>
    <n v="86.699999999999989"/>
    <x v="33"/>
    <d v="2025-02-05T00:00:00"/>
    <x v="2"/>
    <x v="2"/>
    <x v="1"/>
    <x v="0"/>
    <x v="8"/>
    <x v="1"/>
    <x v="5"/>
    <x v="2"/>
  </r>
  <r>
    <s v="TX500789"/>
    <x v="4"/>
    <x v="2"/>
    <n v="55.6"/>
    <n v="166.8"/>
    <x v="33"/>
    <d v="2025-02-04T00:00:00"/>
    <x v="1"/>
    <x v="0"/>
    <x v="1"/>
    <x v="0"/>
    <x v="8"/>
    <x v="3"/>
    <x v="5"/>
    <x v="1"/>
  </r>
  <r>
    <s v="TX500790"/>
    <x v="9"/>
    <x v="12"/>
    <n v="25.6"/>
    <n v="102.4"/>
    <x v="33"/>
    <d v="2025-02-05T00:00:00"/>
    <x v="2"/>
    <x v="0"/>
    <x v="1"/>
    <x v="0"/>
    <x v="8"/>
    <x v="1"/>
    <x v="5"/>
    <x v="2"/>
  </r>
  <r>
    <s v="TX500791"/>
    <x v="7"/>
    <x v="2"/>
    <n v="31.3"/>
    <n v="93.9"/>
    <x v="33"/>
    <d v="2025-02-04T00:00:00"/>
    <x v="1"/>
    <x v="0"/>
    <x v="0"/>
    <x v="0"/>
    <x v="17"/>
    <x v="3"/>
    <x v="5"/>
    <x v="1"/>
  </r>
  <r>
    <s v="TX500792"/>
    <x v="0"/>
    <x v="2"/>
    <n v="22.1"/>
    <n v="66.300000000000011"/>
    <x v="33"/>
    <d v="2025-02-07T00:00:00"/>
    <x v="1"/>
    <x v="0"/>
    <x v="0"/>
    <x v="0"/>
    <x v="17"/>
    <x v="5"/>
    <x v="5"/>
    <x v="1"/>
  </r>
  <r>
    <s v="TX500793"/>
    <x v="2"/>
    <x v="21"/>
    <n v="99.4"/>
    <n v="1391.6000000000001"/>
    <x v="33"/>
    <d v="2025-02-04T00:00:00"/>
    <x v="1"/>
    <x v="1"/>
    <x v="0"/>
    <x v="0"/>
    <x v="11"/>
    <x v="3"/>
    <x v="5"/>
    <x v="1"/>
  </r>
  <r>
    <s v="TX500794"/>
    <x v="7"/>
    <x v="13"/>
    <n v="66.599999999999994"/>
    <n v="399.59999999999997"/>
    <x v="33"/>
    <d v="2025-02-04T00:00:00"/>
    <x v="2"/>
    <x v="0"/>
    <x v="0"/>
    <x v="0"/>
    <x v="11"/>
    <x v="3"/>
    <x v="5"/>
    <x v="2"/>
  </r>
  <r>
    <s v="TX500795"/>
    <x v="8"/>
    <x v="1"/>
    <n v="22.6"/>
    <n v="45.2"/>
    <x v="33"/>
    <d v="2025-02-06T00:00:00"/>
    <x v="1"/>
    <x v="0"/>
    <x v="0"/>
    <x v="0"/>
    <x v="11"/>
    <x v="2"/>
    <x v="5"/>
    <x v="1"/>
  </r>
  <r>
    <s v="TX500796"/>
    <x v="2"/>
    <x v="16"/>
    <n v="66.8"/>
    <n v="1202.3999999999999"/>
    <x v="33"/>
    <d v="2025-02-04T00:00:00"/>
    <x v="2"/>
    <x v="0"/>
    <x v="4"/>
    <x v="0"/>
    <x v="13"/>
    <x v="3"/>
    <x v="5"/>
    <x v="2"/>
  </r>
  <r>
    <s v="TX500797"/>
    <x v="0"/>
    <x v="12"/>
    <n v="20.8"/>
    <n v="83.2"/>
    <x v="33"/>
    <d v="2025-02-10T00:00:00"/>
    <x v="1"/>
    <x v="1"/>
    <x v="4"/>
    <x v="0"/>
    <x v="1"/>
    <x v="6"/>
    <x v="5"/>
    <x v="1"/>
  </r>
  <r>
    <s v="TX500798"/>
    <x v="2"/>
    <x v="3"/>
    <n v="102.5"/>
    <n v="717.5"/>
    <x v="33"/>
    <d v="2025-02-04T00:00:00"/>
    <x v="2"/>
    <x v="4"/>
    <x v="2"/>
    <x v="0"/>
    <x v="3"/>
    <x v="3"/>
    <x v="5"/>
    <x v="2"/>
  </r>
  <r>
    <s v="TX500799"/>
    <x v="0"/>
    <x v="16"/>
    <n v="24.8"/>
    <n v="446.40000000000003"/>
    <x v="33"/>
    <d v="2025-02-07T00:00:00"/>
    <x v="2"/>
    <x v="0"/>
    <x v="0"/>
    <x v="0"/>
    <x v="3"/>
    <x v="5"/>
    <x v="5"/>
    <x v="2"/>
  </r>
  <r>
    <s v="TX500800"/>
    <x v="4"/>
    <x v="37"/>
    <n v="31.4"/>
    <n v="973.4"/>
    <x v="33"/>
    <d v="2025-02-04T00:00:00"/>
    <x v="2"/>
    <x v="3"/>
    <x v="0"/>
    <x v="0"/>
    <x v="3"/>
    <x v="3"/>
    <x v="5"/>
    <x v="2"/>
  </r>
  <r>
    <s v="TX500801"/>
    <x v="9"/>
    <x v="9"/>
    <n v="59.3"/>
    <n v="296.5"/>
    <x v="33"/>
    <d v="2025-02-06T00:00:00"/>
    <x v="1"/>
    <x v="1"/>
    <x v="2"/>
    <x v="0"/>
    <x v="43"/>
    <x v="2"/>
    <x v="5"/>
    <x v="1"/>
  </r>
  <r>
    <s v="TX500802"/>
    <x v="11"/>
    <x v="13"/>
    <n v="39"/>
    <n v="234"/>
    <x v="33"/>
    <d v="2025-02-06T00:00:00"/>
    <x v="1"/>
    <x v="1"/>
    <x v="0"/>
    <x v="0"/>
    <x v="6"/>
    <x v="2"/>
    <x v="5"/>
    <x v="1"/>
  </r>
  <r>
    <s v="TX500803"/>
    <x v="5"/>
    <x v="13"/>
    <n v="98.6"/>
    <n v="591.59999999999991"/>
    <x v="33"/>
    <d v="2025-02-05T00:00:00"/>
    <x v="2"/>
    <x v="1"/>
    <x v="0"/>
    <x v="0"/>
    <x v="6"/>
    <x v="1"/>
    <x v="5"/>
    <x v="2"/>
  </r>
  <r>
    <s v="TX500804"/>
    <x v="8"/>
    <x v="0"/>
    <n v="20"/>
    <n v="20"/>
    <x v="34"/>
    <d v="2025-02-05T00:00:00"/>
    <x v="1"/>
    <x v="3"/>
    <x v="2"/>
    <x v="0"/>
    <x v="8"/>
    <x v="3"/>
    <x v="5"/>
    <x v="1"/>
  </r>
  <r>
    <s v="TX500805"/>
    <x v="1"/>
    <x v="1"/>
    <n v="42.9"/>
    <n v="85.8"/>
    <x v="34"/>
    <d v="2025-02-06T00:00:00"/>
    <x v="2"/>
    <x v="0"/>
    <x v="2"/>
    <x v="0"/>
    <x v="8"/>
    <x v="1"/>
    <x v="5"/>
    <x v="2"/>
  </r>
  <r>
    <s v="TX500806"/>
    <x v="7"/>
    <x v="3"/>
    <n v="55.6"/>
    <n v="389.2"/>
    <x v="34"/>
    <d v="2025-02-06T00:00:00"/>
    <x v="2"/>
    <x v="2"/>
    <x v="1"/>
    <x v="0"/>
    <x v="8"/>
    <x v="1"/>
    <x v="5"/>
    <x v="2"/>
  </r>
  <r>
    <s v="TX500807"/>
    <x v="8"/>
    <x v="12"/>
    <n v="19.2"/>
    <n v="76.8"/>
    <x v="34"/>
    <d v="2025-02-09T00:00:00"/>
    <x v="2"/>
    <x v="0"/>
    <x v="0"/>
    <x v="0"/>
    <x v="41"/>
    <x v="0"/>
    <x v="5"/>
    <x v="2"/>
  </r>
  <r>
    <s v="TX500808"/>
    <x v="5"/>
    <x v="1"/>
    <n v="28.8"/>
    <n v="57.6"/>
    <x v="34"/>
    <d v="2025-02-06T00:00:00"/>
    <x v="1"/>
    <x v="1"/>
    <x v="0"/>
    <x v="0"/>
    <x v="18"/>
    <x v="1"/>
    <x v="5"/>
    <x v="1"/>
  </r>
  <r>
    <s v="TX500809"/>
    <x v="4"/>
    <x v="0"/>
    <n v="29.7"/>
    <n v="29.7"/>
    <x v="34"/>
    <d v="2025-02-06T00:00:00"/>
    <x v="2"/>
    <x v="2"/>
    <x v="4"/>
    <x v="0"/>
    <x v="20"/>
    <x v="1"/>
    <x v="5"/>
    <x v="2"/>
  </r>
  <r>
    <s v="TX500810"/>
    <x v="6"/>
    <x v="13"/>
    <n v="63.3"/>
    <n v="379.79999999999995"/>
    <x v="34"/>
    <d v="2025-02-05T00:00:00"/>
    <x v="0"/>
    <x v="0"/>
    <x v="2"/>
    <x v="0"/>
    <x v="21"/>
    <x v="3"/>
    <x v="5"/>
    <x v="0"/>
  </r>
  <r>
    <s v="TX500811"/>
    <x v="4"/>
    <x v="0"/>
    <n v="46"/>
    <n v="46"/>
    <x v="34"/>
    <d v="2025-02-05T00:00:00"/>
    <x v="2"/>
    <x v="0"/>
    <x v="2"/>
    <x v="0"/>
    <x v="21"/>
    <x v="3"/>
    <x v="5"/>
    <x v="2"/>
  </r>
  <r>
    <s v="TX500812"/>
    <x v="11"/>
    <x v="2"/>
    <n v="38"/>
    <n v="114"/>
    <x v="34"/>
    <d v="2025-02-06T00:00:00"/>
    <x v="2"/>
    <x v="1"/>
    <x v="2"/>
    <x v="0"/>
    <x v="21"/>
    <x v="1"/>
    <x v="5"/>
    <x v="2"/>
  </r>
  <r>
    <s v="TX500813"/>
    <x v="10"/>
    <x v="15"/>
    <n v="34.6"/>
    <n v="449.8"/>
    <x v="34"/>
    <d v="2025-02-06T00:00:00"/>
    <x v="2"/>
    <x v="0"/>
    <x v="1"/>
    <x v="0"/>
    <x v="21"/>
    <x v="1"/>
    <x v="5"/>
    <x v="2"/>
  </r>
  <r>
    <s v="TX500814"/>
    <x v="3"/>
    <x v="7"/>
    <n v="79.7"/>
    <n v="797"/>
    <x v="34"/>
    <d v="2025-02-05T00:00:00"/>
    <x v="2"/>
    <x v="4"/>
    <x v="1"/>
    <x v="0"/>
    <x v="21"/>
    <x v="3"/>
    <x v="5"/>
    <x v="2"/>
  </r>
  <r>
    <s v="TX500815"/>
    <x v="8"/>
    <x v="8"/>
    <n v="30.5"/>
    <n v="244"/>
    <x v="34"/>
    <d v="2025-02-08T00:00:00"/>
    <x v="1"/>
    <x v="3"/>
    <x v="0"/>
    <x v="0"/>
    <x v="1"/>
    <x v="5"/>
    <x v="5"/>
    <x v="1"/>
  </r>
  <r>
    <s v="TX500816"/>
    <x v="0"/>
    <x v="1"/>
    <n v="20.8"/>
    <n v="41.6"/>
    <x v="34"/>
    <d v="2025-02-05T00:00:00"/>
    <x v="2"/>
    <x v="0"/>
    <x v="0"/>
    <x v="0"/>
    <x v="2"/>
    <x v="3"/>
    <x v="5"/>
    <x v="2"/>
  </r>
  <r>
    <s v="TX500817"/>
    <x v="11"/>
    <x v="3"/>
    <n v="48.5"/>
    <n v="339.5"/>
    <x v="34"/>
    <d v="2025-02-08T00:00:00"/>
    <x v="2"/>
    <x v="2"/>
    <x v="2"/>
    <x v="0"/>
    <x v="2"/>
    <x v="5"/>
    <x v="5"/>
    <x v="2"/>
  </r>
  <r>
    <s v="TX500818"/>
    <x v="2"/>
    <x v="12"/>
    <n v="61.8"/>
    <n v="247.2"/>
    <x v="34"/>
    <d v="2025-02-08T00:00:00"/>
    <x v="2"/>
    <x v="4"/>
    <x v="0"/>
    <x v="0"/>
    <x v="22"/>
    <x v="5"/>
    <x v="5"/>
    <x v="2"/>
  </r>
  <r>
    <s v="TX500819"/>
    <x v="10"/>
    <x v="0"/>
    <n v="46.1"/>
    <n v="46.1"/>
    <x v="34"/>
    <d v="2025-02-05T00:00:00"/>
    <x v="3"/>
    <x v="2"/>
    <x v="0"/>
    <x v="0"/>
    <x v="3"/>
    <x v="3"/>
    <x v="5"/>
    <x v="3"/>
  </r>
  <r>
    <s v="TX500820"/>
    <x v="4"/>
    <x v="13"/>
    <n v="44"/>
    <n v="264"/>
    <x v="34"/>
    <d v="2025-02-05T00:00:00"/>
    <x v="2"/>
    <x v="0"/>
    <x v="0"/>
    <x v="0"/>
    <x v="3"/>
    <x v="3"/>
    <x v="5"/>
    <x v="2"/>
  </r>
  <r>
    <s v="TX500821"/>
    <x v="18"/>
    <x v="1"/>
    <n v="95.7"/>
    <n v="191.4"/>
    <x v="34"/>
    <d v="2025-02-10T00:00:00"/>
    <x v="2"/>
    <x v="3"/>
    <x v="2"/>
    <x v="0"/>
    <x v="3"/>
    <x v="4"/>
    <x v="5"/>
    <x v="2"/>
  </r>
  <r>
    <s v="TX500822"/>
    <x v="7"/>
    <x v="9"/>
    <n v="46.4"/>
    <n v="232"/>
    <x v="34"/>
    <d v="2025-02-07T00:00:00"/>
    <x v="2"/>
    <x v="0"/>
    <x v="0"/>
    <x v="0"/>
    <x v="3"/>
    <x v="2"/>
    <x v="5"/>
    <x v="2"/>
  </r>
  <r>
    <s v="TX500823"/>
    <x v="6"/>
    <x v="1"/>
    <n v="47.2"/>
    <n v="94.4"/>
    <x v="34"/>
    <d v="2025-02-06T00:00:00"/>
    <x v="2"/>
    <x v="0"/>
    <x v="2"/>
    <x v="0"/>
    <x v="3"/>
    <x v="1"/>
    <x v="5"/>
    <x v="2"/>
  </r>
  <r>
    <s v="TX500824"/>
    <x v="7"/>
    <x v="1"/>
    <n v="58.6"/>
    <n v="117.2"/>
    <x v="34"/>
    <d v="2025-02-05T00:00:00"/>
    <x v="2"/>
    <x v="2"/>
    <x v="1"/>
    <x v="0"/>
    <x v="3"/>
    <x v="3"/>
    <x v="5"/>
    <x v="2"/>
  </r>
  <r>
    <s v="TX500825"/>
    <x v="4"/>
    <x v="2"/>
    <n v="57"/>
    <n v="171"/>
    <x v="34"/>
    <d v="2025-02-05T00:00:00"/>
    <x v="1"/>
    <x v="0"/>
    <x v="2"/>
    <x v="0"/>
    <x v="3"/>
    <x v="3"/>
    <x v="5"/>
    <x v="1"/>
  </r>
  <r>
    <s v="TX500826"/>
    <x v="8"/>
    <x v="12"/>
    <n v="28.9"/>
    <n v="115.6"/>
    <x v="34"/>
    <d v="2025-02-08T00:00:00"/>
    <x v="1"/>
    <x v="2"/>
    <x v="0"/>
    <x v="0"/>
    <x v="3"/>
    <x v="5"/>
    <x v="5"/>
    <x v="1"/>
  </r>
  <r>
    <s v="TX500827"/>
    <x v="12"/>
    <x v="9"/>
    <n v="60.7"/>
    <n v="303.5"/>
    <x v="34"/>
    <d v="2025-02-08T00:00:00"/>
    <x v="0"/>
    <x v="1"/>
    <x v="1"/>
    <x v="0"/>
    <x v="3"/>
    <x v="5"/>
    <x v="5"/>
    <x v="0"/>
  </r>
  <r>
    <s v="TX500828"/>
    <x v="6"/>
    <x v="9"/>
    <n v="60.8"/>
    <n v="304"/>
    <x v="34"/>
    <d v="2025-02-08T00:00:00"/>
    <x v="1"/>
    <x v="0"/>
    <x v="1"/>
    <x v="0"/>
    <x v="3"/>
    <x v="5"/>
    <x v="5"/>
    <x v="1"/>
  </r>
  <r>
    <s v="TX500829"/>
    <x v="6"/>
    <x v="9"/>
    <n v="64.599999999999994"/>
    <n v="323"/>
    <x v="34"/>
    <d v="2025-02-05T00:00:00"/>
    <x v="2"/>
    <x v="3"/>
    <x v="0"/>
    <x v="0"/>
    <x v="3"/>
    <x v="3"/>
    <x v="5"/>
    <x v="2"/>
  </r>
  <r>
    <s v="TX500830"/>
    <x v="8"/>
    <x v="0"/>
    <n v="21.9"/>
    <n v="21.9"/>
    <x v="34"/>
    <d v="2025-02-07T00:00:00"/>
    <x v="1"/>
    <x v="1"/>
    <x v="2"/>
    <x v="0"/>
    <x v="4"/>
    <x v="2"/>
    <x v="5"/>
    <x v="1"/>
  </r>
  <r>
    <s v="TX500831"/>
    <x v="4"/>
    <x v="4"/>
    <n v="33.4"/>
    <n v="400.79999999999995"/>
    <x v="34"/>
    <d v="2025-02-06T00:00:00"/>
    <x v="2"/>
    <x v="0"/>
    <x v="0"/>
    <x v="0"/>
    <x v="23"/>
    <x v="1"/>
    <x v="5"/>
    <x v="2"/>
  </r>
  <r>
    <s v="TX500832"/>
    <x v="2"/>
    <x v="0"/>
    <n v="51.7"/>
    <n v="51.7"/>
    <x v="34"/>
    <d v="2025-02-05T00:00:00"/>
    <x v="0"/>
    <x v="0"/>
    <x v="0"/>
    <x v="0"/>
    <x v="6"/>
    <x v="3"/>
    <x v="5"/>
    <x v="0"/>
  </r>
  <r>
    <s v="TX500833"/>
    <x v="1"/>
    <x v="12"/>
    <n v="84.9"/>
    <n v="339.6"/>
    <x v="34"/>
    <d v="2025-02-05T00:00:00"/>
    <x v="2"/>
    <x v="1"/>
    <x v="1"/>
    <x v="0"/>
    <x v="6"/>
    <x v="3"/>
    <x v="5"/>
    <x v="2"/>
  </r>
  <r>
    <s v="TX500834"/>
    <x v="1"/>
    <x v="5"/>
    <n v="62.3"/>
    <n v="685.3"/>
    <x v="34"/>
    <d v="2025-02-05T00:00:00"/>
    <x v="2"/>
    <x v="2"/>
    <x v="2"/>
    <x v="0"/>
    <x v="7"/>
    <x v="3"/>
    <x v="5"/>
    <x v="2"/>
  </r>
  <r>
    <s v="TX500835"/>
    <x v="4"/>
    <x v="0"/>
    <n v="50.7"/>
    <n v="50.7"/>
    <x v="34"/>
    <d v="2025-02-06T00:00:00"/>
    <x v="1"/>
    <x v="2"/>
    <x v="2"/>
    <x v="0"/>
    <x v="8"/>
    <x v="1"/>
    <x v="5"/>
    <x v="1"/>
  </r>
  <r>
    <s v="TX500836"/>
    <x v="18"/>
    <x v="0"/>
    <n v="39.5"/>
    <n v="39.5"/>
    <x v="34"/>
    <d v="2025-02-05T00:00:00"/>
    <x v="1"/>
    <x v="4"/>
    <x v="1"/>
    <x v="0"/>
    <x v="8"/>
    <x v="3"/>
    <x v="5"/>
    <x v="1"/>
  </r>
  <r>
    <s v="TX500837"/>
    <x v="12"/>
    <x v="2"/>
    <n v="30.9"/>
    <n v="92.699999999999989"/>
    <x v="34"/>
    <d v="2025-02-05T00:00:00"/>
    <x v="0"/>
    <x v="4"/>
    <x v="2"/>
    <x v="0"/>
    <x v="8"/>
    <x v="3"/>
    <x v="5"/>
    <x v="0"/>
  </r>
  <r>
    <s v="TX500838"/>
    <x v="1"/>
    <x v="3"/>
    <n v="36.4"/>
    <n v="254.79999999999998"/>
    <x v="34"/>
    <d v="2025-02-07T00:00:00"/>
    <x v="2"/>
    <x v="0"/>
    <x v="2"/>
    <x v="0"/>
    <x v="8"/>
    <x v="2"/>
    <x v="5"/>
    <x v="2"/>
  </r>
  <r>
    <s v="TX500839"/>
    <x v="6"/>
    <x v="8"/>
    <n v="105.6"/>
    <n v="844.8"/>
    <x v="34"/>
    <d v="2025-02-14T00:00:00"/>
    <x v="2"/>
    <x v="0"/>
    <x v="0"/>
    <x v="0"/>
    <x v="8"/>
    <x v="14"/>
    <x v="5"/>
    <x v="2"/>
  </r>
  <r>
    <s v="TX500840"/>
    <x v="8"/>
    <x v="1"/>
    <n v="22.1"/>
    <n v="44.2"/>
    <x v="34"/>
    <d v="2025-02-05T00:00:00"/>
    <x v="2"/>
    <x v="0"/>
    <x v="2"/>
    <x v="0"/>
    <x v="17"/>
    <x v="3"/>
    <x v="5"/>
    <x v="2"/>
  </r>
  <r>
    <s v="TX500841"/>
    <x v="0"/>
    <x v="2"/>
    <n v="22.6"/>
    <n v="67.800000000000011"/>
    <x v="34"/>
    <d v="2025-02-05T00:00:00"/>
    <x v="2"/>
    <x v="2"/>
    <x v="0"/>
    <x v="0"/>
    <x v="17"/>
    <x v="3"/>
    <x v="5"/>
    <x v="2"/>
  </r>
  <r>
    <s v="TX500842"/>
    <x v="10"/>
    <x v="13"/>
    <n v="26.3"/>
    <n v="157.80000000000001"/>
    <x v="34"/>
    <d v="2025-02-04T00:00:00"/>
    <x v="2"/>
    <x v="2"/>
    <x v="0"/>
    <x v="0"/>
    <x v="9"/>
    <x v="7"/>
    <x v="5"/>
    <x v="2"/>
  </r>
  <r>
    <s v="TX500843"/>
    <x v="1"/>
    <x v="12"/>
    <n v="37.799999999999997"/>
    <n v="151.19999999999999"/>
    <x v="34"/>
    <d v="2025-02-05T00:00:00"/>
    <x v="2"/>
    <x v="0"/>
    <x v="2"/>
    <x v="0"/>
    <x v="11"/>
    <x v="3"/>
    <x v="5"/>
    <x v="2"/>
  </r>
  <r>
    <s v="TX500844"/>
    <x v="6"/>
    <x v="14"/>
    <n v="96"/>
    <n v="1632"/>
    <x v="34"/>
    <d v="2025-02-07T00:00:00"/>
    <x v="2"/>
    <x v="4"/>
    <x v="1"/>
    <x v="0"/>
    <x v="18"/>
    <x v="2"/>
    <x v="5"/>
    <x v="2"/>
  </r>
  <r>
    <s v="TX500845"/>
    <x v="1"/>
    <x v="0"/>
    <n v="83.6"/>
    <n v="83.6"/>
    <x v="34"/>
    <d v="2025-02-07T00:00:00"/>
    <x v="2"/>
    <x v="2"/>
    <x v="1"/>
    <x v="0"/>
    <x v="19"/>
    <x v="2"/>
    <x v="5"/>
    <x v="2"/>
  </r>
  <r>
    <s v="TX500846"/>
    <x v="2"/>
    <x v="13"/>
    <n v="72.599999999999994"/>
    <n v="435.59999999999997"/>
    <x v="34"/>
    <d v="2025-02-05T00:00:00"/>
    <x v="2"/>
    <x v="0"/>
    <x v="0"/>
    <x v="0"/>
    <x v="21"/>
    <x v="3"/>
    <x v="5"/>
    <x v="2"/>
  </r>
  <r>
    <s v="TX500847"/>
    <x v="5"/>
    <x v="28"/>
    <n v="69.099999999999994"/>
    <n v="1382"/>
    <x v="35"/>
    <d v="2025-02-11T00:00:00"/>
    <x v="1"/>
    <x v="0"/>
    <x v="2"/>
    <x v="0"/>
    <x v="21"/>
    <x v="4"/>
    <x v="5"/>
    <x v="1"/>
  </r>
  <r>
    <s v="TX500848"/>
    <x v="4"/>
    <x v="1"/>
    <n v="22.6"/>
    <n v="45.2"/>
    <x v="35"/>
    <d v="2025-02-07T00:00:00"/>
    <x v="2"/>
    <x v="1"/>
    <x v="2"/>
    <x v="0"/>
    <x v="21"/>
    <x v="1"/>
    <x v="5"/>
    <x v="2"/>
  </r>
  <r>
    <s v="TX500849"/>
    <x v="6"/>
    <x v="1"/>
    <n v="45.3"/>
    <n v="90.6"/>
    <x v="35"/>
    <d v="2025-02-09T00:00:00"/>
    <x v="1"/>
    <x v="4"/>
    <x v="2"/>
    <x v="0"/>
    <x v="21"/>
    <x v="5"/>
    <x v="5"/>
    <x v="1"/>
  </r>
  <r>
    <s v="TX500850"/>
    <x v="2"/>
    <x v="1"/>
    <n v="115.1"/>
    <n v="230.2"/>
    <x v="35"/>
    <d v="2025-02-06T00:00:00"/>
    <x v="2"/>
    <x v="1"/>
    <x v="0"/>
    <x v="0"/>
    <x v="1"/>
    <x v="3"/>
    <x v="5"/>
    <x v="2"/>
  </r>
  <r>
    <s v="TX500851"/>
    <x v="18"/>
    <x v="12"/>
    <n v="79"/>
    <n v="316"/>
    <x v="35"/>
    <d v="2025-02-07T00:00:00"/>
    <x v="1"/>
    <x v="2"/>
    <x v="4"/>
    <x v="0"/>
    <x v="1"/>
    <x v="1"/>
    <x v="5"/>
    <x v="1"/>
  </r>
  <r>
    <s v="TX500852"/>
    <x v="6"/>
    <x v="9"/>
    <n v="52.8"/>
    <n v="264"/>
    <x v="35"/>
    <d v="2025-02-06T00:00:00"/>
    <x v="2"/>
    <x v="0"/>
    <x v="0"/>
    <x v="0"/>
    <x v="42"/>
    <x v="3"/>
    <x v="5"/>
    <x v="2"/>
  </r>
  <r>
    <s v="TX500853"/>
    <x v="8"/>
    <x v="1"/>
    <n v="34.1"/>
    <n v="68.2"/>
    <x v="35"/>
    <d v="2025-02-06T00:00:00"/>
    <x v="1"/>
    <x v="3"/>
    <x v="2"/>
    <x v="0"/>
    <x v="44"/>
    <x v="3"/>
    <x v="5"/>
    <x v="1"/>
  </r>
  <r>
    <s v="TX500854"/>
    <x v="6"/>
    <x v="9"/>
    <n v="107.9"/>
    <n v="539.5"/>
    <x v="35"/>
    <d v="2025-02-05T00:00:00"/>
    <x v="2"/>
    <x v="0"/>
    <x v="2"/>
    <x v="0"/>
    <x v="50"/>
    <x v="7"/>
    <x v="5"/>
    <x v="2"/>
  </r>
  <r>
    <s v="TX500855"/>
    <x v="8"/>
    <x v="15"/>
    <n v="48.5"/>
    <n v="630.5"/>
    <x v="35"/>
    <d v="2025-02-05T00:00:00"/>
    <x v="1"/>
    <x v="2"/>
    <x v="2"/>
    <x v="0"/>
    <x v="3"/>
    <x v="7"/>
    <x v="5"/>
    <x v="1"/>
  </r>
  <r>
    <s v="TX500856"/>
    <x v="5"/>
    <x v="2"/>
    <n v="34.700000000000003"/>
    <n v="104.10000000000001"/>
    <x v="35"/>
    <d v="2025-02-06T00:00:00"/>
    <x v="0"/>
    <x v="4"/>
    <x v="1"/>
    <x v="0"/>
    <x v="3"/>
    <x v="3"/>
    <x v="5"/>
    <x v="0"/>
  </r>
  <r>
    <s v="TX500857"/>
    <x v="8"/>
    <x v="0"/>
    <n v="16.8"/>
    <n v="16.8"/>
    <x v="35"/>
    <d v="2025-02-07T00:00:00"/>
    <x v="2"/>
    <x v="3"/>
    <x v="0"/>
    <x v="0"/>
    <x v="3"/>
    <x v="1"/>
    <x v="5"/>
    <x v="2"/>
  </r>
  <r>
    <s v="TX500858"/>
    <x v="8"/>
    <x v="13"/>
    <n v="18.3"/>
    <n v="109.80000000000001"/>
    <x v="35"/>
    <d v="2025-02-08T00:00:00"/>
    <x v="2"/>
    <x v="0"/>
    <x v="0"/>
    <x v="0"/>
    <x v="3"/>
    <x v="2"/>
    <x v="5"/>
    <x v="2"/>
  </r>
  <r>
    <s v="TX500859"/>
    <x v="18"/>
    <x v="2"/>
    <n v="55.9"/>
    <n v="167.7"/>
    <x v="35"/>
    <d v="2025-02-11T00:00:00"/>
    <x v="1"/>
    <x v="3"/>
    <x v="1"/>
    <x v="0"/>
    <x v="3"/>
    <x v="4"/>
    <x v="5"/>
    <x v="1"/>
  </r>
  <r>
    <s v="TX500860"/>
    <x v="8"/>
    <x v="2"/>
    <n v="39.200000000000003"/>
    <n v="117.60000000000001"/>
    <x v="35"/>
    <d v="2025-02-07T00:00:00"/>
    <x v="2"/>
    <x v="0"/>
    <x v="1"/>
    <x v="0"/>
    <x v="3"/>
    <x v="1"/>
    <x v="5"/>
    <x v="2"/>
  </r>
  <r>
    <s v="TX500861"/>
    <x v="15"/>
    <x v="12"/>
    <n v="66.5"/>
    <n v="266"/>
    <x v="35"/>
    <d v="2025-02-07T00:00:00"/>
    <x v="0"/>
    <x v="3"/>
    <x v="1"/>
    <x v="0"/>
    <x v="3"/>
    <x v="1"/>
    <x v="5"/>
    <x v="0"/>
  </r>
  <r>
    <s v="TX500862"/>
    <x v="6"/>
    <x v="13"/>
    <n v="52.1"/>
    <n v="312.60000000000002"/>
    <x v="35"/>
    <d v="2025-02-07T00:00:00"/>
    <x v="1"/>
    <x v="1"/>
    <x v="1"/>
    <x v="0"/>
    <x v="16"/>
    <x v="1"/>
    <x v="5"/>
    <x v="1"/>
  </r>
  <r>
    <s v="TX500863"/>
    <x v="8"/>
    <x v="1"/>
    <n v="19"/>
    <n v="38"/>
    <x v="35"/>
    <d v="2025-02-06T00:00:00"/>
    <x v="1"/>
    <x v="4"/>
    <x v="2"/>
    <x v="0"/>
    <x v="6"/>
    <x v="3"/>
    <x v="5"/>
    <x v="1"/>
  </r>
  <r>
    <s v="TX500864"/>
    <x v="7"/>
    <x v="2"/>
    <n v="84.8"/>
    <n v="254.39999999999998"/>
    <x v="35"/>
    <d v="2025-02-07T00:00:00"/>
    <x v="2"/>
    <x v="2"/>
    <x v="0"/>
    <x v="0"/>
    <x v="8"/>
    <x v="1"/>
    <x v="5"/>
    <x v="2"/>
  </r>
  <r>
    <s v="TX500865"/>
    <x v="2"/>
    <x v="12"/>
    <n v="63.9"/>
    <n v="255.6"/>
    <x v="35"/>
    <d v="2025-02-08T00:00:00"/>
    <x v="2"/>
    <x v="0"/>
    <x v="0"/>
    <x v="0"/>
    <x v="8"/>
    <x v="2"/>
    <x v="5"/>
    <x v="2"/>
  </r>
  <r>
    <s v="TX500866"/>
    <x v="2"/>
    <x v="2"/>
    <n v="65.5"/>
    <n v="196.5"/>
    <x v="35"/>
    <d v="2025-02-05T00:00:00"/>
    <x v="2"/>
    <x v="1"/>
    <x v="1"/>
    <x v="0"/>
    <x v="8"/>
    <x v="7"/>
    <x v="5"/>
    <x v="2"/>
  </r>
  <r>
    <s v="TX500867"/>
    <x v="12"/>
    <x v="1"/>
    <n v="116.2"/>
    <n v="232.4"/>
    <x v="35"/>
    <d v="2025-02-11T00:00:00"/>
    <x v="1"/>
    <x v="3"/>
    <x v="0"/>
    <x v="0"/>
    <x v="17"/>
    <x v="4"/>
    <x v="5"/>
    <x v="1"/>
  </r>
  <r>
    <s v="TX500868"/>
    <x v="10"/>
    <x v="12"/>
    <n v="22.9"/>
    <n v="91.6"/>
    <x v="35"/>
    <d v="2025-02-07T00:00:00"/>
    <x v="2"/>
    <x v="2"/>
    <x v="1"/>
    <x v="0"/>
    <x v="38"/>
    <x v="1"/>
    <x v="5"/>
    <x v="2"/>
  </r>
  <r>
    <s v="TX500869"/>
    <x v="10"/>
    <x v="2"/>
    <n v="53.7"/>
    <n v="161.10000000000002"/>
    <x v="35"/>
    <d v="2025-02-06T00:00:00"/>
    <x v="1"/>
    <x v="0"/>
    <x v="4"/>
    <x v="0"/>
    <x v="18"/>
    <x v="3"/>
    <x v="5"/>
    <x v="1"/>
  </r>
  <r>
    <s v="TX500870"/>
    <x v="6"/>
    <x v="9"/>
    <n v="43.2"/>
    <n v="216"/>
    <x v="35"/>
    <d v="2025-02-07T00:00:00"/>
    <x v="2"/>
    <x v="0"/>
    <x v="0"/>
    <x v="0"/>
    <x v="19"/>
    <x v="1"/>
    <x v="5"/>
    <x v="2"/>
  </r>
  <r>
    <s v="TX500871"/>
    <x v="1"/>
    <x v="2"/>
    <n v="84.5"/>
    <n v="253.5"/>
    <x v="35"/>
    <d v="2025-02-07T00:00:00"/>
    <x v="1"/>
    <x v="2"/>
    <x v="2"/>
    <x v="0"/>
    <x v="51"/>
    <x v="1"/>
    <x v="5"/>
    <x v="1"/>
  </r>
  <r>
    <s v="TX500872"/>
    <x v="3"/>
    <x v="1"/>
    <n v="42.2"/>
    <n v="84.4"/>
    <x v="35"/>
    <d v="2025-02-06T00:00:00"/>
    <x v="2"/>
    <x v="1"/>
    <x v="2"/>
    <x v="0"/>
    <x v="1"/>
    <x v="3"/>
    <x v="5"/>
    <x v="2"/>
  </r>
  <r>
    <s v="TX500873"/>
    <x v="2"/>
    <x v="13"/>
    <n v="94.7"/>
    <n v="568.20000000000005"/>
    <x v="35"/>
    <d v="2025-02-08T00:00:00"/>
    <x v="2"/>
    <x v="1"/>
    <x v="2"/>
    <x v="0"/>
    <x v="2"/>
    <x v="2"/>
    <x v="5"/>
    <x v="2"/>
  </r>
  <r>
    <s v="TX500874"/>
    <x v="8"/>
    <x v="16"/>
    <n v="16.7"/>
    <n v="300.59999999999997"/>
    <x v="35"/>
    <d v="2025-02-17T00:00:00"/>
    <x v="2"/>
    <x v="0"/>
    <x v="2"/>
    <x v="0"/>
    <x v="2"/>
    <x v="13"/>
    <x v="5"/>
    <x v="2"/>
  </r>
  <r>
    <s v="TX500875"/>
    <x v="2"/>
    <x v="1"/>
    <n v="83.6"/>
    <n v="167.2"/>
    <x v="35"/>
    <d v="2025-02-11T00:00:00"/>
    <x v="2"/>
    <x v="1"/>
    <x v="0"/>
    <x v="0"/>
    <x v="3"/>
    <x v="4"/>
    <x v="5"/>
    <x v="2"/>
  </r>
  <r>
    <s v="TX500876"/>
    <x v="7"/>
    <x v="13"/>
    <n v="33.6"/>
    <n v="201.60000000000002"/>
    <x v="36"/>
    <d v="2025-02-07T00:00:00"/>
    <x v="2"/>
    <x v="3"/>
    <x v="0"/>
    <x v="0"/>
    <x v="3"/>
    <x v="3"/>
    <x v="5"/>
    <x v="2"/>
  </r>
  <r>
    <s v="TX500877"/>
    <x v="7"/>
    <x v="1"/>
    <n v="64.7"/>
    <n v="129.4"/>
    <x v="36"/>
    <d v="2025-02-08T00:00:00"/>
    <x v="1"/>
    <x v="1"/>
    <x v="2"/>
    <x v="0"/>
    <x v="3"/>
    <x v="1"/>
    <x v="5"/>
    <x v="1"/>
  </r>
  <r>
    <s v="TX500878"/>
    <x v="0"/>
    <x v="2"/>
    <n v="15.7"/>
    <n v="47.099999999999994"/>
    <x v="36"/>
    <d v="2025-02-12T00:00:00"/>
    <x v="2"/>
    <x v="0"/>
    <x v="0"/>
    <x v="0"/>
    <x v="3"/>
    <x v="4"/>
    <x v="5"/>
    <x v="2"/>
  </r>
  <r>
    <s v="TX500879"/>
    <x v="15"/>
    <x v="13"/>
    <n v="49.4"/>
    <n v="296.39999999999998"/>
    <x v="36"/>
    <d v="2025-02-06T00:00:00"/>
    <x v="1"/>
    <x v="1"/>
    <x v="0"/>
    <x v="0"/>
    <x v="3"/>
    <x v="7"/>
    <x v="5"/>
    <x v="1"/>
  </r>
  <r>
    <s v="TX500880"/>
    <x v="10"/>
    <x v="13"/>
    <n v="37"/>
    <n v="222"/>
    <x v="36"/>
    <d v="2025-02-09T00:00:00"/>
    <x v="2"/>
    <x v="1"/>
    <x v="2"/>
    <x v="0"/>
    <x v="3"/>
    <x v="2"/>
    <x v="5"/>
    <x v="2"/>
  </r>
  <r>
    <s v="TX500881"/>
    <x v="2"/>
    <x v="1"/>
    <n v="83.7"/>
    <n v="167.4"/>
    <x v="36"/>
    <d v="2025-02-08T00:00:00"/>
    <x v="2"/>
    <x v="3"/>
    <x v="2"/>
    <x v="0"/>
    <x v="3"/>
    <x v="1"/>
    <x v="5"/>
    <x v="2"/>
  </r>
  <r>
    <s v="TX500882"/>
    <x v="1"/>
    <x v="9"/>
    <n v="35.1"/>
    <n v="175.5"/>
    <x v="36"/>
    <d v="2025-02-07T00:00:00"/>
    <x v="2"/>
    <x v="0"/>
    <x v="0"/>
    <x v="0"/>
    <x v="3"/>
    <x v="3"/>
    <x v="5"/>
    <x v="2"/>
  </r>
  <r>
    <s v="TX500883"/>
    <x v="16"/>
    <x v="8"/>
    <n v="74"/>
    <n v="592"/>
    <x v="36"/>
    <d v="2025-02-07T00:00:00"/>
    <x v="2"/>
    <x v="4"/>
    <x v="0"/>
    <x v="0"/>
    <x v="37"/>
    <x v="3"/>
    <x v="5"/>
    <x v="2"/>
  </r>
  <r>
    <s v="TX500884"/>
    <x v="6"/>
    <x v="25"/>
    <n v="55.5"/>
    <n v="1332"/>
    <x v="36"/>
    <d v="2025-02-09T00:00:00"/>
    <x v="1"/>
    <x v="3"/>
    <x v="0"/>
    <x v="0"/>
    <x v="49"/>
    <x v="2"/>
    <x v="5"/>
    <x v="1"/>
  </r>
  <r>
    <s v="TX500885"/>
    <x v="11"/>
    <x v="1"/>
    <n v="38.9"/>
    <n v="77.8"/>
    <x v="36"/>
    <d v="2025-02-08T00:00:00"/>
    <x v="2"/>
    <x v="1"/>
    <x v="2"/>
    <x v="0"/>
    <x v="25"/>
    <x v="1"/>
    <x v="5"/>
    <x v="2"/>
  </r>
  <r>
    <s v="TX500886"/>
    <x v="16"/>
    <x v="1"/>
    <n v="64.599999999999994"/>
    <n v="129.19999999999999"/>
    <x v="36"/>
    <d v="2025-02-13T00:00:00"/>
    <x v="1"/>
    <x v="2"/>
    <x v="1"/>
    <x v="0"/>
    <x v="25"/>
    <x v="6"/>
    <x v="5"/>
    <x v="1"/>
  </r>
  <r>
    <s v="TX500887"/>
    <x v="2"/>
    <x v="2"/>
    <n v="95.3"/>
    <n v="285.89999999999998"/>
    <x v="36"/>
    <d v="2025-02-07T00:00:00"/>
    <x v="1"/>
    <x v="0"/>
    <x v="0"/>
    <x v="0"/>
    <x v="5"/>
    <x v="3"/>
    <x v="5"/>
    <x v="1"/>
  </r>
  <r>
    <s v="TX500888"/>
    <x v="13"/>
    <x v="2"/>
    <n v="25.8"/>
    <n v="77.400000000000006"/>
    <x v="36"/>
    <d v="2025-02-07T00:00:00"/>
    <x v="2"/>
    <x v="1"/>
    <x v="1"/>
    <x v="0"/>
    <x v="6"/>
    <x v="3"/>
    <x v="5"/>
    <x v="2"/>
  </r>
  <r>
    <s v="TX500889"/>
    <x v="0"/>
    <x v="1"/>
    <n v="11.6"/>
    <n v="23.2"/>
    <x v="36"/>
    <d v="2025-02-10T00:00:00"/>
    <x v="2"/>
    <x v="1"/>
    <x v="1"/>
    <x v="0"/>
    <x v="6"/>
    <x v="5"/>
    <x v="5"/>
    <x v="2"/>
  </r>
  <r>
    <s v="TX500890"/>
    <x v="7"/>
    <x v="0"/>
    <n v="52.3"/>
    <n v="52.3"/>
    <x v="36"/>
    <d v="2025-02-07T00:00:00"/>
    <x v="2"/>
    <x v="1"/>
    <x v="0"/>
    <x v="0"/>
    <x v="8"/>
    <x v="3"/>
    <x v="5"/>
    <x v="2"/>
  </r>
  <r>
    <s v="TX500891"/>
    <x v="2"/>
    <x v="7"/>
    <n v="112.2"/>
    <n v="1122"/>
    <x v="36"/>
    <d v="2025-02-07T00:00:00"/>
    <x v="2"/>
    <x v="1"/>
    <x v="1"/>
    <x v="0"/>
    <x v="8"/>
    <x v="3"/>
    <x v="5"/>
    <x v="2"/>
  </r>
  <r>
    <s v="TX500892"/>
    <x v="4"/>
    <x v="9"/>
    <n v="34.6"/>
    <n v="173"/>
    <x v="36"/>
    <d v="2025-02-08T00:00:00"/>
    <x v="1"/>
    <x v="2"/>
    <x v="0"/>
    <x v="0"/>
    <x v="8"/>
    <x v="1"/>
    <x v="5"/>
    <x v="1"/>
  </r>
  <r>
    <s v="TX500893"/>
    <x v="14"/>
    <x v="12"/>
    <n v="20.100000000000001"/>
    <n v="80.400000000000006"/>
    <x v="36"/>
    <d v="2025-02-12T00:00:00"/>
    <x v="1"/>
    <x v="1"/>
    <x v="2"/>
    <x v="0"/>
    <x v="8"/>
    <x v="4"/>
    <x v="5"/>
    <x v="1"/>
  </r>
  <r>
    <s v="TX500894"/>
    <x v="2"/>
    <x v="12"/>
    <n v="56.4"/>
    <n v="225.6"/>
    <x v="36"/>
    <d v="2025-02-08T00:00:00"/>
    <x v="2"/>
    <x v="2"/>
    <x v="0"/>
    <x v="0"/>
    <x v="10"/>
    <x v="1"/>
    <x v="5"/>
    <x v="2"/>
  </r>
  <r>
    <s v="TX500895"/>
    <x v="13"/>
    <x v="11"/>
    <n v="55.3"/>
    <n v="497.7"/>
    <x v="36"/>
    <d v="2025-02-08T00:00:00"/>
    <x v="2"/>
    <x v="1"/>
    <x v="4"/>
    <x v="0"/>
    <x v="11"/>
    <x v="1"/>
    <x v="5"/>
    <x v="2"/>
  </r>
  <r>
    <s v="TX500896"/>
    <x v="2"/>
    <x v="31"/>
    <n v="75.5"/>
    <n v="2114"/>
    <x v="36"/>
    <d v="2025-02-07T00:00:00"/>
    <x v="2"/>
    <x v="0"/>
    <x v="0"/>
    <x v="0"/>
    <x v="11"/>
    <x v="3"/>
    <x v="5"/>
    <x v="2"/>
  </r>
  <r>
    <s v="TX500897"/>
    <x v="8"/>
    <x v="0"/>
    <n v="23.6"/>
    <n v="23.6"/>
    <x v="36"/>
    <d v="2025-02-11T00:00:00"/>
    <x v="2"/>
    <x v="0"/>
    <x v="0"/>
    <x v="0"/>
    <x v="19"/>
    <x v="0"/>
    <x v="5"/>
    <x v="2"/>
  </r>
  <r>
    <s v="TX500898"/>
    <x v="9"/>
    <x v="1"/>
    <n v="70.7"/>
    <n v="141.4"/>
    <x v="36"/>
    <d v="2025-02-08T00:00:00"/>
    <x v="2"/>
    <x v="2"/>
    <x v="0"/>
    <x v="0"/>
    <x v="19"/>
    <x v="1"/>
    <x v="5"/>
    <x v="2"/>
  </r>
  <r>
    <s v="TX500899"/>
    <x v="12"/>
    <x v="1"/>
    <n v="43.2"/>
    <n v="86.4"/>
    <x v="36"/>
    <d v="2025-02-07T00:00:00"/>
    <x v="2"/>
    <x v="2"/>
    <x v="0"/>
    <x v="0"/>
    <x v="31"/>
    <x v="3"/>
    <x v="5"/>
    <x v="2"/>
  </r>
  <r>
    <s v="TX500900"/>
    <x v="9"/>
    <x v="11"/>
    <n v="70"/>
    <n v="630"/>
    <x v="36"/>
    <d v="2025-02-07T00:00:00"/>
    <x v="0"/>
    <x v="1"/>
    <x v="0"/>
    <x v="0"/>
    <x v="52"/>
    <x v="3"/>
    <x v="5"/>
    <x v="0"/>
  </r>
  <r>
    <s v="TX500901"/>
    <x v="0"/>
    <x v="1"/>
    <n v="20.5"/>
    <n v="41"/>
    <x v="36"/>
    <d v="2025-02-08T00:00:00"/>
    <x v="2"/>
    <x v="2"/>
    <x v="4"/>
    <x v="0"/>
    <x v="13"/>
    <x v="1"/>
    <x v="5"/>
    <x v="2"/>
  </r>
  <r>
    <s v="TX500902"/>
    <x v="0"/>
    <x v="12"/>
    <n v="29.1"/>
    <n v="116.4"/>
    <x v="36"/>
    <d v="2025-02-07T00:00:00"/>
    <x v="2"/>
    <x v="3"/>
    <x v="0"/>
    <x v="0"/>
    <x v="28"/>
    <x v="3"/>
    <x v="5"/>
    <x v="2"/>
  </r>
  <r>
    <s v="TX500903"/>
    <x v="6"/>
    <x v="11"/>
    <n v="53.6"/>
    <n v="482.40000000000003"/>
    <x v="36"/>
    <d v="2025-02-07T00:00:00"/>
    <x v="1"/>
    <x v="2"/>
    <x v="1"/>
    <x v="0"/>
    <x v="3"/>
    <x v="3"/>
    <x v="5"/>
    <x v="1"/>
  </r>
  <r>
    <s v="TX500904"/>
    <x v="6"/>
    <x v="9"/>
    <n v="72.3"/>
    <n v="361.5"/>
    <x v="36"/>
    <d v="2025-02-08T00:00:00"/>
    <x v="2"/>
    <x v="1"/>
    <x v="0"/>
    <x v="0"/>
    <x v="3"/>
    <x v="1"/>
    <x v="5"/>
    <x v="2"/>
  </r>
  <r>
    <s v="TX500905"/>
    <x v="13"/>
    <x v="12"/>
    <n v="22.6"/>
    <n v="90.4"/>
    <x v="36"/>
    <d v="2025-02-09T00:00:00"/>
    <x v="3"/>
    <x v="0"/>
    <x v="1"/>
    <x v="0"/>
    <x v="3"/>
    <x v="2"/>
    <x v="5"/>
    <x v="3"/>
  </r>
  <r>
    <s v="TX500906"/>
    <x v="9"/>
    <x v="1"/>
    <n v="44.2"/>
    <n v="88.4"/>
    <x v="36"/>
    <d v="2025-02-10T00:00:00"/>
    <x v="0"/>
    <x v="2"/>
    <x v="4"/>
    <x v="0"/>
    <x v="3"/>
    <x v="5"/>
    <x v="5"/>
    <x v="0"/>
  </r>
  <r>
    <s v="TX500907"/>
    <x v="9"/>
    <x v="2"/>
    <n v="94.1"/>
    <n v="282.29999999999995"/>
    <x v="36"/>
    <d v="2025-02-19T00:00:00"/>
    <x v="2"/>
    <x v="2"/>
    <x v="2"/>
    <x v="0"/>
    <x v="3"/>
    <x v="10"/>
    <x v="5"/>
    <x v="2"/>
  </r>
  <r>
    <s v="TX500908"/>
    <x v="8"/>
    <x v="2"/>
    <n v="17.899999999999999"/>
    <n v="53.699999999999996"/>
    <x v="36"/>
    <d v="2025-02-08T00:00:00"/>
    <x v="1"/>
    <x v="1"/>
    <x v="1"/>
    <x v="0"/>
    <x v="3"/>
    <x v="1"/>
    <x v="5"/>
    <x v="1"/>
  </r>
  <r>
    <s v="TX500909"/>
    <x v="12"/>
    <x v="3"/>
    <n v="52.7"/>
    <n v="368.90000000000003"/>
    <x v="36"/>
    <d v="2025-02-07T00:00:00"/>
    <x v="1"/>
    <x v="1"/>
    <x v="1"/>
    <x v="0"/>
    <x v="3"/>
    <x v="3"/>
    <x v="5"/>
    <x v="1"/>
  </r>
  <r>
    <s v="TX500910"/>
    <x v="8"/>
    <x v="0"/>
    <n v="36.799999999999997"/>
    <n v="36.799999999999997"/>
    <x v="36"/>
    <d v="2025-02-06T00:00:00"/>
    <x v="0"/>
    <x v="0"/>
    <x v="2"/>
    <x v="0"/>
    <x v="3"/>
    <x v="7"/>
    <x v="5"/>
    <x v="0"/>
  </r>
  <r>
    <s v="TX500911"/>
    <x v="4"/>
    <x v="0"/>
    <n v="52.5"/>
    <n v="52.5"/>
    <x v="36"/>
    <d v="2025-02-07T00:00:00"/>
    <x v="1"/>
    <x v="0"/>
    <x v="1"/>
    <x v="0"/>
    <x v="6"/>
    <x v="3"/>
    <x v="5"/>
    <x v="1"/>
  </r>
  <r>
    <s v="TX500912"/>
    <x v="2"/>
    <x v="1"/>
    <n v="133.80000000000001"/>
    <n v="267.60000000000002"/>
    <x v="36"/>
    <d v="2025-02-08T00:00:00"/>
    <x v="1"/>
    <x v="0"/>
    <x v="1"/>
    <x v="0"/>
    <x v="7"/>
    <x v="1"/>
    <x v="5"/>
    <x v="1"/>
  </r>
  <r>
    <s v="TX500913"/>
    <x v="6"/>
    <x v="1"/>
    <n v="53.2"/>
    <n v="106.4"/>
    <x v="36"/>
    <d v="2025-02-08T00:00:00"/>
    <x v="1"/>
    <x v="0"/>
    <x v="0"/>
    <x v="0"/>
    <x v="17"/>
    <x v="1"/>
    <x v="5"/>
    <x v="1"/>
  </r>
  <r>
    <s v="TX500914"/>
    <x v="14"/>
    <x v="13"/>
    <n v="18.7"/>
    <n v="112.19999999999999"/>
    <x v="36"/>
    <d v="2025-02-08T00:00:00"/>
    <x v="0"/>
    <x v="0"/>
    <x v="1"/>
    <x v="0"/>
    <x v="10"/>
    <x v="1"/>
    <x v="5"/>
    <x v="0"/>
  </r>
  <r>
    <s v="TX500915"/>
    <x v="6"/>
    <x v="12"/>
    <n v="108.8"/>
    <n v="435.2"/>
    <x v="36"/>
    <d v="2025-02-07T00:00:00"/>
    <x v="2"/>
    <x v="3"/>
    <x v="2"/>
    <x v="0"/>
    <x v="11"/>
    <x v="3"/>
    <x v="5"/>
    <x v="2"/>
  </r>
  <r>
    <s v="TX500916"/>
    <x v="15"/>
    <x v="9"/>
    <n v="38.5"/>
    <n v="192.5"/>
    <x v="36"/>
    <d v="2025-02-10T00:00:00"/>
    <x v="2"/>
    <x v="0"/>
    <x v="1"/>
    <x v="0"/>
    <x v="14"/>
    <x v="5"/>
    <x v="5"/>
    <x v="2"/>
  </r>
  <r>
    <s v="TX500917"/>
    <x v="10"/>
    <x v="7"/>
    <n v="46.5"/>
    <n v="465"/>
    <x v="36"/>
    <d v="2025-02-08T00:00:00"/>
    <x v="1"/>
    <x v="2"/>
    <x v="1"/>
    <x v="0"/>
    <x v="2"/>
    <x v="1"/>
    <x v="5"/>
    <x v="1"/>
  </r>
  <r>
    <s v="TX500918"/>
    <x v="2"/>
    <x v="2"/>
    <n v="75.8"/>
    <n v="227.39999999999998"/>
    <x v="36"/>
    <d v="2025-02-10T00:00:00"/>
    <x v="2"/>
    <x v="1"/>
    <x v="4"/>
    <x v="0"/>
    <x v="44"/>
    <x v="5"/>
    <x v="5"/>
    <x v="2"/>
  </r>
  <r>
    <s v="TX500919"/>
    <x v="8"/>
    <x v="0"/>
    <n v="20.9"/>
    <n v="20.9"/>
    <x v="36"/>
    <d v="2025-02-10T00:00:00"/>
    <x v="1"/>
    <x v="0"/>
    <x v="0"/>
    <x v="0"/>
    <x v="22"/>
    <x v="5"/>
    <x v="5"/>
    <x v="1"/>
  </r>
  <r>
    <s v="TX500920"/>
    <x v="18"/>
    <x v="2"/>
    <n v="47.4"/>
    <n v="142.19999999999999"/>
    <x v="36"/>
    <d v="2025-02-09T00:00:00"/>
    <x v="2"/>
    <x v="0"/>
    <x v="0"/>
    <x v="0"/>
    <x v="3"/>
    <x v="2"/>
    <x v="5"/>
    <x v="2"/>
  </r>
  <r>
    <s v="TX500921"/>
    <x v="9"/>
    <x v="1"/>
    <n v="53.8"/>
    <n v="107.6"/>
    <x v="36"/>
    <d v="2025-02-07T00:00:00"/>
    <x v="0"/>
    <x v="0"/>
    <x v="1"/>
    <x v="0"/>
    <x v="3"/>
    <x v="3"/>
    <x v="5"/>
    <x v="0"/>
  </r>
  <r>
    <s v="TX500922"/>
    <x v="8"/>
    <x v="2"/>
    <n v="24.6"/>
    <n v="73.800000000000011"/>
    <x v="36"/>
    <d v="2025-02-08T00:00:00"/>
    <x v="3"/>
    <x v="1"/>
    <x v="2"/>
    <x v="0"/>
    <x v="3"/>
    <x v="1"/>
    <x v="5"/>
    <x v="3"/>
  </r>
  <r>
    <s v="TX500923"/>
    <x v="9"/>
    <x v="2"/>
    <n v="70.900000000000006"/>
    <n v="212.70000000000002"/>
    <x v="36"/>
    <d v="2025-02-11T00:00:00"/>
    <x v="2"/>
    <x v="2"/>
    <x v="2"/>
    <x v="0"/>
    <x v="3"/>
    <x v="0"/>
    <x v="5"/>
    <x v="2"/>
  </r>
  <r>
    <s v="TX500924"/>
    <x v="17"/>
    <x v="2"/>
    <n v="31.9"/>
    <n v="95.699999999999989"/>
    <x v="36"/>
    <d v="2025-02-08T00:00:00"/>
    <x v="2"/>
    <x v="2"/>
    <x v="2"/>
    <x v="0"/>
    <x v="3"/>
    <x v="1"/>
    <x v="5"/>
    <x v="2"/>
  </r>
  <r>
    <s v="TX500925"/>
    <x v="0"/>
    <x v="1"/>
    <n v="20.399999999999999"/>
    <n v="40.799999999999997"/>
    <x v="36"/>
    <d v="2025-02-10T00:00:00"/>
    <x v="1"/>
    <x v="3"/>
    <x v="2"/>
    <x v="0"/>
    <x v="3"/>
    <x v="5"/>
    <x v="5"/>
    <x v="1"/>
  </r>
  <r>
    <s v="TX500926"/>
    <x v="8"/>
    <x v="1"/>
    <n v="18.600000000000001"/>
    <n v="37.200000000000003"/>
    <x v="36"/>
    <d v="2025-02-08T00:00:00"/>
    <x v="0"/>
    <x v="0"/>
    <x v="1"/>
    <x v="0"/>
    <x v="3"/>
    <x v="1"/>
    <x v="5"/>
    <x v="0"/>
  </r>
  <r>
    <s v="TX500927"/>
    <x v="4"/>
    <x v="9"/>
    <n v="48.3"/>
    <n v="241.5"/>
    <x v="36"/>
    <d v="2025-02-08T00:00:00"/>
    <x v="2"/>
    <x v="1"/>
    <x v="0"/>
    <x v="0"/>
    <x v="3"/>
    <x v="1"/>
    <x v="5"/>
    <x v="2"/>
  </r>
  <r>
    <s v="TX500928"/>
    <x v="0"/>
    <x v="12"/>
    <n v="27.7"/>
    <n v="110.8"/>
    <x v="36"/>
    <d v="2025-02-08T00:00:00"/>
    <x v="2"/>
    <x v="0"/>
    <x v="0"/>
    <x v="0"/>
    <x v="3"/>
    <x v="1"/>
    <x v="5"/>
    <x v="2"/>
  </r>
  <r>
    <s v="TX500929"/>
    <x v="4"/>
    <x v="9"/>
    <n v="22.5"/>
    <n v="112.5"/>
    <x v="36"/>
    <d v="2025-02-08T00:00:00"/>
    <x v="2"/>
    <x v="4"/>
    <x v="2"/>
    <x v="0"/>
    <x v="3"/>
    <x v="1"/>
    <x v="5"/>
    <x v="2"/>
  </r>
  <r>
    <s v="TX500930"/>
    <x v="17"/>
    <x v="9"/>
    <n v="21.6"/>
    <n v="108"/>
    <x v="36"/>
    <d v="2025-02-14T00:00:00"/>
    <x v="2"/>
    <x v="0"/>
    <x v="1"/>
    <x v="0"/>
    <x v="3"/>
    <x v="9"/>
    <x v="5"/>
    <x v="2"/>
  </r>
  <r>
    <s v="TX500931"/>
    <x v="10"/>
    <x v="3"/>
    <n v="26.3"/>
    <n v="184.1"/>
    <x v="36"/>
    <d v="2025-02-06T00:00:00"/>
    <x v="2"/>
    <x v="2"/>
    <x v="1"/>
    <x v="0"/>
    <x v="3"/>
    <x v="7"/>
    <x v="5"/>
    <x v="2"/>
  </r>
  <r>
    <s v="TX500932"/>
    <x v="6"/>
    <x v="3"/>
    <n v="103"/>
    <n v="721"/>
    <x v="37"/>
    <d v="2025-02-08T00:00:00"/>
    <x v="1"/>
    <x v="0"/>
    <x v="2"/>
    <x v="0"/>
    <x v="6"/>
    <x v="3"/>
    <x v="5"/>
    <x v="1"/>
  </r>
  <r>
    <s v="TX500933"/>
    <x v="5"/>
    <x v="20"/>
    <n v="46.6"/>
    <n v="699"/>
    <x v="37"/>
    <d v="2025-02-08T00:00:00"/>
    <x v="2"/>
    <x v="0"/>
    <x v="1"/>
    <x v="0"/>
    <x v="6"/>
    <x v="3"/>
    <x v="5"/>
    <x v="2"/>
  </r>
  <r>
    <s v="TX500934"/>
    <x v="0"/>
    <x v="9"/>
    <n v="32.200000000000003"/>
    <n v="161"/>
    <x v="37"/>
    <d v="2025-02-10T00:00:00"/>
    <x v="2"/>
    <x v="0"/>
    <x v="2"/>
    <x v="0"/>
    <x v="36"/>
    <x v="2"/>
    <x v="5"/>
    <x v="2"/>
  </r>
  <r>
    <s v="TX500935"/>
    <x v="8"/>
    <x v="2"/>
    <n v="22"/>
    <n v="66"/>
    <x v="37"/>
    <d v="2025-02-14T00:00:00"/>
    <x v="1"/>
    <x v="1"/>
    <x v="0"/>
    <x v="0"/>
    <x v="7"/>
    <x v="6"/>
    <x v="5"/>
    <x v="1"/>
  </r>
  <r>
    <s v="TX500936"/>
    <x v="0"/>
    <x v="1"/>
    <n v="25.2"/>
    <n v="50.4"/>
    <x v="37"/>
    <d v="2025-02-11T00:00:00"/>
    <x v="2"/>
    <x v="0"/>
    <x v="0"/>
    <x v="0"/>
    <x v="7"/>
    <x v="5"/>
    <x v="5"/>
    <x v="2"/>
  </r>
  <r>
    <s v="TX500937"/>
    <x v="1"/>
    <x v="13"/>
    <n v="68.7"/>
    <n v="412.20000000000005"/>
    <x v="37"/>
    <d v="2025-02-09T00:00:00"/>
    <x v="1"/>
    <x v="4"/>
    <x v="0"/>
    <x v="0"/>
    <x v="8"/>
    <x v="1"/>
    <x v="5"/>
    <x v="1"/>
  </r>
  <r>
    <s v="TX500938"/>
    <x v="0"/>
    <x v="2"/>
    <n v="22.2"/>
    <n v="66.599999999999994"/>
    <x v="37"/>
    <d v="2025-02-10T00:00:00"/>
    <x v="1"/>
    <x v="2"/>
    <x v="2"/>
    <x v="0"/>
    <x v="8"/>
    <x v="2"/>
    <x v="5"/>
    <x v="1"/>
  </r>
  <r>
    <s v="TX500939"/>
    <x v="1"/>
    <x v="3"/>
    <n v="36"/>
    <n v="252"/>
    <x v="37"/>
    <d v="2025-02-08T00:00:00"/>
    <x v="2"/>
    <x v="1"/>
    <x v="0"/>
    <x v="0"/>
    <x v="8"/>
    <x v="3"/>
    <x v="5"/>
    <x v="2"/>
  </r>
  <r>
    <s v="TX500940"/>
    <x v="18"/>
    <x v="0"/>
    <n v="50.6"/>
    <n v="50.6"/>
    <x v="37"/>
    <d v="2025-02-09T00:00:00"/>
    <x v="2"/>
    <x v="0"/>
    <x v="1"/>
    <x v="0"/>
    <x v="8"/>
    <x v="1"/>
    <x v="5"/>
    <x v="2"/>
  </r>
  <r>
    <s v="TX500941"/>
    <x v="15"/>
    <x v="1"/>
    <n v="44.9"/>
    <n v="89.8"/>
    <x v="37"/>
    <d v="2025-02-09T00:00:00"/>
    <x v="1"/>
    <x v="0"/>
    <x v="1"/>
    <x v="0"/>
    <x v="8"/>
    <x v="1"/>
    <x v="5"/>
    <x v="1"/>
  </r>
  <r>
    <s v="TX500942"/>
    <x v="6"/>
    <x v="2"/>
    <n v="71.599999999999994"/>
    <n v="214.79999999999998"/>
    <x v="37"/>
    <d v="2025-02-11T00:00:00"/>
    <x v="1"/>
    <x v="1"/>
    <x v="2"/>
    <x v="0"/>
    <x v="10"/>
    <x v="5"/>
    <x v="5"/>
    <x v="1"/>
  </r>
  <r>
    <s v="TX500943"/>
    <x v="6"/>
    <x v="13"/>
    <n v="51.5"/>
    <n v="309"/>
    <x v="37"/>
    <d v="2025-02-09T00:00:00"/>
    <x v="0"/>
    <x v="4"/>
    <x v="0"/>
    <x v="0"/>
    <x v="11"/>
    <x v="1"/>
    <x v="5"/>
    <x v="0"/>
  </r>
  <r>
    <s v="TX500944"/>
    <x v="7"/>
    <x v="9"/>
    <n v="55.5"/>
    <n v="277.5"/>
    <x v="37"/>
    <d v="2025-02-08T00:00:00"/>
    <x v="1"/>
    <x v="1"/>
    <x v="1"/>
    <x v="0"/>
    <x v="11"/>
    <x v="3"/>
    <x v="5"/>
    <x v="1"/>
  </r>
  <r>
    <s v="TX500945"/>
    <x v="6"/>
    <x v="0"/>
    <n v="51.7"/>
    <n v="51.7"/>
    <x v="37"/>
    <d v="2025-02-21T00:00:00"/>
    <x v="1"/>
    <x v="2"/>
    <x v="0"/>
    <x v="0"/>
    <x v="19"/>
    <x v="12"/>
    <x v="5"/>
    <x v="1"/>
  </r>
  <r>
    <s v="TX500946"/>
    <x v="8"/>
    <x v="38"/>
    <n v="45.5"/>
    <n v="955.5"/>
    <x v="37"/>
    <d v="2025-02-08T00:00:00"/>
    <x v="2"/>
    <x v="3"/>
    <x v="2"/>
    <x v="0"/>
    <x v="19"/>
    <x v="3"/>
    <x v="5"/>
    <x v="2"/>
  </r>
  <r>
    <s v="TX500947"/>
    <x v="8"/>
    <x v="1"/>
    <n v="33.799999999999997"/>
    <n v="67.599999999999994"/>
    <x v="37"/>
    <d v="2025-02-13T00:00:00"/>
    <x v="2"/>
    <x v="3"/>
    <x v="0"/>
    <x v="0"/>
    <x v="20"/>
    <x v="4"/>
    <x v="5"/>
    <x v="2"/>
  </r>
  <r>
    <s v="TX500948"/>
    <x v="3"/>
    <x v="2"/>
    <n v="76.5"/>
    <n v="229.5"/>
    <x v="37"/>
    <d v="2025-02-08T00:00:00"/>
    <x v="2"/>
    <x v="0"/>
    <x v="1"/>
    <x v="0"/>
    <x v="21"/>
    <x v="3"/>
    <x v="5"/>
    <x v="2"/>
  </r>
  <r>
    <s v="TX500949"/>
    <x v="9"/>
    <x v="2"/>
    <n v="42.6"/>
    <n v="127.80000000000001"/>
    <x v="37"/>
    <d v="2025-02-13T00:00:00"/>
    <x v="2"/>
    <x v="2"/>
    <x v="2"/>
    <x v="0"/>
    <x v="2"/>
    <x v="4"/>
    <x v="5"/>
    <x v="2"/>
  </r>
  <r>
    <s v="TX500950"/>
    <x v="6"/>
    <x v="2"/>
    <n v="44.1"/>
    <n v="132.30000000000001"/>
    <x v="37"/>
    <d v="2025-02-09T00:00:00"/>
    <x v="2"/>
    <x v="1"/>
    <x v="1"/>
    <x v="0"/>
    <x v="22"/>
    <x v="1"/>
    <x v="5"/>
    <x v="2"/>
  </r>
  <r>
    <s v="TX500951"/>
    <x v="8"/>
    <x v="1"/>
    <n v="40.9"/>
    <n v="81.8"/>
    <x v="37"/>
    <d v="2025-02-11T00:00:00"/>
    <x v="1"/>
    <x v="0"/>
    <x v="0"/>
    <x v="0"/>
    <x v="3"/>
    <x v="5"/>
    <x v="5"/>
    <x v="1"/>
  </r>
  <r>
    <s v="TX500952"/>
    <x v="9"/>
    <x v="2"/>
    <n v="49.1"/>
    <n v="147.30000000000001"/>
    <x v="37"/>
    <d v="2025-02-11T00:00:00"/>
    <x v="2"/>
    <x v="3"/>
    <x v="1"/>
    <x v="0"/>
    <x v="3"/>
    <x v="5"/>
    <x v="5"/>
    <x v="2"/>
  </r>
  <r>
    <s v="TX500953"/>
    <x v="18"/>
    <x v="0"/>
    <n v="85.3"/>
    <n v="85.3"/>
    <x v="37"/>
    <d v="2025-02-11T00:00:00"/>
    <x v="1"/>
    <x v="1"/>
    <x v="1"/>
    <x v="0"/>
    <x v="3"/>
    <x v="5"/>
    <x v="5"/>
    <x v="1"/>
  </r>
  <r>
    <s v="TX500954"/>
    <x v="6"/>
    <x v="12"/>
    <n v="43.1"/>
    <n v="172.4"/>
    <x v="38"/>
    <d v="2025-02-11T00:00:00"/>
    <x v="1"/>
    <x v="0"/>
    <x v="0"/>
    <x v="0"/>
    <x v="3"/>
    <x v="2"/>
    <x v="5"/>
    <x v="1"/>
  </r>
  <r>
    <s v="TX500955"/>
    <x v="4"/>
    <x v="12"/>
    <n v="46.2"/>
    <n v="184.8"/>
    <x v="38"/>
    <d v="2025-02-09T00:00:00"/>
    <x v="1"/>
    <x v="2"/>
    <x v="0"/>
    <x v="0"/>
    <x v="3"/>
    <x v="3"/>
    <x v="5"/>
    <x v="1"/>
  </r>
  <r>
    <s v="TX500956"/>
    <x v="1"/>
    <x v="0"/>
    <n v="74.400000000000006"/>
    <n v="74.400000000000006"/>
    <x v="38"/>
    <d v="2025-02-10T00:00:00"/>
    <x v="1"/>
    <x v="4"/>
    <x v="2"/>
    <x v="0"/>
    <x v="3"/>
    <x v="1"/>
    <x v="5"/>
    <x v="1"/>
  </r>
  <r>
    <s v="TX500957"/>
    <x v="17"/>
    <x v="1"/>
    <n v="51.2"/>
    <n v="102.4"/>
    <x v="38"/>
    <d v="2025-02-09T00:00:00"/>
    <x v="1"/>
    <x v="1"/>
    <x v="0"/>
    <x v="0"/>
    <x v="3"/>
    <x v="3"/>
    <x v="5"/>
    <x v="1"/>
  </r>
  <r>
    <s v="TX500958"/>
    <x v="14"/>
    <x v="12"/>
    <n v="11.8"/>
    <n v="47.2"/>
    <x v="38"/>
    <d v="2025-02-08T00:00:00"/>
    <x v="1"/>
    <x v="2"/>
    <x v="0"/>
    <x v="0"/>
    <x v="3"/>
    <x v="7"/>
    <x v="5"/>
    <x v="1"/>
  </r>
  <r>
    <s v="TX500959"/>
    <x v="10"/>
    <x v="6"/>
    <n v="40.799999999999997"/>
    <n v="1101.5999999999999"/>
    <x v="38"/>
    <d v="2025-02-09T00:00:00"/>
    <x v="2"/>
    <x v="3"/>
    <x v="2"/>
    <x v="0"/>
    <x v="3"/>
    <x v="3"/>
    <x v="5"/>
    <x v="2"/>
  </r>
  <r>
    <s v="TX500960"/>
    <x v="8"/>
    <x v="0"/>
    <n v="24.7"/>
    <n v="24.7"/>
    <x v="38"/>
    <d v="2025-02-10T00:00:00"/>
    <x v="2"/>
    <x v="2"/>
    <x v="1"/>
    <x v="0"/>
    <x v="3"/>
    <x v="1"/>
    <x v="5"/>
    <x v="2"/>
  </r>
  <r>
    <s v="TX500961"/>
    <x v="8"/>
    <x v="3"/>
    <n v="22.1"/>
    <n v="154.70000000000002"/>
    <x v="38"/>
    <d v="2025-02-08T00:00:00"/>
    <x v="2"/>
    <x v="2"/>
    <x v="4"/>
    <x v="0"/>
    <x v="3"/>
    <x v="7"/>
    <x v="5"/>
    <x v="2"/>
  </r>
  <r>
    <s v="TX500962"/>
    <x v="8"/>
    <x v="0"/>
    <n v="18.100000000000001"/>
    <n v="18.100000000000001"/>
    <x v="38"/>
    <d v="2025-02-12T00:00:00"/>
    <x v="1"/>
    <x v="3"/>
    <x v="2"/>
    <x v="0"/>
    <x v="3"/>
    <x v="5"/>
    <x v="5"/>
    <x v="1"/>
  </r>
  <r>
    <s v="TX500963"/>
    <x v="17"/>
    <x v="1"/>
    <n v="58.8"/>
    <n v="117.6"/>
    <x v="38"/>
    <d v="2025-02-11T00:00:00"/>
    <x v="2"/>
    <x v="0"/>
    <x v="0"/>
    <x v="0"/>
    <x v="25"/>
    <x v="2"/>
    <x v="5"/>
    <x v="2"/>
  </r>
  <r>
    <s v="TX500964"/>
    <x v="18"/>
    <x v="1"/>
    <n v="30.8"/>
    <n v="61.6"/>
    <x v="38"/>
    <d v="2025-02-09T00:00:00"/>
    <x v="2"/>
    <x v="0"/>
    <x v="0"/>
    <x v="0"/>
    <x v="6"/>
    <x v="3"/>
    <x v="5"/>
    <x v="2"/>
  </r>
  <r>
    <s v="TX500965"/>
    <x v="0"/>
    <x v="1"/>
    <n v="12"/>
    <n v="24"/>
    <x v="38"/>
    <d v="2025-02-12T00:00:00"/>
    <x v="2"/>
    <x v="0"/>
    <x v="0"/>
    <x v="0"/>
    <x v="6"/>
    <x v="5"/>
    <x v="5"/>
    <x v="2"/>
  </r>
  <r>
    <s v="TX500966"/>
    <x v="0"/>
    <x v="12"/>
    <n v="13.6"/>
    <n v="54.4"/>
    <x v="38"/>
    <d v="2025-02-11T00:00:00"/>
    <x v="1"/>
    <x v="2"/>
    <x v="0"/>
    <x v="0"/>
    <x v="6"/>
    <x v="2"/>
    <x v="5"/>
    <x v="1"/>
  </r>
  <r>
    <s v="TX500967"/>
    <x v="0"/>
    <x v="0"/>
    <n v="17.899999999999999"/>
    <n v="17.899999999999999"/>
    <x v="38"/>
    <d v="2025-02-09T00:00:00"/>
    <x v="1"/>
    <x v="3"/>
    <x v="0"/>
    <x v="0"/>
    <x v="6"/>
    <x v="3"/>
    <x v="5"/>
    <x v="1"/>
  </r>
  <r>
    <s v="TX500968"/>
    <x v="9"/>
    <x v="1"/>
    <n v="38.6"/>
    <n v="77.2"/>
    <x v="38"/>
    <d v="2025-02-12T00:00:00"/>
    <x v="2"/>
    <x v="4"/>
    <x v="0"/>
    <x v="0"/>
    <x v="7"/>
    <x v="5"/>
    <x v="5"/>
    <x v="2"/>
  </r>
  <r>
    <s v="TX500969"/>
    <x v="5"/>
    <x v="9"/>
    <n v="32.700000000000003"/>
    <n v="163.5"/>
    <x v="38"/>
    <d v="2025-02-09T00:00:00"/>
    <x v="1"/>
    <x v="2"/>
    <x v="2"/>
    <x v="0"/>
    <x v="8"/>
    <x v="3"/>
    <x v="5"/>
    <x v="1"/>
  </r>
  <r>
    <s v="TX500970"/>
    <x v="3"/>
    <x v="1"/>
    <n v="111.4"/>
    <n v="222.8"/>
    <x v="38"/>
    <d v="2025-02-09T00:00:00"/>
    <x v="2"/>
    <x v="1"/>
    <x v="0"/>
    <x v="0"/>
    <x v="8"/>
    <x v="3"/>
    <x v="5"/>
    <x v="2"/>
  </r>
  <r>
    <s v="TX500971"/>
    <x v="2"/>
    <x v="13"/>
    <n v="80.3"/>
    <n v="481.79999999999995"/>
    <x v="38"/>
    <d v="2025-02-10T00:00:00"/>
    <x v="2"/>
    <x v="1"/>
    <x v="0"/>
    <x v="0"/>
    <x v="8"/>
    <x v="1"/>
    <x v="5"/>
    <x v="2"/>
  </r>
  <r>
    <s v="TX500972"/>
    <x v="6"/>
    <x v="1"/>
    <n v="58.9"/>
    <n v="117.8"/>
    <x v="38"/>
    <d v="2025-02-09T00:00:00"/>
    <x v="1"/>
    <x v="1"/>
    <x v="0"/>
    <x v="0"/>
    <x v="8"/>
    <x v="3"/>
    <x v="5"/>
    <x v="1"/>
  </r>
  <r>
    <s v="TX500973"/>
    <x v="6"/>
    <x v="2"/>
    <n v="51.9"/>
    <n v="155.69999999999999"/>
    <x v="38"/>
    <d v="2025-02-10T00:00:00"/>
    <x v="2"/>
    <x v="1"/>
    <x v="4"/>
    <x v="0"/>
    <x v="8"/>
    <x v="1"/>
    <x v="5"/>
    <x v="2"/>
  </r>
  <r>
    <s v="TX500974"/>
    <x v="2"/>
    <x v="2"/>
    <n v="50.3"/>
    <n v="150.89999999999998"/>
    <x v="38"/>
    <d v="2025-02-09T00:00:00"/>
    <x v="1"/>
    <x v="2"/>
    <x v="0"/>
    <x v="0"/>
    <x v="17"/>
    <x v="3"/>
    <x v="5"/>
    <x v="1"/>
  </r>
  <r>
    <s v="TX500975"/>
    <x v="11"/>
    <x v="13"/>
    <n v="45"/>
    <n v="270"/>
    <x v="38"/>
    <d v="2025-02-14T00:00:00"/>
    <x v="2"/>
    <x v="3"/>
    <x v="0"/>
    <x v="0"/>
    <x v="9"/>
    <x v="4"/>
    <x v="5"/>
    <x v="2"/>
  </r>
  <r>
    <s v="TX500976"/>
    <x v="10"/>
    <x v="13"/>
    <n v="44.7"/>
    <n v="268.20000000000005"/>
    <x v="38"/>
    <d v="2025-02-10T00:00:00"/>
    <x v="2"/>
    <x v="2"/>
    <x v="0"/>
    <x v="0"/>
    <x v="11"/>
    <x v="1"/>
    <x v="5"/>
    <x v="2"/>
  </r>
  <r>
    <s v="TX500977"/>
    <x v="18"/>
    <x v="20"/>
    <n v="33"/>
    <n v="495"/>
    <x v="38"/>
    <d v="2025-02-09T00:00:00"/>
    <x v="2"/>
    <x v="2"/>
    <x v="0"/>
    <x v="0"/>
    <x v="11"/>
    <x v="3"/>
    <x v="5"/>
    <x v="2"/>
  </r>
  <r>
    <s v="TX500978"/>
    <x v="1"/>
    <x v="9"/>
    <n v="44.9"/>
    <n v="224.5"/>
    <x v="38"/>
    <d v="2025-02-11T00:00:00"/>
    <x v="2"/>
    <x v="2"/>
    <x v="2"/>
    <x v="0"/>
    <x v="18"/>
    <x v="2"/>
    <x v="5"/>
    <x v="2"/>
  </r>
  <r>
    <s v="TX500979"/>
    <x v="10"/>
    <x v="1"/>
    <n v="34.6"/>
    <n v="69.2"/>
    <x v="38"/>
    <d v="2025-02-12T00:00:00"/>
    <x v="2"/>
    <x v="0"/>
    <x v="1"/>
    <x v="0"/>
    <x v="19"/>
    <x v="5"/>
    <x v="5"/>
    <x v="2"/>
  </r>
  <r>
    <s v="TX500980"/>
    <x v="7"/>
    <x v="3"/>
    <n v="47.1"/>
    <n v="329.7"/>
    <x v="38"/>
    <d v="2025-02-13T00:00:00"/>
    <x v="2"/>
    <x v="0"/>
    <x v="0"/>
    <x v="0"/>
    <x v="13"/>
    <x v="0"/>
    <x v="5"/>
    <x v="2"/>
  </r>
  <r>
    <s v="TX500981"/>
    <x v="4"/>
    <x v="9"/>
    <n v="26.1"/>
    <n v="130.5"/>
    <x v="38"/>
    <d v="2025-02-13T00:00:00"/>
    <x v="1"/>
    <x v="0"/>
    <x v="2"/>
    <x v="0"/>
    <x v="21"/>
    <x v="0"/>
    <x v="5"/>
    <x v="1"/>
  </r>
  <r>
    <s v="TX500982"/>
    <x v="12"/>
    <x v="9"/>
    <n v="66.8"/>
    <n v="334"/>
    <x v="38"/>
    <d v="2025-02-11T00:00:00"/>
    <x v="2"/>
    <x v="0"/>
    <x v="0"/>
    <x v="0"/>
    <x v="21"/>
    <x v="2"/>
    <x v="5"/>
    <x v="2"/>
  </r>
  <r>
    <s v="TX500983"/>
    <x v="2"/>
    <x v="1"/>
    <n v="167.9"/>
    <n v="335.8"/>
    <x v="38"/>
    <d v="2025-02-09T00:00:00"/>
    <x v="2"/>
    <x v="3"/>
    <x v="2"/>
    <x v="0"/>
    <x v="21"/>
    <x v="3"/>
    <x v="5"/>
    <x v="2"/>
  </r>
  <r>
    <s v="TX500984"/>
    <x v="10"/>
    <x v="11"/>
    <n v="34.6"/>
    <n v="311.40000000000003"/>
    <x v="38"/>
    <d v="2025-02-09T00:00:00"/>
    <x v="2"/>
    <x v="2"/>
    <x v="1"/>
    <x v="0"/>
    <x v="21"/>
    <x v="3"/>
    <x v="5"/>
    <x v="2"/>
  </r>
  <r>
    <s v="TX500985"/>
    <x v="8"/>
    <x v="2"/>
    <n v="35.1"/>
    <n v="105.30000000000001"/>
    <x v="39"/>
    <d v="2025-02-13T00:00:00"/>
    <x v="1"/>
    <x v="4"/>
    <x v="2"/>
    <x v="0"/>
    <x v="1"/>
    <x v="5"/>
    <x v="6"/>
    <x v="1"/>
  </r>
  <r>
    <s v="TX500986"/>
    <x v="6"/>
    <x v="12"/>
    <n v="104.5"/>
    <n v="418"/>
    <x v="39"/>
    <d v="2025-02-10T00:00:00"/>
    <x v="1"/>
    <x v="1"/>
    <x v="1"/>
    <x v="0"/>
    <x v="1"/>
    <x v="3"/>
    <x v="6"/>
    <x v="1"/>
  </r>
  <r>
    <s v="TX500987"/>
    <x v="8"/>
    <x v="0"/>
    <n v="37.9"/>
    <n v="37.9"/>
    <x v="39"/>
    <d v="2025-02-11T00:00:00"/>
    <x v="0"/>
    <x v="1"/>
    <x v="2"/>
    <x v="0"/>
    <x v="2"/>
    <x v="1"/>
    <x v="6"/>
    <x v="0"/>
  </r>
  <r>
    <s v="TX500988"/>
    <x v="4"/>
    <x v="2"/>
    <n v="25.5"/>
    <n v="76.5"/>
    <x v="39"/>
    <d v="2025-02-12T00:00:00"/>
    <x v="1"/>
    <x v="3"/>
    <x v="0"/>
    <x v="0"/>
    <x v="2"/>
    <x v="2"/>
    <x v="6"/>
    <x v="1"/>
  </r>
  <r>
    <s v="TX500989"/>
    <x v="0"/>
    <x v="2"/>
    <n v="32"/>
    <n v="96"/>
    <x v="39"/>
    <d v="2025-02-13T00:00:00"/>
    <x v="2"/>
    <x v="1"/>
    <x v="0"/>
    <x v="0"/>
    <x v="22"/>
    <x v="5"/>
    <x v="6"/>
    <x v="2"/>
  </r>
  <r>
    <s v="TX500990"/>
    <x v="1"/>
    <x v="0"/>
    <n v="47.1"/>
    <n v="47.1"/>
    <x v="39"/>
    <d v="2025-02-10T00:00:00"/>
    <x v="2"/>
    <x v="0"/>
    <x v="0"/>
    <x v="0"/>
    <x v="34"/>
    <x v="3"/>
    <x v="6"/>
    <x v="2"/>
  </r>
  <r>
    <s v="TX500991"/>
    <x v="6"/>
    <x v="1"/>
    <n v="50.6"/>
    <n v="101.2"/>
    <x v="39"/>
    <d v="2025-02-15T00:00:00"/>
    <x v="0"/>
    <x v="0"/>
    <x v="0"/>
    <x v="0"/>
    <x v="3"/>
    <x v="4"/>
    <x v="6"/>
    <x v="0"/>
  </r>
  <r>
    <s v="TX500992"/>
    <x v="6"/>
    <x v="9"/>
    <n v="81.7"/>
    <n v="408.5"/>
    <x v="39"/>
    <d v="2025-02-10T00:00:00"/>
    <x v="2"/>
    <x v="1"/>
    <x v="2"/>
    <x v="0"/>
    <x v="3"/>
    <x v="3"/>
    <x v="6"/>
    <x v="2"/>
  </r>
  <r>
    <s v="TX500993"/>
    <x v="5"/>
    <x v="1"/>
    <n v="50.7"/>
    <n v="101.4"/>
    <x v="39"/>
    <d v="2025-02-10T00:00:00"/>
    <x v="3"/>
    <x v="2"/>
    <x v="2"/>
    <x v="0"/>
    <x v="3"/>
    <x v="3"/>
    <x v="6"/>
    <x v="3"/>
  </r>
  <r>
    <s v="TX500994"/>
    <x v="2"/>
    <x v="10"/>
    <n v="67.3"/>
    <n v="1278.7"/>
    <x v="39"/>
    <d v="2025-02-13T00:00:00"/>
    <x v="2"/>
    <x v="2"/>
    <x v="0"/>
    <x v="0"/>
    <x v="3"/>
    <x v="5"/>
    <x v="6"/>
    <x v="2"/>
  </r>
  <r>
    <s v="TX500995"/>
    <x v="2"/>
    <x v="12"/>
    <n v="64.8"/>
    <n v="259.2"/>
    <x v="39"/>
    <d v="2025-02-12T00:00:00"/>
    <x v="2"/>
    <x v="3"/>
    <x v="0"/>
    <x v="0"/>
    <x v="3"/>
    <x v="2"/>
    <x v="6"/>
    <x v="2"/>
  </r>
  <r>
    <s v="TX500996"/>
    <x v="5"/>
    <x v="32"/>
    <n v="61.3"/>
    <n v="1348.6"/>
    <x v="39"/>
    <d v="2025-02-10T00:00:00"/>
    <x v="2"/>
    <x v="0"/>
    <x v="2"/>
    <x v="0"/>
    <x v="3"/>
    <x v="3"/>
    <x v="6"/>
    <x v="2"/>
  </r>
  <r>
    <s v="TX500997"/>
    <x v="14"/>
    <x v="0"/>
    <n v="32.9"/>
    <n v="32.9"/>
    <x v="39"/>
    <d v="2025-02-12T00:00:00"/>
    <x v="2"/>
    <x v="4"/>
    <x v="0"/>
    <x v="0"/>
    <x v="3"/>
    <x v="2"/>
    <x v="6"/>
    <x v="2"/>
  </r>
  <r>
    <s v="TX500998"/>
    <x v="6"/>
    <x v="1"/>
    <n v="100.8"/>
    <n v="201.6"/>
    <x v="39"/>
    <d v="2025-02-12T00:00:00"/>
    <x v="2"/>
    <x v="0"/>
    <x v="0"/>
    <x v="0"/>
    <x v="3"/>
    <x v="2"/>
    <x v="6"/>
    <x v="2"/>
  </r>
  <r>
    <s v="TX500999"/>
    <x v="8"/>
    <x v="12"/>
    <n v="25.1"/>
    <n v="100.4"/>
    <x v="39"/>
    <d v="2025-02-11T00:00:00"/>
    <x v="2"/>
    <x v="1"/>
    <x v="0"/>
    <x v="0"/>
    <x v="3"/>
    <x v="1"/>
    <x v="6"/>
    <x v="2"/>
  </r>
  <r>
    <s v="TX501000"/>
    <x v="17"/>
    <x v="0"/>
    <n v="48.5"/>
    <n v="48.5"/>
    <x v="39"/>
    <d v="2025-02-10T00:00:00"/>
    <x v="2"/>
    <x v="0"/>
    <x v="1"/>
    <x v="0"/>
    <x v="3"/>
    <x v="3"/>
    <x v="6"/>
    <x v="2"/>
  </r>
  <r>
    <s v="TX501001"/>
    <x v="7"/>
    <x v="1"/>
    <n v="33.6"/>
    <n v="67.2"/>
    <x v="39"/>
    <d v="2025-02-13T00:00:00"/>
    <x v="2"/>
    <x v="2"/>
    <x v="2"/>
    <x v="0"/>
    <x v="3"/>
    <x v="5"/>
    <x v="6"/>
    <x v="2"/>
  </r>
  <r>
    <s v="TX501002"/>
    <x v="8"/>
    <x v="0"/>
    <n v="39.299999999999997"/>
    <n v="39.299999999999997"/>
    <x v="39"/>
    <d v="2025-02-20T00:00:00"/>
    <x v="2"/>
    <x v="1"/>
    <x v="1"/>
    <x v="0"/>
    <x v="49"/>
    <x v="11"/>
    <x v="6"/>
    <x v="2"/>
  </r>
  <r>
    <s v="TX501003"/>
    <x v="4"/>
    <x v="7"/>
    <n v="48.8"/>
    <n v="488"/>
    <x v="39"/>
    <d v="2025-02-11T00:00:00"/>
    <x v="2"/>
    <x v="3"/>
    <x v="1"/>
    <x v="0"/>
    <x v="25"/>
    <x v="1"/>
    <x v="6"/>
    <x v="2"/>
  </r>
  <r>
    <s v="TX501004"/>
    <x v="6"/>
    <x v="8"/>
    <n v="72.8"/>
    <n v="582.4"/>
    <x v="39"/>
    <d v="2025-02-11T00:00:00"/>
    <x v="1"/>
    <x v="1"/>
    <x v="2"/>
    <x v="0"/>
    <x v="5"/>
    <x v="1"/>
    <x v="6"/>
    <x v="1"/>
  </r>
  <r>
    <s v="TX501005"/>
    <x v="10"/>
    <x v="8"/>
    <n v="46.2"/>
    <n v="369.6"/>
    <x v="39"/>
    <d v="2025-02-10T00:00:00"/>
    <x v="1"/>
    <x v="3"/>
    <x v="4"/>
    <x v="0"/>
    <x v="5"/>
    <x v="3"/>
    <x v="6"/>
    <x v="1"/>
  </r>
  <r>
    <s v="TX501006"/>
    <x v="4"/>
    <x v="1"/>
    <n v="20.7"/>
    <n v="41.4"/>
    <x v="39"/>
    <d v="2025-02-10T00:00:00"/>
    <x v="2"/>
    <x v="2"/>
    <x v="3"/>
    <x v="0"/>
    <x v="6"/>
    <x v="3"/>
    <x v="6"/>
    <x v="2"/>
  </r>
  <r>
    <s v="TX501007"/>
    <x v="0"/>
    <x v="0"/>
    <n v="35.700000000000003"/>
    <n v="35.700000000000003"/>
    <x v="39"/>
    <d v="2025-02-11T00:00:00"/>
    <x v="2"/>
    <x v="3"/>
    <x v="0"/>
    <x v="0"/>
    <x v="6"/>
    <x v="1"/>
    <x v="6"/>
    <x v="2"/>
  </r>
  <r>
    <s v="TX501008"/>
    <x v="2"/>
    <x v="27"/>
    <n v="166.2"/>
    <n v="2659.2"/>
    <x v="39"/>
    <d v="2025-02-11T00:00:00"/>
    <x v="0"/>
    <x v="2"/>
    <x v="0"/>
    <x v="0"/>
    <x v="7"/>
    <x v="1"/>
    <x v="6"/>
    <x v="0"/>
  </r>
  <r>
    <s v="TX501009"/>
    <x v="6"/>
    <x v="12"/>
    <n v="85.8"/>
    <n v="343.2"/>
    <x v="39"/>
    <d v="2025-02-10T00:00:00"/>
    <x v="2"/>
    <x v="1"/>
    <x v="1"/>
    <x v="0"/>
    <x v="7"/>
    <x v="3"/>
    <x v="6"/>
    <x v="2"/>
  </r>
  <r>
    <s v="TX501010"/>
    <x v="8"/>
    <x v="2"/>
    <n v="26"/>
    <n v="78"/>
    <x v="39"/>
    <d v="2025-02-11T00:00:00"/>
    <x v="3"/>
    <x v="1"/>
    <x v="0"/>
    <x v="0"/>
    <x v="7"/>
    <x v="1"/>
    <x v="6"/>
    <x v="3"/>
  </r>
  <r>
    <s v="TX501011"/>
    <x v="2"/>
    <x v="15"/>
    <n v="116.6"/>
    <n v="1515.8"/>
    <x v="39"/>
    <d v="2025-02-12T00:00:00"/>
    <x v="2"/>
    <x v="0"/>
    <x v="0"/>
    <x v="0"/>
    <x v="8"/>
    <x v="2"/>
    <x v="6"/>
    <x v="2"/>
  </r>
  <r>
    <s v="TX501012"/>
    <x v="9"/>
    <x v="3"/>
    <n v="53.9"/>
    <n v="377.3"/>
    <x v="39"/>
    <d v="2025-02-12T00:00:00"/>
    <x v="3"/>
    <x v="0"/>
    <x v="2"/>
    <x v="0"/>
    <x v="8"/>
    <x v="2"/>
    <x v="6"/>
    <x v="3"/>
  </r>
  <r>
    <s v="TX501013"/>
    <x v="12"/>
    <x v="9"/>
    <n v="72.3"/>
    <n v="361.5"/>
    <x v="39"/>
    <d v="2025-02-11T00:00:00"/>
    <x v="0"/>
    <x v="2"/>
    <x v="2"/>
    <x v="0"/>
    <x v="8"/>
    <x v="1"/>
    <x v="6"/>
    <x v="0"/>
  </r>
  <r>
    <s v="TX501014"/>
    <x v="5"/>
    <x v="1"/>
    <n v="31.4"/>
    <n v="62.8"/>
    <x v="39"/>
    <d v="2025-02-11T00:00:00"/>
    <x v="2"/>
    <x v="0"/>
    <x v="0"/>
    <x v="0"/>
    <x v="8"/>
    <x v="1"/>
    <x v="6"/>
    <x v="2"/>
  </r>
  <r>
    <s v="TX501015"/>
    <x v="13"/>
    <x v="1"/>
    <n v="53.1"/>
    <n v="106.2"/>
    <x v="39"/>
    <d v="2025-02-12T00:00:00"/>
    <x v="1"/>
    <x v="1"/>
    <x v="0"/>
    <x v="0"/>
    <x v="8"/>
    <x v="2"/>
    <x v="6"/>
    <x v="1"/>
  </r>
  <r>
    <s v="TX501016"/>
    <x v="2"/>
    <x v="12"/>
    <n v="56.2"/>
    <n v="224.8"/>
    <x v="39"/>
    <d v="2025-02-10T00:00:00"/>
    <x v="2"/>
    <x v="0"/>
    <x v="0"/>
    <x v="0"/>
    <x v="8"/>
    <x v="3"/>
    <x v="6"/>
    <x v="2"/>
  </r>
  <r>
    <s v="TX501017"/>
    <x v="1"/>
    <x v="7"/>
    <n v="77.3"/>
    <n v="773"/>
    <x v="39"/>
    <d v="2025-02-10T00:00:00"/>
    <x v="2"/>
    <x v="2"/>
    <x v="0"/>
    <x v="0"/>
    <x v="11"/>
    <x v="3"/>
    <x v="6"/>
    <x v="2"/>
  </r>
  <r>
    <s v="TX501018"/>
    <x v="6"/>
    <x v="15"/>
    <n v="57.8"/>
    <n v="751.4"/>
    <x v="39"/>
    <d v="2025-02-10T00:00:00"/>
    <x v="0"/>
    <x v="0"/>
    <x v="0"/>
    <x v="0"/>
    <x v="53"/>
    <x v="3"/>
    <x v="6"/>
    <x v="0"/>
  </r>
  <r>
    <s v="TX501019"/>
    <x v="12"/>
    <x v="20"/>
    <n v="42.1"/>
    <n v="631.5"/>
    <x v="39"/>
    <d v="2025-02-11T00:00:00"/>
    <x v="2"/>
    <x v="1"/>
    <x v="1"/>
    <x v="0"/>
    <x v="53"/>
    <x v="1"/>
    <x v="6"/>
    <x v="2"/>
  </r>
  <r>
    <s v="TX501020"/>
    <x v="8"/>
    <x v="11"/>
    <n v="22.8"/>
    <n v="205.20000000000002"/>
    <x v="39"/>
    <d v="2025-02-13T00:00:00"/>
    <x v="1"/>
    <x v="2"/>
    <x v="2"/>
    <x v="0"/>
    <x v="19"/>
    <x v="5"/>
    <x v="6"/>
    <x v="1"/>
  </r>
  <r>
    <s v="TX501021"/>
    <x v="2"/>
    <x v="2"/>
    <n v="171.1"/>
    <n v="513.29999999999995"/>
    <x v="40"/>
    <d v="2025-02-17T00:00:00"/>
    <x v="2"/>
    <x v="2"/>
    <x v="1"/>
    <x v="0"/>
    <x v="19"/>
    <x v="6"/>
    <x v="6"/>
    <x v="2"/>
  </r>
  <r>
    <s v="TX501022"/>
    <x v="8"/>
    <x v="0"/>
    <n v="28"/>
    <n v="28"/>
    <x v="40"/>
    <d v="2025-02-12T00:00:00"/>
    <x v="1"/>
    <x v="2"/>
    <x v="2"/>
    <x v="0"/>
    <x v="21"/>
    <x v="1"/>
    <x v="6"/>
    <x v="1"/>
  </r>
  <r>
    <s v="TX501023"/>
    <x v="6"/>
    <x v="3"/>
    <n v="50.2"/>
    <n v="351.40000000000003"/>
    <x v="40"/>
    <d v="2025-02-12T00:00:00"/>
    <x v="1"/>
    <x v="2"/>
    <x v="0"/>
    <x v="0"/>
    <x v="21"/>
    <x v="1"/>
    <x v="6"/>
    <x v="1"/>
  </r>
  <r>
    <s v="TX501024"/>
    <x v="6"/>
    <x v="1"/>
    <n v="56"/>
    <n v="112"/>
    <x v="40"/>
    <d v="2025-02-10T00:00:00"/>
    <x v="1"/>
    <x v="0"/>
    <x v="2"/>
    <x v="0"/>
    <x v="22"/>
    <x v="7"/>
    <x v="6"/>
    <x v="1"/>
  </r>
  <r>
    <s v="TX501025"/>
    <x v="1"/>
    <x v="1"/>
    <n v="38.299999999999997"/>
    <n v="76.599999999999994"/>
    <x v="40"/>
    <d v="2025-02-11T00:00:00"/>
    <x v="2"/>
    <x v="1"/>
    <x v="0"/>
    <x v="0"/>
    <x v="3"/>
    <x v="3"/>
    <x v="6"/>
    <x v="2"/>
  </r>
  <r>
    <s v="TX501026"/>
    <x v="0"/>
    <x v="9"/>
    <n v="22.3"/>
    <n v="111.5"/>
    <x v="40"/>
    <d v="2025-02-14T00:00:00"/>
    <x v="2"/>
    <x v="2"/>
    <x v="1"/>
    <x v="0"/>
    <x v="3"/>
    <x v="5"/>
    <x v="6"/>
    <x v="2"/>
  </r>
  <r>
    <s v="TX501027"/>
    <x v="0"/>
    <x v="2"/>
    <n v="22.3"/>
    <n v="66.900000000000006"/>
    <x v="40"/>
    <d v="2025-02-13T00:00:00"/>
    <x v="2"/>
    <x v="2"/>
    <x v="0"/>
    <x v="0"/>
    <x v="3"/>
    <x v="2"/>
    <x v="6"/>
    <x v="2"/>
  </r>
  <r>
    <s v="TX501028"/>
    <x v="1"/>
    <x v="0"/>
    <n v="32.9"/>
    <n v="32.9"/>
    <x v="40"/>
    <d v="2025-02-15T00:00:00"/>
    <x v="2"/>
    <x v="0"/>
    <x v="0"/>
    <x v="0"/>
    <x v="3"/>
    <x v="0"/>
    <x v="6"/>
    <x v="2"/>
  </r>
  <r>
    <s v="TX501029"/>
    <x v="10"/>
    <x v="2"/>
    <n v="31.9"/>
    <n v="95.699999999999989"/>
    <x v="40"/>
    <d v="2025-02-15T00:00:00"/>
    <x v="2"/>
    <x v="0"/>
    <x v="0"/>
    <x v="0"/>
    <x v="3"/>
    <x v="0"/>
    <x v="6"/>
    <x v="2"/>
  </r>
  <r>
    <s v="TX501030"/>
    <x v="6"/>
    <x v="1"/>
    <n v="94"/>
    <n v="188"/>
    <x v="40"/>
    <d v="2025-02-11T00:00:00"/>
    <x v="1"/>
    <x v="2"/>
    <x v="2"/>
    <x v="0"/>
    <x v="3"/>
    <x v="3"/>
    <x v="6"/>
    <x v="1"/>
  </r>
  <r>
    <s v="TX501031"/>
    <x v="10"/>
    <x v="1"/>
    <n v="30.7"/>
    <n v="61.4"/>
    <x v="40"/>
    <d v="2025-02-11T00:00:00"/>
    <x v="2"/>
    <x v="0"/>
    <x v="1"/>
    <x v="0"/>
    <x v="3"/>
    <x v="3"/>
    <x v="6"/>
    <x v="2"/>
  </r>
  <r>
    <s v="TX501032"/>
    <x v="5"/>
    <x v="9"/>
    <n v="90.5"/>
    <n v="452.5"/>
    <x v="40"/>
    <d v="2025-02-17T00:00:00"/>
    <x v="1"/>
    <x v="0"/>
    <x v="2"/>
    <x v="0"/>
    <x v="3"/>
    <x v="6"/>
    <x v="6"/>
    <x v="1"/>
  </r>
  <r>
    <s v="TX501033"/>
    <x v="8"/>
    <x v="9"/>
    <n v="25.3"/>
    <n v="126.5"/>
    <x v="40"/>
    <d v="2025-02-14T00:00:00"/>
    <x v="2"/>
    <x v="0"/>
    <x v="2"/>
    <x v="0"/>
    <x v="3"/>
    <x v="5"/>
    <x v="6"/>
    <x v="2"/>
  </r>
  <r>
    <s v="TX501034"/>
    <x v="6"/>
    <x v="2"/>
    <n v="58.1"/>
    <n v="174.3"/>
    <x v="40"/>
    <d v="2025-02-14T00:00:00"/>
    <x v="0"/>
    <x v="0"/>
    <x v="2"/>
    <x v="0"/>
    <x v="3"/>
    <x v="5"/>
    <x v="6"/>
    <x v="0"/>
  </r>
  <r>
    <s v="TX501035"/>
    <x v="2"/>
    <x v="2"/>
    <n v="74.900000000000006"/>
    <n v="224.70000000000002"/>
    <x v="40"/>
    <d v="2025-02-11T00:00:00"/>
    <x v="2"/>
    <x v="4"/>
    <x v="0"/>
    <x v="0"/>
    <x v="3"/>
    <x v="3"/>
    <x v="6"/>
    <x v="2"/>
  </r>
  <r>
    <s v="TX501036"/>
    <x v="4"/>
    <x v="1"/>
    <n v="32.5"/>
    <n v="65"/>
    <x v="40"/>
    <d v="2025-02-11T00:00:00"/>
    <x v="1"/>
    <x v="2"/>
    <x v="2"/>
    <x v="0"/>
    <x v="43"/>
    <x v="3"/>
    <x v="6"/>
    <x v="1"/>
  </r>
  <r>
    <s v="TX501037"/>
    <x v="4"/>
    <x v="9"/>
    <n v="62"/>
    <n v="310"/>
    <x v="40"/>
    <d v="2025-02-11T00:00:00"/>
    <x v="1"/>
    <x v="4"/>
    <x v="2"/>
    <x v="0"/>
    <x v="25"/>
    <x v="3"/>
    <x v="6"/>
    <x v="1"/>
  </r>
  <r>
    <s v="TX501038"/>
    <x v="13"/>
    <x v="13"/>
    <n v="28.9"/>
    <n v="173.39999999999998"/>
    <x v="40"/>
    <d v="2025-02-13T00:00:00"/>
    <x v="2"/>
    <x v="0"/>
    <x v="1"/>
    <x v="0"/>
    <x v="6"/>
    <x v="2"/>
    <x v="6"/>
    <x v="2"/>
  </r>
  <r>
    <s v="TX501039"/>
    <x v="6"/>
    <x v="8"/>
    <n v="42.8"/>
    <n v="342.4"/>
    <x v="40"/>
    <d v="2025-02-12T00:00:00"/>
    <x v="2"/>
    <x v="0"/>
    <x v="2"/>
    <x v="0"/>
    <x v="6"/>
    <x v="1"/>
    <x v="6"/>
    <x v="2"/>
  </r>
  <r>
    <s v="TX501040"/>
    <x v="8"/>
    <x v="8"/>
    <n v="39.4"/>
    <n v="315.2"/>
    <x v="40"/>
    <d v="2025-02-12T00:00:00"/>
    <x v="1"/>
    <x v="0"/>
    <x v="0"/>
    <x v="0"/>
    <x v="36"/>
    <x v="1"/>
    <x v="6"/>
    <x v="1"/>
  </r>
  <r>
    <s v="TX501041"/>
    <x v="18"/>
    <x v="2"/>
    <n v="66.400000000000006"/>
    <n v="199.20000000000002"/>
    <x v="40"/>
    <d v="2025-02-11T00:00:00"/>
    <x v="0"/>
    <x v="2"/>
    <x v="1"/>
    <x v="0"/>
    <x v="7"/>
    <x v="3"/>
    <x v="6"/>
    <x v="0"/>
  </r>
  <r>
    <s v="TX501042"/>
    <x v="17"/>
    <x v="12"/>
    <n v="35.9"/>
    <n v="143.6"/>
    <x v="40"/>
    <d v="2025-02-17T00:00:00"/>
    <x v="2"/>
    <x v="1"/>
    <x v="0"/>
    <x v="0"/>
    <x v="7"/>
    <x v="6"/>
    <x v="6"/>
    <x v="2"/>
  </r>
  <r>
    <s v="TX501043"/>
    <x v="0"/>
    <x v="12"/>
    <n v="26.9"/>
    <n v="107.6"/>
    <x v="40"/>
    <d v="2025-02-11T00:00:00"/>
    <x v="1"/>
    <x v="1"/>
    <x v="0"/>
    <x v="0"/>
    <x v="7"/>
    <x v="3"/>
    <x v="6"/>
    <x v="1"/>
  </r>
  <r>
    <s v="TX501044"/>
    <x v="2"/>
    <x v="0"/>
    <n v="55.1"/>
    <n v="55.1"/>
    <x v="40"/>
    <d v="2025-02-11T00:00:00"/>
    <x v="2"/>
    <x v="0"/>
    <x v="0"/>
    <x v="0"/>
    <x v="7"/>
    <x v="3"/>
    <x v="6"/>
    <x v="2"/>
  </r>
  <r>
    <s v="TX501045"/>
    <x v="4"/>
    <x v="1"/>
    <n v="23.9"/>
    <n v="47.8"/>
    <x v="40"/>
    <d v="2025-02-11T00:00:00"/>
    <x v="1"/>
    <x v="0"/>
    <x v="2"/>
    <x v="0"/>
    <x v="8"/>
    <x v="3"/>
    <x v="6"/>
    <x v="1"/>
  </r>
  <r>
    <s v="TX501046"/>
    <x v="9"/>
    <x v="15"/>
    <n v="21.1"/>
    <n v="274.3"/>
    <x v="40"/>
    <d v="2025-02-18T00:00:00"/>
    <x v="2"/>
    <x v="0"/>
    <x v="1"/>
    <x v="0"/>
    <x v="8"/>
    <x v="9"/>
    <x v="6"/>
    <x v="2"/>
  </r>
  <r>
    <s v="TX501047"/>
    <x v="8"/>
    <x v="9"/>
    <n v="33.799999999999997"/>
    <n v="169"/>
    <x v="40"/>
    <d v="2025-02-12T00:00:00"/>
    <x v="2"/>
    <x v="0"/>
    <x v="0"/>
    <x v="0"/>
    <x v="8"/>
    <x v="1"/>
    <x v="6"/>
    <x v="2"/>
  </r>
  <r>
    <s v="TX501048"/>
    <x v="2"/>
    <x v="12"/>
    <n v="56.1"/>
    <n v="224.4"/>
    <x v="40"/>
    <d v="2025-02-10T00:00:00"/>
    <x v="2"/>
    <x v="3"/>
    <x v="2"/>
    <x v="0"/>
    <x v="9"/>
    <x v="7"/>
    <x v="6"/>
    <x v="2"/>
  </r>
  <r>
    <s v="TX501049"/>
    <x v="3"/>
    <x v="0"/>
    <n v="58.5"/>
    <n v="58.5"/>
    <x v="41"/>
    <d v="2025-02-15T00:00:00"/>
    <x v="2"/>
    <x v="1"/>
    <x v="2"/>
    <x v="0"/>
    <x v="9"/>
    <x v="5"/>
    <x v="6"/>
    <x v="2"/>
  </r>
  <r>
    <s v="TX501050"/>
    <x v="6"/>
    <x v="0"/>
    <n v="84.2"/>
    <n v="84.2"/>
    <x v="41"/>
    <d v="2025-02-13T00:00:00"/>
    <x v="1"/>
    <x v="3"/>
    <x v="0"/>
    <x v="0"/>
    <x v="11"/>
    <x v="1"/>
    <x v="6"/>
    <x v="1"/>
  </r>
  <r>
    <s v="TX501051"/>
    <x v="11"/>
    <x v="12"/>
    <n v="52"/>
    <n v="208"/>
    <x v="41"/>
    <d v="2025-02-14T00:00:00"/>
    <x v="1"/>
    <x v="0"/>
    <x v="0"/>
    <x v="0"/>
    <x v="11"/>
    <x v="2"/>
    <x v="6"/>
    <x v="1"/>
  </r>
  <r>
    <s v="TX501052"/>
    <x v="4"/>
    <x v="9"/>
    <n v="31.5"/>
    <n v="157.5"/>
    <x v="41"/>
    <d v="2025-02-12T00:00:00"/>
    <x v="2"/>
    <x v="0"/>
    <x v="2"/>
    <x v="0"/>
    <x v="11"/>
    <x v="3"/>
    <x v="6"/>
    <x v="2"/>
  </r>
  <r>
    <s v="TX501053"/>
    <x v="16"/>
    <x v="2"/>
    <n v="46.2"/>
    <n v="138.60000000000002"/>
    <x v="41"/>
    <d v="2025-02-12T00:00:00"/>
    <x v="1"/>
    <x v="0"/>
    <x v="0"/>
    <x v="0"/>
    <x v="53"/>
    <x v="3"/>
    <x v="6"/>
    <x v="1"/>
  </r>
  <r>
    <s v="TX501054"/>
    <x v="2"/>
    <x v="13"/>
    <n v="135"/>
    <n v="810"/>
    <x v="41"/>
    <d v="2025-02-12T00:00:00"/>
    <x v="2"/>
    <x v="1"/>
    <x v="2"/>
    <x v="0"/>
    <x v="18"/>
    <x v="3"/>
    <x v="6"/>
    <x v="2"/>
  </r>
  <r>
    <s v="TX501055"/>
    <x v="12"/>
    <x v="2"/>
    <n v="92.2"/>
    <n v="276.60000000000002"/>
    <x v="41"/>
    <d v="2025-02-15T00:00:00"/>
    <x v="1"/>
    <x v="0"/>
    <x v="0"/>
    <x v="0"/>
    <x v="21"/>
    <x v="5"/>
    <x v="6"/>
    <x v="1"/>
  </r>
  <r>
    <s v="TX501056"/>
    <x v="8"/>
    <x v="0"/>
    <n v="36.6"/>
    <n v="36.6"/>
    <x v="41"/>
    <d v="2025-02-13T00:00:00"/>
    <x v="1"/>
    <x v="2"/>
    <x v="2"/>
    <x v="0"/>
    <x v="21"/>
    <x v="1"/>
    <x v="6"/>
    <x v="1"/>
  </r>
  <r>
    <s v="TX501057"/>
    <x v="9"/>
    <x v="1"/>
    <n v="50.6"/>
    <n v="101.2"/>
    <x v="41"/>
    <d v="2025-02-14T00:00:00"/>
    <x v="2"/>
    <x v="0"/>
    <x v="0"/>
    <x v="0"/>
    <x v="2"/>
    <x v="2"/>
    <x v="6"/>
    <x v="2"/>
  </r>
  <r>
    <s v="TX501058"/>
    <x v="18"/>
    <x v="3"/>
    <n v="56.7"/>
    <n v="396.90000000000003"/>
    <x v="41"/>
    <d v="2025-02-14T00:00:00"/>
    <x v="2"/>
    <x v="0"/>
    <x v="0"/>
    <x v="0"/>
    <x v="2"/>
    <x v="2"/>
    <x v="6"/>
    <x v="2"/>
  </r>
  <r>
    <s v="TX501059"/>
    <x v="9"/>
    <x v="15"/>
    <n v="22.9"/>
    <n v="297.7"/>
    <x v="41"/>
    <d v="2025-02-12T00:00:00"/>
    <x v="2"/>
    <x v="0"/>
    <x v="1"/>
    <x v="0"/>
    <x v="44"/>
    <x v="3"/>
    <x v="6"/>
    <x v="2"/>
  </r>
  <r>
    <s v="TX501060"/>
    <x v="15"/>
    <x v="10"/>
    <n v="53.6"/>
    <n v="1018.4"/>
    <x v="41"/>
    <d v="2025-02-12T00:00:00"/>
    <x v="1"/>
    <x v="0"/>
    <x v="0"/>
    <x v="0"/>
    <x v="22"/>
    <x v="3"/>
    <x v="6"/>
    <x v="1"/>
  </r>
  <r>
    <s v="TX501061"/>
    <x v="18"/>
    <x v="1"/>
    <n v="30.2"/>
    <n v="60.4"/>
    <x v="41"/>
    <d v="2025-02-13T00:00:00"/>
    <x v="0"/>
    <x v="2"/>
    <x v="2"/>
    <x v="0"/>
    <x v="3"/>
    <x v="1"/>
    <x v="6"/>
    <x v="0"/>
  </r>
  <r>
    <s v="TX501062"/>
    <x v="15"/>
    <x v="13"/>
    <n v="83.4"/>
    <n v="500.40000000000003"/>
    <x v="41"/>
    <d v="2025-02-12T00:00:00"/>
    <x v="1"/>
    <x v="1"/>
    <x v="2"/>
    <x v="0"/>
    <x v="3"/>
    <x v="3"/>
    <x v="6"/>
    <x v="1"/>
  </r>
  <r>
    <s v="TX501063"/>
    <x v="13"/>
    <x v="4"/>
    <n v="16.600000000000001"/>
    <n v="199.20000000000002"/>
    <x v="41"/>
    <d v="2025-02-13T00:00:00"/>
    <x v="1"/>
    <x v="1"/>
    <x v="0"/>
    <x v="0"/>
    <x v="3"/>
    <x v="1"/>
    <x v="6"/>
    <x v="1"/>
  </r>
  <r>
    <s v="TX501064"/>
    <x v="8"/>
    <x v="14"/>
    <n v="21.9"/>
    <n v="372.29999999999995"/>
    <x v="41"/>
    <d v="2025-02-13T00:00:00"/>
    <x v="2"/>
    <x v="4"/>
    <x v="1"/>
    <x v="0"/>
    <x v="3"/>
    <x v="1"/>
    <x v="6"/>
    <x v="2"/>
  </r>
  <r>
    <s v="TX501065"/>
    <x v="8"/>
    <x v="31"/>
    <n v="33.799999999999997"/>
    <n v="946.39999999999986"/>
    <x v="41"/>
    <d v="2025-02-13T00:00:00"/>
    <x v="1"/>
    <x v="2"/>
    <x v="4"/>
    <x v="0"/>
    <x v="3"/>
    <x v="1"/>
    <x v="6"/>
    <x v="1"/>
  </r>
  <r>
    <s v="TX501066"/>
    <x v="18"/>
    <x v="1"/>
    <n v="53.2"/>
    <n v="106.4"/>
    <x v="41"/>
    <d v="2025-02-11T00:00:00"/>
    <x v="1"/>
    <x v="1"/>
    <x v="0"/>
    <x v="0"/>
    <x v="3"/>
    <x v="7"/>
    <x v="6"/>
    <x v="1"/>
  </r>
  <r>
    <s v="TX501067"/>
    <x v="2"/>
    <x v="1"/>
    <n v="176.7"/>
    <n v="353.4"/>
    <x v="41"/>
    <d v="2025-02-14T00:00:00"/>
    <x v="2"/>
    <x v="2"/>
    <x v="0"/>
    <x v="0"/>
    <x v="3"/>
    <x v="2"/>
    <x v="6"/>
    <x v="2"/>
  </r>
  <r>
    <s v="TX501068"/>
    <x v="12"/>
    <x v="2"/>
    <n v="54"/>
    <n v="162"/>
    <x v="41"/>
    <d v="2025-02-14T00:00:00"/>
    <x v="1"/>
    <x v="0"/>
    <x v="1"/>
    <x v="0"/>
    <x v="3"/>
    <x v="2"/>
    <x v="6"/>
    <x v="1"/>
  </r>
  <r>
    <s v="TX501069"/>
    <x v="9"/>
    <x v="1"/>
    <n v="70.099999999999994"/>
    <n v="140.19999999999999"/>
    <x v="41"/>
    <d v="2025-02-19T00:00:00"/>
    <x v="2"/>
    <x v="3"/>
    <x v="2"/>
    <x v="0"/>
    <x v="3"/>
    <x v="9"/>
    <x v="6"/>
    <x v="2"/>
  </r>
  <r>
    <s v="TX501070"/>
    <x v="8"/>
    <x v="0"/>
    <n v="26.5"/>
    <n v="26.5"/>
    <x v="41"/>
    <d v="2025-02-13T00:00:00"/>
    <x v="2"/>
    <x v="1"/>
    <x v="0"/>
    <x v="0"/>
    <x v="3"/>
    <x v="1"/>
    <x v="6"/>
    <x v="2"/>
  </r>
  <r>
    <s v="TX501071"/>
    <x v="7"/>
    <x v="9"/>
    <n v="89"/>
    <n v="445"/>
    <x v="41"/>
    <d v="2025-02-13T00:00:00"/>
    <x v="1"/>
    <x v="2"/>
    <x v="4"/>
    <x v="0"/>
    <x v="3"/>
    <x v="1"/>
    <x v="6"/>
    <x v="1"/>
  </r>
  <r>
    <s v="TX501072"/>
    <x v="1"/>
    <x v="13"/>
    <n v="47"/>
    <n v="282"/>
    <x v="41"/>
    <d v="2025-02-14T00:00:00"/>
    <x v="2"/>
    <x v="3"/>
    <x v="0"/>
    <x v="0"/>
    <x v="24"/>
    <x v="2"/>
    <x v="6"/>
    <x v="2"/>
  </r>
  <r>
    <s v="TX501073"/>
    <x v="3"/>
    <x v="1"/>
    <n v="55.2"/>
    <n v="110.4"/>
    <x v="41"/>
    <d v="2025-02-14T00:00:00"/>
    <x v="1"/>
    <x v="1"/>
    <x v="1"/>
    <x v="0"/>
    <x v="6"/>
    <x v="2"/>
    <x v="6"/>
    <x v="1"/>
  </r>
  <r>
    <s v="TX501074"/>
    <x v="8"/>
    <x v="39"/>
    <n v="33.299999999999997"/>
    <n v="1398.6"/>
    <x v="41"/>
    <d v="2025-02-25T00:00:00"/>
    <x v="1"/>
    <x v="1"/>
    <x v="2"/>
    <x v="0"/>
    <x v="6"/>
    <x v="12"/>
    <x v="6"/>
    <x v="1"/>
  </r>
  <r>
    <s v="TX501075"/>
    <x v="2"/>
    <x v="12"/>
    <n v="110.9"/>
    <n v="443.6"/>
    <x v="42"/>
    <d v="2025-02-12T00:00:00"/>
    <x v="1"/>
    <x v="2"/>
    <x v="4"/>
    <x v="0"/>
    <x v="6"/>
    <x v="7"/>
    <x v="6"/>
    <x v="1"/>
  </r>
  <r>
    <s v="TX501076"/>
    <x v="2"/>
    <x v="13"/>
    <n v="67.3"/>
    <n v="403.79999999999995"/>
    <x v="42"/>
    <d v="2025-02-13T00:00:00"/>
    <x v="1"/>
    <x v="0"/>
    <x v="0"/>
    <x v="0"/>
    <x v="8"/>
    <x v="3"/>
    <x v="6"/>
    <x v="1"/>
  </r>
  <r>
    <s v="TX501077"/>
    <x v="6"/>
    <x v="2"/>
    <n v="69.7"/>
    <n v="209.10000000000002"/>
    <x v="42"/>
    <d v="2025-02-13T00:00:00"/>
    <x v="1"/>
    <x v="2"/>
    <x v="1"/>
    <x v="0"/>
    <x v="8"/>
    <x v="3"/>
    <x v="6"/>
    <x v="1"/>
  </r>
  <r>
    <s v="TX501078"/>
    <x v="5"/>
    <x v="0"/>
    <n v="39.1"/>
    <n v="39.1"/>
    <x v="42"/>
    <d v="2025-02-17T00:00:00"/>
    <x v="1"/>
    <x v="0"/>
    <x v="1"/>
    <x v="0"/>
    <x v="17"/>
    <x v="0"/>
    <x v="6"/>
    <x v="1"/>
  </r>
  <r>
    <s v="TX501079"/>
    <x v="2"/>
    <x v="2"/>
    <n v="208.6"/>
    <n v="625.79999999999995"/>
    <x v="42"/>
    <d v="2025-02-12T00:00:00"/>
    <x v="1"/>
    <x v="4"/>
    <x v="2"/>
    <x v="0"/>
    <x v="17"/>
    <x v="7"/>
    <x v="6"/>
    <x v="1"/>
  </r>
  <r>
    <s v="TX501080"/>
    <x v="15"/>
    <x v="2"/>
    <n v="27.8"/>
    <n v="83.4"/>
    <x v="42"/>
    <d v="2025-02-13T00:00:00"/>
    <x v="1"/>
    <x v="3"/>
    <x v="1"/>
    <x v="0"/>
    <x v="11"/>
    <x v="3"/>
    <x v="6"/>
    <x v="1"/>
  </r>
  <r>
    <s v="TX501081"/>
    <x v="10"/>
    <x v="9"/>
    <n v="29.4"/>
    <n v="147"/>
    <x v="42"/>
    <d v="2025-02-14T00:00:00"/>
    <x v="2"/>
    <x v="0"/>
    <x v="0"/>
    <x v="0"/>
    <x v="11"/>
    <x v="1"/>
    <x v="6"/>
    <x v="2"/>
  </r>
  <r>
    <s v="TX501082"/>
    <x v="9"/>
    <x v="1"/>
    <n v="29.2"/>
    <n v="58.4"/>
    <x v="42"/>
    <d v="2025-02-14T00:00:00"/>
    <x v="2"/>
    <x v="1"/>
    <x v="2"/>
    <x v="0"/>
    <x v="20"/>
    <x v="1"/>
    <x v="6"/>
    <x v="2"/>
  </r>
  <r>
    <s v="TX501083"/>
    <x v="10"/>
    <x v="9"/>
    <n v="26.5"/>
    <n v="132.5"/>
    <x v="42"/>
    <d v="2025-02-14T00:00:00"/>
    <x v="2"/>
    <x v="0"/>
    <x v="0"/>
    <x v="0"/>
    <x v="52"/>
    <x v="1"/>
    <x v="6"/>
    <x v="2"/>
  </r>
  <r>
    <s v="TX501084"/>
    <x v="5"/>
    <x v="0"/>
    <n v="30.3"/>
    <n v="30.3"/>
    <x v="42"/>
    <d v="2025-02-13T00:00:00"/>
    <x v="2"/>
    <x v="4"/>
    <x v="1"/>
    <x v="0"/>
    <x v="13"/>
    <x v="3"/>
    <x v="6"/>
    <x v="2"/>
  </r>
  <r>
    <s v="TX501085"/>
    <x v="16"/>
    <x v="4"/>
    <n v="39.700000000000003"/>
    <n v="476.40000000000003"/>
    <x v="42"/>
    <d v="2025-02-13T00:00:00"/>
    <x v="2"/>
    <x v="0"/>
    <x v="0"/>
    <x v="0"/>
    <x v="21"/>
    <x v="3"/>
    <x v="6"/>
    <x v="2"/>
  </r>
  <r>
    <s v="TX501086"/>
    <x v="7"/>
    <x v="7"/>
    <n v="58.9"/>
    <n v="589"/>
    <x v="42"/>
    <d v="2025-02-14T00:00:00"/>
    <x v="2"/>
    <x v="1"/>
    <x v="4"/>
    <x v="0"/>
    <x v="21"/>
    <x v="1"/>
    <x v="6"/>
    <x v="2"/>
  </r>
  <r>
    <s v="TX501087"/>
    <x v="2"/>
    <x v="1"/>
    <n v="174.1"/>
    <n v="348.2"/>
    <x v="42"/>
    <d v="2025-02-14T00:00:00"/>
    <x v="2"/>
    <x v="0"/>
    <x v="1"/>
    <x v="0"/>
    <x v="46"/>
    <x v="1"/>
    <x v="6"/>
    <x v="2"/>
  </r>
  <r>
    <s v="TX501088"/>
    <x v="6"/>
    <x v="1"/>
    <n v="70.8"/>
    <n v="141.6"/>
    <x v="42"/>
    <d v="2025-02-15T00:00:00"/>
    <x v="1"/>
    <x v="2"/>
    <x v="0"/>
    <x v="0"/>
    <x v="22"/>
    <x v="2"/>
    <x v="6"/>
    <x v="1"/>
  </r>
  <r>
    <s v="TX501089"/>
    <x v="7"/>
    <x v="1"/>
    <n v="57.4"/>
    <n v="114.8"/>
    <x v="42"/>
    <d v="2025-02-14T00:00:00"/>
    <x v="2"/>
    <x v="1"/>
    <x v="1"/>
    <x v="0"/>
    <x v="34"/>
    <x v="1"/>
    <x v="6"/>
    <x v="2"/>
  </r>
  <r>
    <s v="TX501090"/>
    <x v="0"/>
    <x v="1"/>
    <n v="28.5"/>
    <n v="57"/>
    <x v="42"/>
    <d v="2025-02-14T00:00:00"/>
    <x v="1"/>
    <x v="3"/>
    <x v="1"/>
    <x v="0"/>
    <x v="3"/>
    <x v="1"/>
    <x v="6"/>
    <x v="1"/>
  </r>
  <r>
    <s v="TX501091"/>
    <x v="2"/>
    <x v="28"/>
    <n v="106.6"/>
    <n v="2132"/>
    <x v="42"/>
    <d v="2025-02-13T00:00:00"/>
    <x v="0"/>
    <x v="1"/>
    <x v="4"/>
    <x v="0"/>
    <x v="3"/>
    <x v="3"/>
    <x v="6"/>
    <x v="0"/>
  </r>
  <r>
    <s v="TX501092"/>
    <x v="2"/>
    <x v="2"/>
    <n v="119.7"/>
    <n v="359.1"/>
    <x v="42"/>
    <d v="2025-02-13T00:00:00"/>
    <x v="2"/>
    <x v="1"/>
    <x v="4"/>
    <x v="0"/>
    <x v="3"/>
    <x v="3"/>
    <x v="6"/>
    <x v="2"/>
  </r>
  <r>
    <s v="TX501093"/>
    <x v="18"/>
    <x v="0"/>
    <n v="73.3"/>
    <n v="73.3"/>
    <x v="42"/>
    <d v="2025-02-17T00:00:00"/>
    <x v="2"/>
    <x v="0"/>
    <x v="2"/>
    <x v="0"/>
    <x v="3"/>
    <x v="0"/>
    <x v="6"/>
    <x v="2"/>
  </r>
  <r>
    <s v="TX501094"/>
    <x v="0"/>
    <x v="1"/>
    <n v="25.8"/>
    <n v="51.6"/>
    <x v="42"/>
    <d v="2025-02-26T00:00:00"/>
    <x v="1"/>
    <x v="2"/>
    <x v="0"/>
    <x v="0"/>
    <x v="3"/>
    <x v="12"/>
    <x v="6"/>
    <x v="1"/>
  </r>
  <r>
    <s v="TX501095"/>
    <x v="17"/>
    <x v="2"/>
    <n v="49.1"/>
    <n v="147.30000000000001"/>
    <x v="42"/>
    <d v="2025-02-14T00:00:00"/>
    <x v="2"/>
    <x v="0"/>
    <x v="0"/>
    <x v="0"/>
    <x v="24"/>
    <x v="1"/>
    <x v="6"/>
    <x v="2"/>
  </r>
  <r>
    <s v="TX501096"/>
    <x v="1"/>
    <x v="0"/>
    <n v="44.9"/>
    <n v="44.9"/>
    <x v="42"/>
    <d v="2025-02-15T00:00:00"/>
    <x v="2"/>
    <x v="3"/>
    <x v="2"/>
    <x v="0"/>
    <x v="6"/>
    <x v="2"/>
    <x v="6"/>
    <x v="2"/>
  </r>
  <r>
    <s v="TX501097"/>
    <x v="15"/>
    <x v="3"/>
    <n v="29.9"/>
    <n v="209.29999999999998"/>
    <x v="42"/>
    <d v="2025-02-13T00:00:00"/>
    <x v="2"/>
    <x v="0"/>
    <x v="0"/>
    <x v="0"/>
    <x v="6"/>
    <x v="3"/>
    <x v="6"/>
    <x v="2"/>
  </r>
  <r>
    <s v="TX501098"/>
    <x v="7"/>
    <x v="1"/>
    <n v="54.3"/>
    <n v="108.6"/>
    <x v="43"/>
    <d v="2025-02-14T00:00:00"/>
    <x v="1"/>
    <x v="3"/>
    <x v="0"/>
    <x v="0"/>
    <x v="36"/>
    <x v="3"/>
    <x v="6"/>
    <x v="1"/>
  </r>
  <r>
    <s v="TX501099"/>
    <x v="9"/>
    <x v="12"/>
    <n v="57"/>
    <n v="228"/>
    <x v="43"/>
    <d v="2025-02-15T00:00:00"/>
    <x v="2"/>
    <x v="0"/>
    <x v="0"/>
    <x v="0"/>
    <x v="8"/>
    <x v="1"/>
    <x v="6"/>
    <x v="2"/>
  </r>
  <r>
    <s v="TX501100"/>
    <x v="2"/>
    <x v="0"/>
    <n v="139.19999999999999"/>
    <n v="139.19999999999999"/>
    <x v="43"/>
    <d v="2025-02-14T00:00:00"/>
    <x v="2"/>
    <x v="3"/>
    <x v="2"/>
    <x v="0"/>
    <x v="8"/>
    <x v="3"/>
    <x v="6"/>
    <x v="2"/>
  </r>
  <r>
    <s v="TX501101"/>
    <x v="10"/>
    <x v="0"/>
    <n v="33"/>
    <n v="33"/>
    <x v="43"/>
    <d v="2025-02-16T00:00:00"/>
    <x v="2"/>
    <x v="0"/>
    <x v="2"/>
    <x v="0"/>
    <x v="8"/>
    <x v="2"/>
    <x v="6"/>
    <x v="2"/>
  </r>
  <r>
    <s v="TX501102"/>
    <x v="11"/>
    <x v="13"/>
    <n v="80.2"/>
    <n v="481.20000000000005"/>
    <x v="43"/>
    <d v="2025-02-15T00:00:00"/>
    <x v="1"/>
    <x v="1"/>
    <x v="4"/>
    <x v="0"/>
    <x v="8"/>
    <x v="1"/>
    <x v="6"/>
    <x v="1"/>
  </r>
  <r>
    <s v="TX501103"/>
    <x v="18"/>
    <x v="8"/>
    <n v="49"/>
    <n v="392"/>
    <x v="43"/>
    <d v="2025-02-14T00:00:00"/>
    <x v="0"/>
    <x v="2"/>
    <x v="1"/>
    <x v="0"/>
    <x v="9"/>
    <x v="3"/>
    <x v="6"/>
    <x v="0"/>
  </r>
  <r>
    <s v="TX501104"/>
    <x v="1"/>
    <x v="12"/>
    <n v="104.4"/>
    <n v="417.6"/>
    <x v="43"/>
    <d v="2025-02-13T00:00:00"/>
    <x v="2"/>
    <x v="0"/>
    <x v="0"/>
    <x v="0"/>
    <x v="9"/>
    <x v="7"/>
    <x v="6"/>
    <x v="2"/>
  </r>
  <r>
    <s v="TX501105"/>
    <x v="3"/>
    <x v="0"/>
    <n v="41.6"/>
    <n v="41.6"/>
    <x v="43"/>
    <d v="2025-02-16T00:00:00"/>
    <x v="1"/>
    <x v="3"/>
    <x v="0"/>
    <x v="0"/>
    <x v="11"/>
    <x v="2"/>
    <x v="6"/>
    <x v="1"/>
  </r>
  <r>
    <s v="TX501106"/>
    <x v="19"/>
    <x v="1"/>
    <n v="16.399999999999999"/>
    <n v="32.799999999999997"/>
    <x v="43"/>
    <d v="2025-02-14T00:00:00"/>
    <x v="3"/>
    <x v="0"/>
    <x v="2"/>
    <x v="0"/>
    <x v="11"/>
    <x v="3"/>
    <x v="6"/>
    <x v="3"/>
  </r>
  <r>
    <s v="TX501107"/>
    <x v="8"/>
    <x v="1"/>
    <n v="22"/>
    <n v="44"/>
    <x v="43"/>
    <d v="2025-02-14T00:00:00"/>
    <x v="1"/>
    <x v="2"/>
    <x v="2"/>
    <x v="0"/>
    <x v="53"/>
    <x v="3"/>
    <x v="6"/>
    <x v="1"/>
  </r>
  <r>
    <s v="TX501108"/>
    <x v="15"/>
    <x v="1"/>
    <n v="33.6"/>
    <n v="67.2"/>
    <x v="43"/>
    <d v="2025-02-18T00:00:00"/>
    <x v="2"/>
    <x v="0"/>
    <x v="0"/>
    <x v="0"/>
    <x v="21"/>
    <x v="0"/>
    <x v="6"/>
    <x v="2"/>
  </r>
  <r>
    <s v="TX501109"/>
    <x v="11"/>
    <x v="13"/>
    <n v="43"/>
    <n v="258"/>
    <x v="43"/>
    <d v="2025-02-14T00:00:00"/>
    <x v="2"/>
    <x v="2"/>
    <x v="0"/>
    <x v="0"/>
    <x v="21"/>
    <x v="3"/>
    <x v="6"/>
    <x v="2"/>
  </r>
  <r>
    <s v="TX501110"/>
    <x v="6"/>
    <x v="9"/>
    <n v="108.8"/>
    <n v="544"/>
    <x v="43"/>
    <d v="2025-02-16T00:00:00"/>
    <x v="2"/>
    <x v="4"/>
    <x v="2"/>
    <x v="0"/>
    <x v="21"/>
    <x v="2"/>
    <x v="6"/>
    <x v="2"/>
  </r>
  <r>
    <s v="TX501111"/>
    <x v="0"/>
    <x v="11"/>
    <n v="29.3"/>
    <n v="263.7"/>
    <x v="43"/>
    <d v="2025-02-15T00:00:00"/>
    <x v="1"/>
    <x v="4"/>
    <x v="2"/>
    <x v="0"/>
    <x v="21"/>
    <x v="1"/>
    <x v="6"/>
    <x v="1"/>
  </r>
  <r>
    <s v="TX501112"/>
    <x v="2"/>
    <x v="0"/>
    <n v="122.7"/>
    <n v="122.7"/>
    <x v="43"/>
    <d v="2025-02-16T00:00:00"/>
    <x v="3"/>
    <x v="0"/>
    <x v="2"/>
    <x v="0"/>
    <x v="1"/>
    <x v="2"/>
    <x v="6"/>
    <x v="3"/>
  </r>
  <r>
    <s v="TX501113"/>
    <x v="4"/>
    <x v="3"/>
    <n v="22.9"/>
    <n v="160.29999999999998"/>
    <x v="43"/>
    <d v="2025-02-14T00:00:00"/>
    <x v="2"/>
    <x v="0"/>
    <x v="0"/>
    <x v="0"/>
    <x v="42"/>
    <x v="3"/>
    <x v="6"/>
    <x v="2"/>
  </r>
  <r>
    <s v="TX501114"/>
    <x v="8"/>
    <x v="7"/>
    <n v="25.5"/>
    <n v="255"/>
    <x v="43"/>
    <d v="2025-02-20T00:00:00"/>
    <x v="2"/>
    <x v="0"/>
    <x v="0"/>
    <x v="0"/>
    <x v="33"/>
    <x v="6"/>
    <x v="6"/>
    <x v="2"/>
  </r>
  <r>
    <s v="TX501115"/>
    <x v="17"/>
    <x v="2"/>
    <n v="23.4"/>
    <n v="70.199999999999989"/>
    <x v="43"/>
    <d v="2025-02-17T00:00:00"/>
    <x v="2"/>
    <x v="0"/>
    <x v="2"/>
    <x v="0"/>
    <x v="3"/>
    <x v="5"/>
    <x v="6"/>
    <x v="2"/>
  </r>
  <r>
    <s v="TX501116"/>
    <x v="5"/>
    <x v="8"/>
    <n v="27.4"/>
    <n v="219.2"/>
    <x v="43"/>
    <d v="2025-02-16T00:00:00"/>
    <x v="2"/>
    <x v="2"/>
    <x v="0"/>
    <x v="0"/>
    <x v="3"/>
    <x v="2"/>
    <x v="6"/>
    <x v="2"/>
  </r>
  <r>
    <s v="TX501117"/>
    <x v="5"/>
    <x v="9"/>
    <n v="68.400000000000006"/>
    <n v="342"/>
    <x v="43"/>
    <d v="2025-02-14T00:00:00"/>
    <x v="2"/>
    <x v="0"/>
    <x v="0"/>
    <x v="0"/>
    <x v="3"/>
    <x v="3"/>
    <x v="6"/>
    <x v="2"/>
  </r>
  <r>
    <s v="TX501118"/>
    <x v="6"/>
    <x v="0"/>
    <n v="51.9"/>
    <n v="51.9"/>
    <x v="43"/>
    <d v="2025-02-13T00:00:00"/>
    <x v="2"/>
    <x v="0"/>
    <x v="0"/>
    <x v="0"/>
    <x v="3"/>
    <x v="7"/>
    <x v="6"/>
    <x v="2"/>
  </r>
  <r>
    <s v="TX501119"/>
    <x v="0"/>
    <x v="9"/>
    <n v="26.4"/>
    <n v="132"/>
    <x v="43"/>
    <d v="2025-02-16T00:00:00"/>
    <x v="2"/>
    <x v="0"/>
    <x v="2"/>
    <x v="0"/>
    <x v="3"/>
    <x v="2"/>
    <x v="6"/>
    <x v="2"/>
  </r>
  <r>
    <s v="TX501120"/>
    <x v="12"/>
    <x v="1"/>
    <n v="117"/>
    <n v="234"/>
    <x v="43"/>
    <d v="2025-02-14T00:00:00"/>
    <x v="2"/>
    <x v="1"/>
    <x v="1"/>
    <x v="0"/>
    <x v="3"/>
    <x v="3"/>
    <x v="6"/>
    <x v="2"/>
  </r>
  <r>
    <s v="TX501121"/>
    <x v="7"/>
    <x v="2"/>
    <n v="49.6"/>
    <n v="148.80000000000001"/>
    <x v="44"/>
    <d v="2025-02-16T00:00:00"/>
    <x v="2"/>
    <x v="0"/>
    <x v="0"/>
    <x v="0"/>
    <x v="3"/>
    <x v="1"/>
    <x v="6"/>
    <x v="2"/>
  </r>
  <r>
    <s v="TX501122"/>
    <x v="4"/>
    <x v="2"/>
    <n v="38"/>
    <n v="114"/>
    <x v="44"/>
    <d v="2025-02-17T00:00:00"/>
    <x v="1"/>
    <x v="2"/>
    <x v="4"/>
    <x v="0"/>
    <x v="3"/>
    <x v="2"/>
    <x v="6"/>
    <x v="1"/>
  </r>
  <r>
    <s v="TX501123"/>
    <x v="0"/>
    <x v="2"/>
    <n v="20.6"/>
    <n v="61.800000000000004"/>
    <x v="44"/>
    <d v="2025-02-16T00:00:00"/>
    <x v="2"/>
    <x v="4"/>
    <x v="2"/>
    <x v="0"/>
    <x v="3"/>
    <x v="1"/>
    <x v="6"/>
    <x v="2"/>
  </r>
  <r>
    <s v="TX501124"/>
    <x v="0"/>
    <x v="1"/>
    <n v="16"/>
    <n v="32"/>
    <x v="44"/>
    <d v="2025-02-15T00:00:00"/>
    <x v="1"/>
    <x v="1"/>
    <x v="1"/>
    <x v="0"/>
    <x v="49"/>
    <x v="3"/>
    <x v="6"/>
    <x v="1"/>
  </r>
  <r>
    <s v="TX501125"/>
    <x v="15"/>
    <x v="12"/>
    <n v="49.3"/>
    <n v="197.2"/>
    <x v="44"/>
    <d v="2025-02-15T00:00:00"/>
    <x v="2"/>
    <x v="2"/>
    <x v="0"/>
    <x v="0"/>
    <x v="23"/>
    <x v="3"/>
    <x v="6"/>
    <x v="2"/>
  </r>
  <r>
    <s v="TX501126"/>
    <x v="9"/>
    <x v="1"/>
    <n v="24.1"/>
    <n v="48.2"/>
    <x v="44"/>
    <d v="2025-02-18T00:00:00"/>
    <x v="2"/>
    <x v="0"/>
    <x v="0"/>
    <x v="0"/>
    <x v="6"/>
    <x v="5"/>
    <x v="6"/>
    <x v="2"/>
  </r>
  <r>
    <s v="TX501127"/>
    <x v="15"/>
    <x v="8"/>
    <n v="32.700000000000003"/>
    <n v="261.60000000000002"/>
    <x v="44"/>
    <d v="2025-02-15T00:00:00"/>
    <x v="2"/>
    <x v="1"/>
    <x v="0"/>
    <x v="0"/>
    <x v="6"/>
    <x v="3"/>
    <x v="6"/>
    <x v="2"/>
  </r>
  <r>
    <s v="TX501128"/>
    <x v="6"/>
    <x v="2"/>
    <n v="74.400000000000006"/>
    <n v="223.20000000000002"/>
    <x v="44"/>
    <d v="2025-02-15T00:00:00"/>
    <x v="2"/>
    <x v="3"/>
    <x v="2"/>
    <x v="0"/>
    <x v="8"/>
    <x v="3"/>
    <x v="6"/>
    <x v="2"/>
  </r>
  <r>
    <s v="TX501129"/>
    <x v="12"/>
    <x v="0"/>
    <n v="45.6"/>
    <n v="45.6"/>
    <x v="44"/>
    <d v="2025-02-18T00:00:00"/>
    <x v="2"/>
    <x v="4"/>
    <x v="0"/>
    <x v="0"/>
    <x v="8"/>
    <x v="5"/>
    <x v="6"/>
    <x v="2"/>
  </r>
  <r>
    <s v="TX501130"/>
    <x v="8"/>
    <x v="8"/>
    <n v="19.600000000000001"/>
    <n v="156.80000000000001"/>
    <x v="44"/>
    <d v="2025-02-27T00:00:00"/>
    <x v="2"/>
    <x v="0"/>
    <x v="0"/>
    <x v="0"/>
    <x v="8"/>
    <x v="10"/>
    <x v="6"/>
    <x v="2"/>
  </r>
  <r>
    <s v="TX501131"/>
    <x v="9"/>
    <x v="0"/>
    <n v="51.8"/>
    <n v="51.8"/>
    <x v="44"/>
    <d v="2025-02-15T00:00:00"/>
    <x v="2"/>
    <x v="1"/>
    <x v="0"/>
    <x v="0"/>
    <x v="8"/>
    <x v="3"/>
    <x v="6"/>
    <x v="2"/>
  </r>
  <r>
    <s v="TX501132"/>
    <x v="6"/>
    <x v="0"/>
    <n v="74.7"/>
    <n v="74.7"/>
    <x v="44"/>
    <d v="2025-02-15T00:00:00"/>
    <x v="1"/>
    <x v="0"/>
    <x v="1"/>
    <x v="0"/>
    <x v="8"/>
    <x v="3"/>
    <x v="6"/>
    <x v="1"/>
  </r>
  <r>
    <s v="TX501133"/>
    <x v="19"/>
    <x v="2"/>
    <n v="22.4"/>
    <n v="67.199999999999989"/>
    <x v="44"/>
    <d v="2025-02-15T00:00:00"/>
    <x v="2"/>
    <x v="1"/>
    <x v="2"/>
    <x v="0"/>
    <x v="9"/>
    <x v="3"/>
    <x v="6"/>
    <x v="2"/>
  </r>
  <r>
    <s v="TX501134"/>
    <x v="1"/>
    <x v="12"/>
    <n v="31.4"/>
    <n v="125.6"/>
    <x v="44"/>
    <d v="2025-02-15T00:00:00"/>
    <x v="2"/>
    <x v="1"/>
    <x v="0"/>
    <x v="0"/>
    <x v="9"/>
    <x v="3"/>
    <x v="6"/>
    <x v="2"/>
  </r>
  <r>
    <s v="TX501135"/>
    <x v="6"/>
    <x v="0"/>
    <n v="94"/>
    <n v="94"/>
    <x v="44"/>
    <d v="2025-02-14T00:00:00"/>
    <x v="2"/>
    <x v="1"/>
    <x v="2"/>
    <x v="0"/>
    <x v="10"/>
    <x v="7"/>
    <x v="6"/>
    <x v="2"/>
  </r>
  <r>
    <s v="TX501136"/>
    <x v="10"/>
    <x v="0"/>
    <n v="22.3"/>
    <n v="22.3"/>
    <x v="44"/>
    <d v="2025-02-15T00:00:00"/>
    <x v="1"/>
    <x v="4"/>
    <x v="0"/>
    <x v="0"/>
    <x v="20"/>
    <x v="3"/>
    <x v="6"/>
    <x v="1"/>
  </r>
  <r>
    <s v="TX501137"/>
    <x v="0"/>
    <x v="0"/>
    <n v="21.9"/>
    <n v="21.9"/>
    <x v="44"/>
    <d v="2025-02-17T00:00:00"/>
    <x v="2"/>
    <x v="2"/>
    <x v="0"/>
    <x v="0"/>
    <x v="21"/>
    <x v="2"/>
    <x v="6"/>
    <x v="2"/>
  </r>
  <r>
    <s v="TX501138"/>
    <x v="17"/>
    <x v="2"/>
    <n v="27"/>
    <n v="81"/>
    <x v="44"/>
    <d v="2025-02-16T00:00:00"/>
    <x v="2"/>
    <x v="4"/>
    <x v="2"/>
    <x v="0"/>
    <x v="2"/>
    <x v="1"/>
    <x v="6"/>
    <x v="2"/>
  </r>
  <r>
    <s v="TX501139"/>
    <x v="2"/>
    <x v="12"/>
    <n v="149.6"/>
    <n v="598.4"/>
    <x v="44"/>
    <d v="2025-02-14T00:00:00"/>
    <x v="2"/>
    <x v="4"/>
    <x v="0"/>
    <x v="0"/>
    <x v="22"/>
    <x v="7"/>
    <x v="6"/>
    <x v="2"/>
  </r>
  <r>
    <s v="TX501140"/>
    <x v="2"/>
    <x v="12"/>
    <n v="129.1"/>
    <n v="516.4"/>
    <x v="44"/>
    <d v="2025-02-24T00:00:00"/>
    <x v="1"/>
    <x v="0"/>
    <x v="1"/>
    <x v="0"/>
    <x v="3"/>
    <x v="14"/>
    <x v="6"/>
    <x v="1"/>
  </r>
  <r>
    <s v="TX501141"/>
    <x v="1"/>
    <x v="4"/>
    <n v="40.4"/>
    <n v="484.79999999999995"/>
    <x v="44"/>
    <d v="2025-02-15T00:00:00"/>
    <x v="1"/>
    <x v="1"/>
    <x v="1"/>
    <x v="0"/>
    <x v="3"/>
    <x v="3"/>
    <x v="6"/>
    <x v="1"/>
  </r>
  <r>
    <s v="TX501142"/>
    <x v="4"/>
    <x v="2"/>
    <n v="48.5"/>
    <n v="145.5"/>
    <x v="44"/>
    <d v="2025-02-16T00:00:00"/>
    <x v="2"/>
    <x v="0"/>
    <x v="4"/>
    <x v="0"/>
    <x v="3"/>
    <x v="1"/>
    <x v="6"/>
    <x v="2"/>
  </r>
  <r>
    <s v="TX501143"/>
    <x v="9"/>
    <x v="1"/>
    <n v="37.6"/>
    <n v="75.2"/>
    <x v="44"/>
    <d v="2025-02-16T00:00:00"/>
    <x v="2"/>
    <x v="1"/>
    <x v="2"/>
    <x v="0"/>
    <x v="3"/>
    <x v="1"/>
    <x v="6"/>
    <x v="2"/>
  </r>
  <r>
    <s v="TX501144"/>
    <x v="8"/>
    <x v="1"/>
    <n v="19.600000000000001"/>
    <n v="39.200000000000003"/>
    <x v="44"/>
    <d v="2025-02-15T00:00:00"/>
    <x v="1"/>
    <x v="3"/>
    <x v="4"/>
    <x v="0"/>
    <x v="43"/>
    <x v="3"/>
    <x v="6"/>
    <x v="1"/>
  </r>
  <r>
    <s v="TX501145"/>
    <x v="8"/>
    <x v="9"/>
    <n v="18.5"/>
    <n v="92.5"/>
    <x v="44"/>
    <d v="2025-02-15T00:00:00"/>
    <x v="2"/>
    <x v="2"/>
    <x v="1"/>
    <x v="0"/>
    <x v="6"/>
    <x v="3"/>
    <x v="6"/>
    <x v="2"/>
  </r>
  <r>
    <s v="TX501146"/>
    <x v="5"/>
    <x v="2"/>
    <n v="25.5"/>
    <n v="76.5"/>
    <x v="44"/>
    <d v="2025-02-16T00:00:00"/>
    <x v="2"/>
    <x v="4"/>
    <x v="1"/>
    <x v="0"/>
    <x v="6"/>
    <x v="1"/>
    <x v="6"/>
    <x v="2"/>
  </r>
  <r>
    <s v="TX501147"/>
    <x v="2"/>
    <x v="1"/>
    <n v="94.7"/>
    <n v="189.4"/>
    <x v="44"/>
    <d v="2025-02-15T00:00:00"/>
    <x v="2"/>
    <x v="2"/>
    <x v="0"/>
    <x v="0"/>
    <x v="36"/>
    <x v="3"/>
    <x v="6"/>
    <x v="2"/>
  </r>
  <r>
    <s v="TX501148"/>
    <x v="1"/>
    <x v="13"/>
    <n v="38.799999999999997"/>
    <n v="232.79999999999998"/>
    <x v="44"/>
    <d v="2025-02-19T00:00:00"/>
    <x v="2"/>
    <x v="2"/>
    <x v="2"/>
    <x v="0"/>
    <x v="8"/>
    <x v="0"/>
    <x v="6"/>
    <x v="2"/>
  </r>
  <r>
    <s v="TX501149"/>
    <x v="9"/>
    <x v="1"/>
    <n v="49.4"/>
    <n v="98.8"/>
    <x v="45"/>
    <d v="2025-02-23T00:00:00"/>
    <x v="1"/>
    <x v="4"/>
    <x v="1"/>
    <x v="0"/>
    <x v="8"/>
    <x v="9"/>
    <x v="6"/>
    <x v="1"/>
  </r>
  <r>
    <s v="TX501150"/>
    <x v="7"/>
    <x v="2"/>
    <n v="68"/>
    <n v="204"/>
    <x v="45"/>
    <d v="2025-02-18T00:00:00"/>
    <x v="1"/>
    <x v="0"/>
    <x v="2"/>
    <x v="0"/>
    <x v="8"/>
    <x v="2"/>
    <x v="6"/>
    <x v="1"/>
  </r>
  <r>
    <s v="TX501151"/>
    <x v="15"/>
    <x v="3"/>
    <n v="63.7"/>
    <n v="445.90000000000003"/>
    <x v="45"/>
    <d v="2025-02-16T00:00:00"/>
    <x v="2"/>
    <x v="2"/>
    <x v="2"/>
    <x v="0"/>
    <x v="8"/>
    <x v="3"/>
    <x v="6"/>
    <x v="2"/>
  </r>
  <r>
    <s v="TX501152"/>
    <x v="10"/>
    <x v="1"/>
    <n v="66.2"/>
    <n v="132.4"/>
    <x v="45"/>
    <d v="2025-02-16T00:00:00"/>
    <x v="2"/>
    <x v="4"/>
    <x v="2"/>
    <x v="0"/>
    <x v="17"/>
    <x v="3"/>
    <x v="6"/>
    <x v="2"/>
  </r>
  <r>
    <s v="TX501153"/>
    <x v="12"/>
    <x v="2"/>
    <n v="32.299999999999997"/>
    <n v="96.899999999999991"/>
    <x v="45"/>
    <d v="2025-02-16T00:00:00"/>
    <x v="3"/>
    <x v="2"/>
    <x v="1"/>
    <x v="0"/>
    <x v="9"/>
    <x v="3"/>
    <x v="6"/>
    <x v="3"/>
  </r>
  <r>
    <s v="TX501154"/>
    <x v="4"/>
    <x v="1"/>
    <n v="66.900000000000006"/>
    <n v="133.80000000000001"/>
    <x v="45"/>
    <d v="2025-02-18T00:00:00"/>
    <x v="1"/>
    <x v="1"/>
    <x v="0"/>
    <x v="0"/>
    <x v="11"/>
    <x v="2"/>
    <x v="6"/>
    <x v="1"/>
  </r>
  <r>
    <s v="TX501155"/>
    <x v="4"/>
    <x v="4"/>
    <n v="25.2"/>
    <n v="302.39999999999998"/>
    <x v="45"/>
    <d v="2025-02-19T00:00:00"/>
    <x v="2"/>
    <x v="0"/>
    <x v="1"/>
    <x v="0"/>
    <x v="11"/>
    <x v="5"/>
    <x v="6"/>
    <x v="2"/>
  </r>
  <r>
    <s v="TX501156"/>
    <x v="10"/>
    <x v="13"/>
    <n v="29.5"/>
    <n v="177"/>
    <x v="45"/>
    <d v="2025-02-16T00:00:00"/>
    <x v="1"/>
    <x v="2"/>
    <x v="0"/>
    <x v="0"/>
    <x v="11"/>
    <x v="3"/>
    <x v="6"/>
    <x v="1"/>
  </r>
  <r>
    <s v="TX501157"/>
    <x v="8"/>
    <x v="9"/>
    <n v="21.6"/>
    <n v="108"/>
    <x v="45"/>
    <d v="2025-02-17T00:00:00"/>
    <x v="2"/>
    <x v="0"/>
    <x v="2"/>
    <x v="0"/>
    <x v="32"/>
    <x v="1"/>
    <x v="6"/>
    <x v="2"/>
  </r>
  <r>
    <s v="TX501158"/>
    <x v="12"/>
    <x v="2"/>
    <n v="69"/>
    <n v="207"/>
    <x v="45"/>
    <d v="2025-02-16T00:00:00"/>
    <x v="2"/>
    <x v="0"/>
    <x v="0"/>
    <x v="0"/>
    <x v="18"/>
    <x v="3"/>
    <x v="6"/>
    <x v="2"/>
  </r>
  <r>
    <s v="TX501159"/>
    <x v="7"/>
    <x v="1"/>
    <n v="115"/>
    <n v="230"/>
    <x v="45"/>
    <d v="2025-02-19T00:00:00"/>
    <x v="1"/>
    <x v="0"/>
    <x v="2"/>
    <x v="0"/>
    <x v="18"/>
    <x v="5"/>
    <x v="6"/>
    <x v="1"/>
  </r>
  <r>
    <s v="TX501160"/>
    <x v="2"/>
    <x v="1"/>
    <n v="109.3"/>
    <n v="218.6"/>
    <x v="45"/>
    <d v="2025-02-17T00:00:00"/>
    <x v="0"/>
    <x v="3"/>
    <x v="1"/>
    <x v="0"/>
    <x v="19"/>
    <x v="1"/>
    <x v="6"/>
    <x v="0"/>
  </r>
  <r>
    <s v="TX501161"/>
    <x v="9"/>
    <x v="1"/>
    <n v="66.599999999999994"/>
    <n v="133.19999999999999"/>
    <x v="45"/>
    <d v="2025-02-18T00:00:00"/>
    <x v="0"/>
    <x v="4"/>
    <x v="1"/>
    <x v="0"/>
    <x v="19"/>
    <x v="2"/>
    <x v="6"/>
    <x v="0"/>
  </r>
  <r>
    <s v="TX501162"/>
    <x v="12"/>
    <x v="9"/>
    <n v="47.7"/>
    <n v="238.5"/>
    <x v="45"/>
    <d v="2025-02-16T00:00:00"/>
    <x v="1"/>
    <x v="3"/>
    <x v="2"/>
    <x v="0"/>
    <x v="21"/>
    <x v="3"/>
    <x v="6"/>
    <x v="1"/>
  </r>
  <r>
    <s v="TX501163"/>
    <x v="8"/>
    <x v="1"/>
    <n v="46"/>
    <n v="92"/>
    <x v="45"/>
    <d v="2025-02-16T00:00:00"/>
    <x v="2"/>
    <x v="4"/>
    <x v="4"/>
    <x v="0"/>
    <x v="22"/>
    <x v="3"/>
    <x v="6"/>
    <x v="2"/>
  </r>
  <r>
    <s v="TX501164"/>
    <x v="1"/>
    <x v="13"/>
    <n v="39.299999999999997"/>
    <n v="235.79999999999998"/>
    <x v="45"/>
    <d v="2025-02-17T00:00:00"/>
    <x v="1"/>
    <x v="3"/>
    <x v="2"/>
    <x v="0"/>
    <x v="3"/>
    <x v="1"/>
    <x v="6"/>
    <x v="1"/>
  </r>
  <r>
    <s v="TX501165"/>
    <x v="9"/>
    <x v="0"/>
    <n v="70.2"/>
    <n v="70.2"/>
    <x v="45"/>
    <d v="2025-02-16T00:00:00"/>
    <x v="2"/>
    <x v="0"/>
    <x v="4"/>
    <x v="0"/>
    <x v="3"/>
    <x v="3"/>
    <x v="6"/>
    <x v="2"/>
  </r>
  <r>
    <s v="TX501166"/>
    <x v="3"/>
    <x v="12"/>
    <n v="71.5"/>
    <n v="286"/>
    <x v="45"/>
    <d v="2025-02-15T00:00:00"/>
    <x v="2"/>
    <x v="1"/>
    <x v="2"/>
    <x v="0"/>
    <x v="3"/>
    <x v="7"/>
    <x v="6"/>
    <x v="2"/>
  </r>
  <r>
    <s v="TX501167"/>
    <x v="10"/>
    <x v="3"/>
    <n v="31"/>
    <n v="217"/>
    <x v="45"/>
    <d v="2025-02-22T00:00:00"/>
    <x v="2"/>
    <x v="3"/>
    <x v="2"/>
    <x v="0"/>
    <x v="3"/>
    <x v="6"/>
    <x v="6"/>
    <x v="2"/>
  </r>
  <r>
    <s v="TX501168"/>
    <x v="2"/>
    <x v="9"/>
    <n v="68.2"/>
    <n v="341"/>
    <x v="45"/>
    <d v="2025-02-20T00:00:00"/>
    <x v="2"/>
    <x v="0"/>
    <x v="2"/>
    <x v="0"/>
    <x v="3"/>
    <x v="0"/>
    <x v="6"/>
    <x v="2"/>
  </r>
  <r>
    <s v="TX501169"/>
    <x v="2"/>
    <x v="0"/>
    <n v="91.4"/>
    <n v="91.4"/>
    <x v="45"/>
    <d v="2025-02-19T00:00:00"/>
    <x v="2"/>
    <x v="1"/>
    <x v="2"/>
    <x v="0"/>
    <x v="6"/>
    <x v="5"/>
    <x v="6"/>
    <x v="2"/>
  </r>
  <r>
    <s v="TX501170"/>
    <x v="6"/>
    <x v="7"/>
    <n v="112.9"/>
    <n v="1129"/>
    <x v="45"/>
    <d v="2025-02-16T00:00:00"/>
    <x v="2"/>
    <x v="0"/>
    <x v="0"/>
    <x v="0"/>
    <x v="6"/>
    <x v="3"/>
    <x v="6"/>
    <x v="2"/>
  </r>
  <r>
    <s v="TX501171"/>
    <x v="17"/>
    <x v="11"/>
    <n v="33.700000000000003"/>
    <n v="303.3"/>
    <x v="45"/>
    <d v="2025-02-16T00:00:00"/>
    <x v="2"/>
    <x v="1"/>
    <x v="2"/>
    <x v="0"/>
    <x v="8"/>
    <x v="3"/>
    <x v="6"/>
    <x v="2"/>
  </r>
  <r>
    <s v="TX501172"/>
    <x v="15"/>
    <x v="7"/>
    <n v="35.299999999999997"/>
    <n v="353"/>
    <x v="45"/>
    <d v="2025-02-17T00:00:00"/>
    <x v="1"/>
    <x v="2"/>
    <x v="0"/>
    <x v="0"/>
    <x v="8"/>
    <x v="1"/>
    <x v="6"/>
    <x v="1"/>
  </r>
  <r>
    <s v="TX501173"/>
    <x v="18"/>
    <x v="2"/>
    <n v="45.6"/>
    <n v="136.80000000000001"/>
    <x v="45"/>
    <d v="2025-02-19T00:00:00"/>
    <x v="1"/>
    <x v="3"/>
    <x v="0"/>
    <x v="0"/>
    <x v="8"/>
    <x v="5"/>
    <x v="6"/>
    <x v="1"/>
  </r>
  <r>
    <s v="TX501174"/>
    <x v="7"/>
    <x v="3"/>
    <n v="47.1"/>
    <n v="329.7"/>
    <x v="45"/>
    <d v="2025-02-16T00:00:00"/>
    <x v="2"/>
    <x v="4"/>
    <x v="2"/>
    <x v="0"/>
    <x v="9"/>
    <x v="3"/>
    <x v="6"/>
    <x v="2"/>
  </r>
  <r>
    <s v="TX501175"/>
    <x v="8"/>
    <x v="9"/>
    <n v="16.2"/>
    <n v="81"/>
    <x v="45"/>
    <d v="2025-02-17T00:00:00"/>
    <x v="2"/>
    <x v="3"/>
    <x v="2"/>
    <x v="0"/>
    <x v="19"/>
    <x v="1"/>
    <x v="6"/>
    <x v="2"/>
  </r>
  <r>
    <s v="TX501176"/>
    <x v="1"/>
    <x v="1"/>
    <n v="159.69999999999999"/>
    <n v="319.39999999999998"/>
    <x v="46"/>
    <d v="2025-02-17T00:00:00"/>
    <x v="1"/>
    <x v="4"/>
    <x v="0"/>
    <x v="0"/>
    <x v="13"/>
    <x v="3"/>
    <x v="7"/>
    <x v="1"/>
  </r>
  <r>
    <s v="TX501177"/>
    <x v="8"/>
    <x v="12"/>
    <n v="19"/>
    <n v="76"/>
    <x v="46"/>
    <d v="2025-02-23T00:00:00"/>
    <x v="2"/>
    <x v="2"/>
    <x v="2"/>
    <x v="0"/>
    <x v="21"/>
    <x v="6"/>
    <x v="7"/>
    <x v="2"/>
  </r>
  <r>
    <s v="TX501178"/>
    <x v="6"/>
    <x v="13"/>
    <n v="91.1"/>
    <n v="546.59999999999991"/>
    <x v="46"/>
    <d v="2025-02-25T00:00:00"/>
    <x v="2"/>
    <x v="4"/>
    <x v="0"/>
    <x v="0"/>
    <x v="21"/>
    <x v="8"/>
    <x v="7"/>
    <x v="2"/>
  </r>
  <r>
    <s v="TX501179"/>
    <x v="2"/>
    <x v="9"/>
    <n v="94.1"/>
    <n v="470.5"/>
    <x v="46"/>
    <d v="2025-02-19T00:00:00"/>
    <x v="0"/>
    <x v="1"/>
    <x v="1"/>
    <x v="0"/>
    <x v="21"/>
    <x v="2"/>
    <x v="7"/>
    <x v="0"/>
  </r>
  <r>
    <s v="TX501180"/>
    <x v="9"/>
    <x v="11"/>
    <n v="21.1"/>
    <n v="189.9"/>
    <x v="46"/>
    <d v="2025-02-17T00:00:00"/>
    <x v="2"/>
    <x v="4"/>
    <x v="2"/>
    <x v="0"/>
    <x v="51"/>
    <x v="3"/>
    <x v="7"/>
    <x v="2"/>
  </r>
  <r>
    <s v="TX501181"/>
    <x v="8"/>
    <x v="3"/>
    <n v="15.3"/>
    <n v="107.10000000000001"/>
    <x v="46"/>
    <d v="2025-02-24T00:00:00"/>
    <x v="2"/>
    <x v="2"/>
    <x v="0"/>
    <x v="0"/>
    <x v="1"/>
    <x v="9"/>
    <x v="7"/>
    <x v="2"/>
  </r>
  <r>
    <s v="TX501182"/>
    <x v="15"/>
    <x v="12"/>
    <n v="21.3"/>
    <n v="85.2"/>
    <x v="46"/>
    <d v="2025-02-19T00:00:00"/>
    <x v="1"/>
    <x v="1"/>
    <x v="0"/>
    <x v="0"/>
    <x v="3"/>
    <x v="2"/>
    <x v="7"/>
    <x v="1"/>
  </r>
  <r>
    <s v="TX501183"/>
    <x v="0"/>
    <x v="1"/>
    <n v="23.2"/>
    <n v="46.4"/>
    <x v="46"/>
    <d v="2025-02-16T00:00:00"/>
    <x v="0"/>
    <x v="3"/>
    <x v="1"/>
    <x v="0"/>
    <x v="3"/>
    <x v="7"/>
    <x v="7"/>
    <x v="0"/>
  </r>
  <r>
    <s v="TX501184"/>
    <x v="4"/>
    <x v="2"/>
    <n v="25.7"/>
    <n v="77.099999999999994"/>
    <x v="46"/>
    <d v="2025-02-17T00:00:00"/>
    <x v="1"/>
    <x v="4"/>
    <x v="0"/>
    <x v="0"/>
    <x v="3"/>
    <x v="3"/>
    <x v="7"/>
    <x v="1"/>
  </r>
  <r>
    <s v="TX501185"/>
    <x v="0"/>
    <x v="11"/>
    <n v="31.6"/>
    <n v="284.40000000000003"/>
    <x v="46"/>
    <d v="2025-02-18T00:00:00"/>
    <x v="2"/>
    <x v="0"/>
    <x v="0"/>
    <x v="0"/>
    <x v="3"/>
    <x v="1"/>
    <x v="7"/>
    <x v="2"/>
  </r>
  <r>
    <s v="TX501186"/>
    <x v="6"/>
    <x v="0"/>
    <n v="64.2"/>
    <n v="64.2"/>
    <x v="46"/>
    <d v="2025-02-21T00:00:00"/>
    <x v="1"/>
    <x v="0"/>
    <x v="0"/>
    <x v="0"/>
    <x v="3"/>
    <x v="0"/>
    <x v="7"/>
    <x v="1"/>
  </r>
  <r>
    <s v="TX501187"/>
    <x v="8"/>
    <x v="1"/>
    <n v="55.8"/>
    <n v="111.6"/>
    <x v="46"/>
    <d v="2025-02-18T00:00:00"/>
    <x v="0"/>
    <x v="0"/>
    <x v="0"/>
    <x v="0"/>
    <x v="3"/>
    <x v="1"/>
    <x v="7"/>
    <x v="0"/>
  </r>
  <r>
    <s v="TX501188"/>
    <x v="8"/>
    <x v="1"/>
    <n v="28.1"/>
    <n v="56.2"/>
    <x v="46"/>
    <d v="2025-02-17T00:00:00"/>
    <x v="2"/>
    <x v="4"/>
    <x v="1"/>
    <x v="0"/>
    <x v="3"/>
    <x v="3"/>
    <x v="7"/>
    <x v="2"/>
  </r>
  <r>
    <s v="TX501189"/>
    <x v="0"/>
    <x v="1"/>
    <n v="11.6"/>
    <n v="23.2"/>
    <x v="46"/>
    <d v="2025-02-18T00:00:00"/>
    <x v="2"/>
    <x v="1"/>
    <x v="0"/>
    <x v="0"/>
    <x v="24"/>
    <x v="1"/>
    <x v="7"/>
    <x v="2"/>
  </r>
  <r>
    <s v="TX501190"/>
    <x v="5"/>
    <x v="2"/>
    <n v="50.4"/>
    <n v="151.19999999999999"/>
    <x v="46"/>
    <d v="2025-02-17T00:00:00"/>
    <x v="1"/>
    <x v="4"/>
    <x v="2"/>
    <x v="0"/>
    <x v="25"/>
    <x v="3"/>
    <x v="7"/>
    <x v="1"/>
  </r>
  <r>
    <s v="TX501191"/>
    <x v="6"/>
    <x v="13"/>
    <n v="48.3"/>
    <n v="289.79999999999995"/>
    <x v="46"/>
    <d v="2025-02-20T00:00:00"/>
    <x v="2"/>
    <x v="0"/>
    <x v="0"/>
    <x v="0"/>
    <x v="25"/>
    <x v="5"/>
    <x v="7"/>
    <x v="2"/>
  </r>
  <r>
    <s v="TX501192"/>
    <x v="17"/>
    <x v="3"/>
    <n v="32.200000000000003"/>
    <n v="225.40000000000003"/>
    <x v="46"/>
    <d v="2025-02-18T00:00:00"/>
    <x v="2"/>
    <x v="2"/>
    <x v="0"/>
    <x v="0"/>
    <x v="25"/>
    <x v="1"/>
    <x v="7"/>
    <x v="2"/>
  </r>
  <r>
    <s v="TX501193"/>
    <x v="7"/>
    <x v="31"/>
    <n v="48.5"/>
    <n v="1358"/>
    <x v="46"/>
    <d v="2025-02-17T00:00:00"/>
    <x v="1"/>
    <x v="0"/>
    <x v="0"/>
    <x v="0"/>
    <x v="5"/>
    <x v="3"/>
    <x v="7"/>
    <x v="1"/>
  </r>
  <r>
    <s v="TX501194"/>
    <x v="2"/>
    <x v="9"/>
    <n v="62"/>
    <n v="310"/>
    <x v="46"/>
    <d v="2025-02-19T00:00:00"/>
    <x v="2"/>
    <x v="1"/>
    <x v="0"/>
    <x v="0"/>
    <x v="6"/>
    <x v="2"/>
    <x v="7"/>
    <x v="2"/>
  </r>
  <r>
    <s v="TX501195"/>
    <x v="8"/>
    <x v="2"/>
    <n v="32.1"/>
    <n v="96.300000000000011"/>
    <x v="47"/>
    <d v="2025-02-19T00:00:00"/>
    <x v="1"/>
    <x v="0"/>
    <x v="0"/>
    <x v="0"/>
    <x v="6"/>
    <x v="1"/>
    <x v="7"/>
    <x v="1"/>
  </r>
  <r>
    <s v="TX501196"/>
    <x v="12"/>
    <x v="2"/>
    <n v="106.1"/>
    <n v="318.29999999999995"/>
    <x v="47"/>
    <d v="2025-02-19T00:00:00"/>
    <x v="1"/>
    <x v="0"/>
    <x v="1"/>
    <x v="0"/>
    <x v="7"/>
    <x v="1"/>
    <x v="7"/>
    <x v="1"/>
  </r>
  <r>
    <s v="TX501197"/>
    <x v="10"/>
    <x v="2"/>
    <n v="23.5"/>
    <n v="70.5"/>
    <x v="47"/>
    <d v="2025-02-20T00:00:00"/>
    <x v="1"/>
    <x v="0"/>
    <x v="4"/>
    <x v="0"/>
    <x v="7"/>
    <x v="2"/>
    <x v="7"/>
    <x v="1"/>
  </r>
  <r>
    <s v="TX501198"/>
    <x v="1"/>
    <x v="1"/>
    <n v="35.6"/>
    <n v="71.2"/>
    <x v="47"/>
    <d v="2025-02-22T00:00:00"/>
    <x v="1"/>
    <x v="4"/>
    <x v="0"/>
    <x v="0"/>
    <x v="8"/>
    <x v="0"/>
    <x v="7"/>
    <x v="1"/>
  </r>
  <r>
    <s v="TX501199"/>
    <x v="1"/>
    <x v="1"/>
    <n v="63.5"/>
    <n v="127"/>
    <x v="47"/>
    <d v="2025-02-17T00:00:00"/>
    <x v="2"/>
    <x v="1"/>
    <x v="2"/>
    <x v="0"/>
    <x v="8"/>
    <x v="7"/>
    <x v="7"/>
    <x v="2"/>
  </r>
  <r>
    <s v="TX501200"/>
    <x v="6"/>
    <x v="3"/>
    <n v="82.9"/>
    <n v="580.30000000000007"/>
    <x v="47"/>
    <d v="2025-02-22T00:00:00"/>
    <x v="2"/>
    <x v="4"/>
    <x v="0"/>
    <x v="0"/>
    <x v="9"/>
    <x v="0"/>
    <x v="7"/>
    <x v="2"/>
  </r>
  <r>
    <s v="TX501201"/>
    <x v="6"/>
    <x v="1"/>
    <n v="83.6"/>
    <n v="167.2"/>
    <x v="47"/>
    <d v="2025-02-22T00:00:00"/>
    <x v="2"/>
    <x v="0"/>
    <x v="0"/>
    <x v="0"/>
    <x v="11"/>
    <x v="0"/>
    <x v="7"/>
    <x v="2"/>
  </r>
  <r>
    <s v="TX501202"/>
    <x v="4"/>
    <x v="1"/>
    <n v="29.4"/>
    <n v="58.8"/>
    <x v="47"/>
    <d v="2025-02-17T00:00:00"/>
    <x v="2"/>
    <x v="0"/>
    <x v="1"/>
    <x v="0"/>
    <x v="30"/>
    <x v="7"/>
    <x v="7"/>
    <x v="2"/>
  </r>
  <r>
    <s v="TX501203"/>
    <x v="2"/>
    <x v="2"/>
    <n v="107.1"/>
    <n v="321.29999999999995"/>
    <x v="47"/>
    <d v="2025-02-21T00:00:00"/>
    <x v="2"/>
    <x v="2"/>
    <x v="0"/>
    <x v="0"/>
    <x v="20"/>
    <x v="5"/>
    <x v="7"/>
    <x v="2"/>
  </r>
  <r>
    <s v="TX501204"/>
    <x v="2"/>
    <x v="0"/>
    <n v="62.7"/>
    <n v="62.7"/>
    <x v="47"/>
    <d v="2025-02-21T00:00:00"/>
    <x v="1"/>
    <x v="1"/>
    <x v="0"/>
    <x v="0"/>
    <x v="21"/>
    <x v="5"/>
    <x v="7"/>
    <x v="1"/>
  </r>
  <r>
    <s v="TX501205"/>
    <x v="11"/>
    <x v="0"/>
    <n v="41.6"/>
    <n v="41.6"/>
    <x v="47"/>
    <d v="2025-02-18T00:00:00"/>
    <x v="1"/>
    <x v="0"/>
    <x v="1"/>
    <x v="0"/>
    <x v="1"/>
    <x v="3"/>
    <x v="7"/>
    <x v="1"/>
  </r>
  <r>
    <s v="TX501206"/>
    <x v="6"/>
    <x v="0"/>
    <n v="44.2"/>
    <n v="44.2"/>
    <x v="47"/>
    <d v="2025-02-18T00:00:00"/>
    <x v="3"/>
    <x v="0"/>
    <x v="1"/>
    <x v="0"/>
    <x v="1"/>
    <x v="3"/>
    <x v="7"/>
    <x v="3"/>
  </r>
  <r>
    <s v="TX501207"/>
    <x v="4"/>
    <x v="13"/>
    <n v="40.4"/>
    <n v="242.39999999999998"/>
    <x v="47"/>
    <d v="2025-03-02T00:00:00"/>
    <x v="2"/>
    <x v="2"/>
    <x v="0"/>
    <x v="0"/>
    <x v="22"/>
    <x v="10"/>
    <x v="7"/>
    <x v="2"/>
  </r>
  <r>
    <s v="TX501208"/>
    <x v="15"/>
    <x v="13"/>
    <n v="59.6"/>
    <n v="357.6"/>
    <x v="47"/>
    <d v="2025-02-18T00:00:00"/>
    <x v="2"/>
    <x v="4"/>
    <x v="0"/>
    <x v="0"/>
    <x v="34"/>
    <x v="3"/>
    <x v="7"/>
    <x v="2"/>
  </r>
  <r>
    <s v="TX501209"/>
    <x v="17"/>
    <x v="4"/>
    <n v="63.8"/>
    <n v="765.59999999999991"/>
    <x v="47"/>
    <d v="2025-02-18T00:00:00"/>
    <x v="1"/>
    <x v="1"/>
    <x v="0"/>
    <x v="0"/>
    <x v="3"/>
    <x v="3"/>
    <x v="7"/>
    <x v="1"/>
  </r>
  <r>
    <s v="TX501210"/>
    <x v="9"/>
    <x v="13"/>
    <n v="30.8"/>
    <n v="184.8"/>
    <x v="47"/>
    <d v="2025-02-19T00:00:00"/>
    <x v="1"/>
    <x v="4"/>
    <x v="0"/>
    <x v="0"/>
    <x v="3"/>
    <x v="1"/>
    <x v="7"/>
    <x v="1"/>
  </r>
  <r>
    <s v="TX501211"/>
    <x v="1"/>
    <x v="1"/>
    <n v="41.5"/>
    <n v="83"/>
    <x v="47"/>
    <d v="2025-02-20T00:00:00"/>
    <x v="3"/>
    <x v="0"/>
    <x v="0"/>
    <x v="0"/>
    <x v="3"/>
    <x v="2"/>
    <x v="7"/>
    <x v="3"/>
  </r>
  <r>
    <s v="TX501212"/>
    <x v="10"/>
    <x v="12"/>
    <n v="44.7"/>
    <n v="178.8"/>
    <x v="47"/>
    <d v="2025-02-19T00:00:00"/>
    <x v="2"/>
    <x v="2"/>
    <x v="1"/>
    <x v="0"/>
    <x v="3"/>
    <x v="1"/>
    <x v="7"/>
    <x v="2"/>
  </r>
  <r>
    <s v="TX501213"/>
    <x v="12"/>
    <x v="1"/>
    <n v="64.099999999999994"/>
    <n v="128.19999999999999"/>
    <x v="47"/>
    <d v="2025-02-21T00:00:00"/>
    <x v="2"/>
    <x v="1"/>
    <x v="4"/>
    <x v="0"/>
    <x v="3"/>
    <x v="5"/>
    <x v="7"/>
    <x v="2"/>
  </r>
  <r>
    <s v="TX501214"/>
    <x v="8"/>
    <x v="0"/>
    <n v="15.9"/>
    <n v="15.9"/>
    <x v="47"/>
    <d v="2025-02-20T00:00:00"/>
    <x v="0"/>
    <x v="1"/>
    <x v="0"/>
    <x v="0"/>
    <x v="3"/>
    <x v="2"/>
    <x v="7"/>
    <x v="0"/>
  </r>
  <r>
    <s v="TX501215"/>
    <x v="6"/>
    <x v="1"/>
    <n v="78.7"/>
    <n v="157.4"/>
    <x v="47"/>
    <d v="2025-02-17T00:00:00"/>
    <x v="2"/>
    <x v="2"/>
    <x v="1"/>
    <x v="0"/>
    <x v="3"/>
    <x v="7"/>
    <x v="7"/>
    <x v="2"/>
  </r>
  <r>
    <s v="TX501216"/>
    <x v="5"/>
    <x v="4"/>
    <n v="29.6"/>
    <n v="355.20000000000005"/>
    <x v="47"/>
    <d v="2025-02-21T00:00:00"/>
    <x v="1"/>
    <x v="2"/>
    <x v="4"/>
    <x v="0"/>
    <x v="3"/>
    <x v="5"/>
    <x v="7"/>
    <x v="1"/>
  </r>
  <r>
    <s v="TX501217"/>
    <x v="8"/>
    <x v="12"/>
    <n v="21.5"/>
    <n v="86"/>
    <x v="47"/>
    <d v="2025-02-20T00:00:00"/>
    <x v="1"/>
    <x v="1"/>
    <x v="0"/>
    <x v="0"/>
    <x v="3"/>
    <x v="2"/>
    <x v="7"/>
    <x v="1"/>
  </r>
  <r>
    <s v="TX501218"/>
    <x v="9"/>
    <x v="2"/>
    <n v="74.900000000000006"/>
    <n v="224.70000000000002"/>
    <x v="47"/>
    <d v="2025-02-26T00:00:00"/>
    <x v="1"/>
    <x v="3"/>
    <x v="1"/>
    <x v="0"/>
    <x v="3"/>
    <x v="8"/>
    <x v="7"/>
    <x v="1"/>
  </r>
  <r>
    <s v="TX501219"/>
    <x v="10"/>
    <x v="13"/>
    <n v="45"/>
    <n v="270"/>
    <x v="47"/>
    <d v="2025-02-22T00:00:00"/>
    <x v="2"/>
    <x v="2"/>
    <x v="0"/>
    <x v="0"/>
    <x v="3"/>
    <x v="0"/>
    <x v="7"/>
    <x v="2"/>
  </r>
  <r>
    <s v="TX501220"/>
    <x v="7"/>
    <x v="33"/>
    <n v="37.9"/>
    <n v="1288.5999999999999"/>
    <x v="47"/>
    <d v="2025-02-18T00:00:00"/>
    <x v="1"/>
    <x v="0"/>
    <x v="0"/>
    <x v="0"/>
    <x v="3"/>
    <x v="3"/>
    <x v="7"/>
    <x v="1"/>
  </r>
  <r>
    <s v="TX501221"/>
    <x v="6"/>
    <x v="2"/>
    <n v="56.6"/>
    <n v="169.8"/>
    <x v="47"/>
    <d v="2025-02-18T00:00:00"/>
    <x v="1"/>
    <x v="3"/>
    <x v="0"/>
    <x v="0"/>
    <x v="3"/>
    <x v="3"/>
    <x v="7"/>
    <x v="1"/>
  </r>
  <r>
    <s v="TX501222"/>
    <x v="3"/>
    <x v="15"/>
    <n v="84.5"/>
    <n v="1098.5"/>
    <x v="47"/>
    <d v="2025-02-20T00:00:00"/>
    <x v="2"/>
    <x v="1"/>
    <x v="4"/>
    <x v="0"/>
    <x v="3"/>
    <x v="2"/>
    <x v="7"/>
    <x v="2"/>
  </r>
  <r>
    <s v="TX501223"/>
    <x v="2"/>
    <x v="9"/>
    <n v="105.4"/>
    <n v="527"/>
    <x v="47"/>
    <d v="2025-02-19T00:00:00"/>
    <x v="2"/>
    <x v="1"/>
    <x v="1"/>
    <x v="0"/>
    <x v="3"/>
    <x v="1"/>
    <x v="7"/>
    <x v="2"/>
  </r>
  <r>
    <s v="TX501224"/>
    <x v="18"/>
    <x v="3"/>
    <n v="39.4"/>
    <n v="275.8"/>
    <x v="48"/>
    <d v="2025-02-18T00:00:00"/>
    <x v="1"/>
    <x v="1"/>
    <x v="0"/>
    <x v="0"/>
    <x v="37"/>
    <x v="7"/>
    <x v="7"/>
    <x v="1"/>
  </r>
  <r>
    <s v="TX501225"/>
    <x v="19"/>
    <x v="2"/>
    <n v="38"/>
    <n v="114"/>
    <x v="48"/>
    <d v="2025-02-21T00:00:00"/>
    <x v="1"/>
    <x v="4"/>
    <x v="1"/>
    <x v="0"/>
    <x v="6"/>
    <x v="2"/>
    <x v="7"/>
    <x v="1"/>
  </r>
  <r>
    <s v="TX501226"/>
    <x v="17"/>
    <x v="12"/>
    <n v="42.5"/>
    <n v="170"/>
    <x v="48"/>
    <d v="2025-02-20T00:00:00"/>
    <x v="0"/>
    <x v="0"/>
    <x v="0"/>
    <x v="0"/>
    <x v="6"/>
    <x v="1"/>
    <x v="7"/>
    <x v="0"/>
  </r>
  <r>
    <s v="TX501227"/>
    <x v="15"/>
    <x v="0"/>
    <n v="62.3"/>
    <n v="62.3"/>
    <x v="48"/>
    <d v="2025-02-27T00:00:00"/>
    <x v="1"/>
    <x v="0"/>
    <x v="2"/>
    <x v="0"/>
    <x v="6"/>
    <x v="8"/>
    <x v="7"/>
    <x v="1"/>
  </r>
  <r>
    <s v="TX501228"/>
    <x v="6"/>
    <x v="9"/>
    <n v="49.1"/>
    <n v="245.5"/>
    <x v="48"/>
    <d v="2025-02-20T00:00:00"/>
    <x v="2"/>
    <x v="1"/>
    <x v="2"/>
    <x v="0"/>
    <x v="7"/>
    <x v="1"/>
    <x v="7"/>
    <x v="2"/>
  </r>
  <r>
    <s v="TX501229"/>
    <x v="3"/>
    <x v="1"/>
    <n v="30.5"/>
    <n v="61"/>
    <x v="48"/>
    <d v="2025-02-21T00:00:00"/>
    <x v="1"/>
    <x v="0"/>
    <x v="2"/>
    <x v="0"/>
    <x v="8"/>
    <x v="2"/>
    <x v="7"/>
    <x v="1"/>
  </r>
  <r>
    <s v="TX501230"/>
    <x v="2"/>
    <x v="1"/>
    <n v="154.80000000000001"/>
    <n v="309.60000000000002"/>
    <x v="48"/>
    <d v="2025-02-21T00:00:00"/>
    <x v="2"/>
    <x v="1"/>
    <x v="4"/>
    <x v="0"/>
    <x v="8"/>
    <x v="2"/>
    <x v="7"/>
    <x v="2"/>
  </r>
  <r>
    <s v="TX501231"/>
    <x v="6"/>
    <x v="0"/>
    <n v="45"/>
    <n v="45"/>
    <x v="48"/>
    <d v="2025-02-22T00:00:00"/>
    <x v="1"/>
    <x v="3"/>
    <x v="1"/>
    <x v="0"/>
    <x v="8"/>
    <x v="5"/>
    <x v="7"/>
    <x v="1"/>
  </r>
  <r>
    <s v="TX501232"/>
    <x v="0"/>
    <x v="3"/>
    <n v="15.3"/>
    <n v="107.10000000000001"/>
    <x v="48"/>
    <d v="2025-02-19T00:00:00"/>
    <x v="1"/>
    <x v="0"/>
    <x v="2"/>
    <x v="0"/>
    <x v="8"/>
    <x v="3"/>
    <x v="7"/>
    <x v="1"/>
  </r>
  <r>
    <s v="TX501233"/>
    <x v="2"/>
    <x v="5"/>
    <n v="88.6"/>
    <n v="974.59999999999991"/>
    <x v="48"/>
    <d v="2025-02-21T00:00:00"/>
    <x v="2"/>
    <x v="0"/>
    <x v="4"/>
    <x v="0"/>
    <x v="17"/>
    <x v="2"/>
    <x v="7"/>
    <x v="2"/>
  </r>
  <r>
    <s v="TX501234"/>
    <x v="9"/>
    <x v="1"/>
    <n v="49.7"/>
    <n v="99.4"/>
    <x v="48"/>
    <d v="2025-02-20T00:00:00"/>
    <x v="3"/>
    <x v="4"/>
    <x v="0"/>
    <x v="0"/>
    <x v="10"/>
    <x v="1"/>
    <x v="7"/>
    <x v="3"/>
  </r>
  <r>
    <s v="TX501235"/>
    <x v="10"/>
    <x v="0"/>
    <n v="29"/>
    <n v="29"/>
    <x v="48"/>
    <d v="2025-02-19T00:00:00"/>
    <x v="1"/>
    <x v="0"/>
    <x v="0"/>
    <x v="0"/>
    <x v="11"/>
    <x v="3"/>
    <x v="7"/>
    <x v="1"/>
  </r>
  <r>
    <s v="TX501236"/>
    <x v="1"/>
    <x v="0"/>
    <n v="60.7"/>
    <n v="60.7"/>
    <x v="48"/>
    <d v="2025-02-19T00:00:00"/>
    <x v="3"/>
    <x v="0"/>
    <x v="1"/>
    <x v="0"/>
    <x v="11"/>
    <x v="3"/>
    <x v="7"/>
    <x v="3"/>
  </r>
  <r>
    <s v="TX501237"/>
    <x v="17"/>
    <x v="12"/>
    <n v="87.4"/>
    <n v="349.6"/>
    <x v="48"/>
    <d v="2025-02-20T00:00:00"/>
    <x v="0"/>
    <x v="0"/>
    <x v="0"/>
    <x v="0"/>
    <x v="11"/>
    <x v="1"/>
    <x v="7"/>
    <x v="0"/>
  </r>
  <r>
    <s v="TX501238"/>
    <x v="4"/>
    <x v="3"/>
    <n v="44.5"/>
    <n v="311.5"/>
    <x v="48"/>
    <d v="2025-02-22T00:00:00"/>
    <x v="2"/>
    <x v="2"/>
    <x v="2"/>
    <x v="0"/>
    <x v="19"/>
    <x v="5"/>
    <x v="7"/>
    <x v="2"/>
  </r>
  <r>
    <s v="TX501239"/>
    <x v="2"/>
    <x v="0"/>
    <n v="141"/>
    <n v="141"/>
    <x v="48"/>
    <d v="2025-02-19T00:00:00"/>
    <x v="1"/>
    <x v="4"/>
    <x v="2"/>
    <x v="0"/>
    <x v="19"/>
    <x v="3"/>
    <x v="7"/>
    <x v="1"/>
  </r>
  <r>
    <s v="TX501240"/>
    <x v="0"/>
    <x v="2"/>
    <n v="16.7"/>
    <n v="50.099999999999994"/>
    <x v="48"/>
    <d v="2025-02-26T00:00:00"/>
    <x v="2"/>
    <x v="0"/>
    <x v="0"/>
    <x v="0"/>
    <x v="20"/>
    <x v="9"/>
    <x v="7"/>
    <x v="2"/>
  </r>
  <r>
    <s v="TX501241"/>
    <x v="1"/>
    <x v="1"/>
    <n v="77.5"/>
    <n v="155"/>
    <x v="48"/>
    <d v="2025-02-19T00:00:00"/>
    <x v="0"/>
    <x v="2"/>
    <x v="2"/>
    <x v="0"/>
    <x v="13"/>
    <x v="3"/>
    <x v="7"/>
    <x v="0"/>
  </r>
  <r>
    <s v="TX501242"/>
    <x v="2"/>
    <x v="1"/>
    <n v="163"/>
    <n v="326"/>
    <x v="48"/>
    <d v="2025-02-24T00:00:00"/>
    <x v="2"/>
    <x v="4"/>
    <x v="0"/>
    <x v="0"/>
    <x v="21"/>
    <x v="4"/>
    <x v="7"/>
    <x v="2"/>
  </r>
  <r>
    <s v="TX501243"/>
    <x v="4"/>
    <x v="11"/>
    <n v="21.4"/>
    <n v="192.6"/>
    <x v="48"/>
    <d v="2025-02-21T00:00:00"/>
    <x v="2"/>
    <x v="0"/>
    <x v="0"/>
    <x v="0"/>
    <x v="51"/>
    <x v="2"/>
    <x v="7"/>
    <x v="2"/>
  </r>
  <r>
    <s v="TX501244"/>
    <x v="10"/>
    <x v="5"/>
    <n v="31"/>
    <n v="341"/>
    <x v="48"/>
    <d v="2025-02-20T00:00:00"/>
    <x v="2"/>
    <x v="3"/>
    <x v="2"/>
    <x v="0"/>
    <x v="1"/>
    <x v="1"/>
    <x v="7"/>
    <x v="2"/>
  </r>
  <r>
    <s v="TX501245"/>
    <x v="7"/>
    <x v="1"/>
    <n v="34.299999999999997"/>
    <n v="68.599999999999994"/>
    <x v="48"/>
    <d v="2025-02-20T00:00:00"/>
    <x v="2"/>
    <x v="0"/>
    <x v="3"/>
    <x v="0"/>
    <x v="1"/>
    <x v="1"/>
    <x v="7"/>
    <x v="2"/>
  </r>
  <r>
    <s v="TX501246"/>
    <x v="17"/>
    <x v="9"/>
    <n v="48.2"/>
    <n v="241"/>
    <x v="48"/>
    <d v="2025-02-19T00:00:00"/>
    <x v="1"/>
    <x v="1"/>
    <x v="1"/>
    <x v="0"/>
    <x v="2"/>
    <x v="3"/>
    <x v="7"/>
    <x v="1"/>
  </r>
  <r>
    <s v="TX501247"/>
    <x v="10"/>
    <x v="0"/>
    <n v="51.4"/>
    <n v="51.4"/>
    <x v="48"/>
    <d v="2025-02-19T00:00:00"/>
    <x v="1"/>
    <x v="0"/>
    <x v="0"/>
    <x v="0"/>
    <x v="3"/>
    <x v="3"/>
    <x v="7"/>
    <x v="1"/>
  </r>
  <r>
    <s v="TX501248"/>
    <x v="2"/>
    <x v="9"/>
    <n v="117.2"/>
    <n v="586"/>
    <x v="48"/>
    <d v="2025-02-21T00:00:00"/>
    <x v="2"/>
    <x v="4"/>
    <x v="4"/>
    <x v="0"/>
    <x v="3"/>
    <x v="2"/>
    <x v="7"/>
    <x v="2"/>
  </r>
  <r>
    <s v="TX501249"/>
    <x v="8"/>
    <x v="0"/>
    <n v="38.1"/>
    <n v="38.1"/>
    <x v="48"/>
    <d v="2025-02-18T00:00:00"/>
    <x v="1"/>
    <x v="4"/>
    <x v="1"/>
    <x v="0"/>
    <x v="3"/>
    <x v="7"/>
    <x v="7"/>
    <x v="1"/>
  </r>
  <r>
    <s v="TX501250"/>
    <x v="0"/>
    <x v="1"/>
    <n v="44.1"/>
    <n v="88.2"/>
    <x v="48"/>
    <d v="2025-02-20T00:00:00"/>
    <x v="2"/>
    <x v="2"/>
    <x v="0"/>
    <x v="0"/>
    <x v="3"/>
    <x v="1"/>
    <x v="7"/>
    <x v="2"/>
  </r>
  <r>
    <s v="TX501251"/>
    <x v="15"/>
    <x v="12"/>
    <n v="80.5"/>
    <n v="322"/>
    <x v="48"/>
    <d v="2025-02-23T00:00:00"/>
    <x v="1"/>
    <x v="0"/>
    <x v="0"/>
    <x v="0"/>
    <x v="3"/>
    <x v="0"/>
    <x v="7"/>
    <x v="1"/>
  </r>
  <r>
    <s v="TX501252"/>
    <x v="18"/>
    <x v="12"/>
    <n v="33.6"/>
    <n v="134.4"/>
    <x v="48"/>
    <d v="2025-02-23T00:00:00"/>
    <x v="0"/>
    <x v="0"/>
    <x v="2"/>
    <x v="0"/>
    <x v="3"/>
    <x v="0"/>
    <x v="7"/>
    <x v="0"/>
  </r>
  <r>
    <s v="TX501253"/>
    <x v="9"/>
    <x v="11"/>
    <n v="41.8"/>
    <n v="376.2"/>
    <x v="48"/>
    <d v="2025-02-19T00:00:00"/>
    <x v="2"/>
    <x v="0"/>
    <x v="1"/>
    <x v="0"/>
    <x v="3"/>
    <x v="3"/>
    <x v="7"/>
    <x v="2"/>
  </r>
  <r>
    <s v="TX501254"/>
    <x v="1"/>
    <x v="1"/>
    <n v="106.2"/>
    <n v="212.4"/>
    <x v="48"/>
    <d v="2025-02-18T00:00:00"/>
    <x v="2"/>
    <x v="4"/>
    <x v="2"/>
    <x v="0"/>
    <x v="3"/>
    <x v="7"/>
    <x v="7"/>
    <x v="2"/>
  </r>
  <r>
    <s v="TX501255"/>
    <x v="1"/>
    <x v="1"/>
    <n v="52.6"/>
    <n v="105.2"/>
    <x v="48"/>
    <d v="2025-02-19T00:00:00"/>
    <x v="2"/>
    <x v="0"/>
    <x v="2"/>
    <x v="0"/>
    <x v="5"/>
    <x v="3"/>
    <x v="7"/>
    <x v="2"/>
  </r>
  <r>
    <s v="TX501256"/>
    <x v="11"/>
    <x v="3"/>
    <n v="68.5"/>
    <n v="479.5"/>
    <x v="48"/>
    <d v="2025-02-19T00:00:00"/>
    <x v="2"/>
    <x v="1"/>
    <x v="0"/>
    <x v="0"/>
    <x v="5"/>
    <x v="3"/>
    <x v="7"/>
    <x v="2"/>
  </r>
  <r>
    <s v="TX501257"/>
    <x v="1"/>
    <x v="1"/>
    <n v="55.6"/>
    <n v="111.2"/>
    <x v="48"/>
    <d v="2025-02-20T00:00:00"/>
    <x v="1"/>
    <x v="1"/>
    <x v="2"/>
    <x v="0"/>
    <x v="6"/>
    <x v="1"/>
    <x v="7"/>
    <x v="1"/>
  </r>
  <r>
    <s v="TX501258"/>
    <x v="2"/>
    <x v="2"/>
    <n v="134.9"/>
    <n v="404.70000000000005"/>
    <x v="48"/>
    <d v="2025-02-19T00:00:00"/>
    <x v="1"/>
    <x v="1"/>
    <x v="1"/>
    <x v="0"/>
    <x v="6"/>
    <x v="3"/>
    <x v="7"/>
    <x v="1"/>
  </r>
  <r>
    <s v="TX501259"/>
    <x v="10"/>
    <x v="9"/>
    <n v="42.6"/>
    <n v="213"/>
    <x v="48"/>
    <d v="2025-02-19T00:00:00"/>
    <x v="1"/>
    <x v="0"/>
    <x v="0"/>
    <x v="0"/>
    <x v="6"/>
    <x v="3"/>
    <x v="7"/>
    <x v="1"/>
  </r>
  <r>
    <s v="TX501260"/>
    <x v="7"/>
    <x v="9"/>
    <n v="60.6"/>
    <n v="303"/>
    <x v="48"/>
    <d v="2025-02-20T00:00:00"/>
    <x v="1"/>
    <x v="4"/>
    <x v="0"/>
    <x v="0"/>
    <x v="6"/>
    <x v="1"/>
    <x v="7"/>
    <x v="1"/>
  </r>
  <r>
    <s v="TX501261"/>
    <x v="8"/>
    <x v="1"/>
    <n v="43.5"/>
    <n v="87"/>
    <x v="48"/>
    <d v="2025-02-19T00:00:00"/>
    <x v="1"/>
    <x v="4"/>
    <x v="0"/>
    <x v="0"/>
    <x v="7"/>
    <x v="3"/>
    <x v="7"/>
    <x v="1"/>
  </r>
  <r>
    <s v="TX501262"/>
    <x v="2"/>
    <x v="1"/>
    <n v="187.1"/>
    <n v="374.2"/>
    <x v="48"/>
    <d v="2025-02-19T00:00:00"/>
    <x v="1"/>
    <x v="1"/>
    <x v="2"/>
    <x v="0"/>
    <x v="8"/>
    <x v="3"/>
    <x v="7"/>
    <x v="1"/>
  </r>
  <r>
    <s v="TX501263"/>
    <x v="9"/>
    <x v="2"/>
    <n v="32"/>
    <n v="96"/>
    <x v="48"/>
    <d v="2025-02-20T00:00:00"/>
    <x v="1"/>
    <x v="0"/>
    <x v="0"/>
    <x v="0"/>
    <x v="8"/>
    <x v="1"/>
    <x v="7"/>
    <x v="1"/>
  </r>
  <r>
    <s v="TX501264"/>
    <x v="9"/>
    <x v="1"/>
    <n v="110.8"/>
    <n v="221.6"/>
    <x v="48"/>
    <d v="2025-02-18T00:00:00"/>
    <x v="1"/>
    <x v="0"/>
    <x v="2"/>
    <x v="0"/>
    <x v="8"/>
    <x v="7"/>
    <x v="7"/>
    <x v="1"/>
  </r>
  <r>
    <s v="TX501265"/>
    <x v="10"/>
    <x v="15"/>
    <n v="36.1"/>
    <n v="469.3"/>
    <x v="48"/>
    <d v="2025-02-21T00:00:00"/>
    <x v="2"/>
    <x v="0"/>
    <x v="1"/>
    <x v="0"/>
    <x v="8"/>
    <x v="2"/>
    <x v="7"/>
    <x v="2"/>
  </r>
  <r>
    <s v="TX501266"/>
    <x v="0"/>
    <x v="0"/>
    <n v="24.1"/>
    <n v="24.1"/>
    <x v="48"/>
    <d v="2025-02-20T00:00:00"/>
    <x v="2"/>
    <x v="4"/>
    <x v="2"/>
    <x v="0"/>
    <x v="8"/>
    <x v="1"/>
    <x v="7"/>
    <x v="2"/>
  </r>
  <r>
    <s v="TX501267"/>
    <x v="19"/>
    <x v="2"/>
    <n v="30.5"/>
    <n v="91.5"/>
    <x v="48"/>
    <d v="2025-02-20T00:00:00"/>
    <x v="1"/>
    <x v="1"/>
    <x v="0"/>
    <x v="0"/>
    <x v="8"/>
    <x v="1"/>
    <x v="7"/>
    <x v="1"/>
  </r>
  <r>
    <s v="TX501268"/>
    <x v="18"/>
    <x v="13"/>
    <n v="68.3"/>
    <n v="409.79999999999995"/>
    <x v="48"/>
    <d v="2025-02-21T00:00:00"/>
    <x v="1"/>
    <x v="0"/>
    <x v="0"/>
    <x v="0"/>
    <x v="8"/>
    <x v="2"/>
    <x v="7"/>
    <x v="1"/>
  </r>
  <r>
    <s v="TX501269"/>
    <x v="7"/>
    <x v="2"/>
    <n v="43.3"/>
    <n v="129.89999999999998"/>
    <x v="48"/>
    <d v="2025-02-22T00:00:00"/>
    <x v="2"/>
    <x v="0"/>
    <x v="0"/>
    <x v="0"/>
    <x v="17"/>
    <x v="5"/>
    <x v="7"/>
    <x v="2"/>
  </r>
  <r>
    <s v="TX501270"/>
    <x v="3"/>
    <x v="0"/>
    <n v="101.7"/>
    <n v="101.7"/>
    <x v="48"/>
    <d v="2025-02-21T00:00:00"/>
    <x v="2"/>
    <x v="0"/>
    <x v="1"/>
    <x v="0"/>
    <x v="17"/>
    <x v="2"/>
    <x v="7"/>
    <x v="2"/>
  </r>
  <r>
    <s v="TX501271"/>
    <x v="11"/>
    <x v="1"/>
    <n v="54.2"/>
    <n v="108.4"/>
    <x v="48"/>
    <d v="2025-02-19T00:00:00"/>
    <x v="2"/>
    <x v="0"/>
    <x v="1"/>
    <x v="0"/>
    <x v="17"/>
    <x v="3"/>
    <x v="7"/>
    <x v="2"/>
  </r>
  <r>
    <s v="TX501272"/>
    <x v="16"/>
    <x v="1"/>
    <n v="51"/>
    <n v="102"/>
    <x v="48"/>
    <d v="2025-02-18T00:00:00"/>
    <x v="1"/>
    <x v="1"/>
    <x v="0"/>
    <x v="0"/>
    <x v="26"/>
    <x v="7"/>
    <x v="7"/>
    <x v="1"/>
  </r>
  <r>
    <s v="TX501273"/>
    <x v="4"/>
    <x v="1"/>
    <n v="23.1"/>
    <n v="46.2"/>
    <x v="48"/>
    <d v="2025-02-21T00:00:00"/>
    <x v="1"/>
    <x v="1"/>
    <x v="0"/>
    <x v="0"/>
    <x v="10"/>
    <x v="2"/>
    <x v="7"/>
    <x v="1"/>
  </r>
  <r>
    <s v="TX501274"/>
    <x v="12"/>
    <x v="13"/>
    <n v="60.1"/>
    <n v="360.6"/>
    <x v="48"/>
    <d v="2025-02-18T00:00:00"/>
    <x v="2"/>
    <x v="3"/>
    <x v="0"/>
    <x v="0"/>
    <x v="11"/>
    <x v="7"/>
    <x v="7"/>
    <x v="2"/>
  </r>
  <r>
    <s v="TX501275"/>
    <x v="2"/>
    <x v="3"/>
    <n v="87.5"/>
    <n v="612.5"/>
    <x v="48"/>
    <d v="2025-02-20T00:00:00"/>
    <x v="2"/>
    <x v="0"/>
    <x v="1"/>
    <x v="0"/>
    <x v="11"/>
    <x v="1"/>
    <x v="7"/>
    <x v="2"/>
  </r>
  <r>
    <s v="TX501276"/>
    <x v="1"/>
    <x v="2"/>
    <n v="51"/>
    <n v="153"/>
    <x v="48"/>
    <d v="2025-02-19T00:00:00"/>
    <x v="2"/>
    <x v="1"/>
    <x v="0"/>
    <x v="0"/>
    <x v="11"/>
    <x v="3"/>
    <x v="7"/>
    <x v="2"/>
  </r>
  <r>
    <s v="TX501277"/>
    <x v="8"/>
    <x v="12"/>
    <n v="19.2"/>
    <n v="76.8"/>
    <x v="48"/>
    <d v="2025-02-20T00:00:00"/>
    <x v="2"/>
    <x v="0"/>
    <x v="0"/>
    <x v="0"/>
    <x v="11"/>
    <x v="1"/>
    <x v="7"/>
    <x v="2"/>
  </r>
  <r>
    <s v="TX501278"/>
    <x v="5"/>
    <x v="8"/>
    <n v="26.5"/>
    <n v="212"/>
    <x v="48"/>
    <d v="2025-02-19T00:00:00"/>
    <x v="0"/>
    <x v="3"/>
    <x v="2"/>
    <x v="0"/>
    <x v="11"/>
    <x v="3"/>
    <x v="7"/>
    <x v="0"/>
  </r>
  <r>
    <s v="TX501279"/>
    <x v="2"/>
    <x v="1"/>
    <n v="220.3"/>
    <n v="440.6"/>
    <x v="48"/>
    <d v="2025-02-19T00:00:00"/>
    <x v="2"/>
    <x v="1"/>
    <x v="4"/>
    <x v="0"/>
    <x v="53"/>
    <x v="3"/>
    <x v="7"/>
    <x v="2"/>
  </r>
  <r>
    <s v="TX501280"/>
    <x v="8"/>
    <x v="2"/>
    <n v="45.7"/>
    <n v="137.10000000000002"/>
    <x v="48"/>
    <d v="2025-02-19T00:00:00"/>
    <x v="2"/>
    <x v="4"/>
    <x v="0"/>
    <x v="0"/>
    <x v="30"/>
    <x v="3"/>
    <x v="7"/>
    <x v="2"/>
  </r>
  <r>
    <s v="TX501281"/>
    <x v="5"/>
    <x v="9"/>
    <n v="47.1"/>
    <n v="235.5"/>
    <x v="48"/>
    <d v="2025-02-22T00:00:00"/>
    <x v="2"/>
    <x v="3"/>
    <x v="0"/>
    <x v="0"/>
    <x v="13"/>
    <x v="5"/>
    <x v="7"/>
    <x v="2"/>
  </r>
  <r>
    <s v="TX501282"/>
    <x v="1"/>
    <x v="9"/>
    <n v="81.7"/>
    <n v="408.5"/>
    <x v="48"/>
    <d v="2025-02-19T00:00:00"/>
    <x v="2"/>
    <x v="0"/>
    <x v="2"/>
    <x v="0"/>
    <x v="21"/>
    <x v="3"/>
    <x v="7"/>
    <x v="2"/>
  </r>
  <r>
    <s v="TX501283"/>
    <x v="6"/>
    <x v="7"/>
    <n v="97.8"/>
    <n v="978"/>
    <x v="48"/>
    <d v="2025-02-18T00:00:00"/>
    <x v="1"/>
    <x v="1"/>
    <x v="1"/>
    <x v="0"/>
    <x v="21"/>
    <x v="7"/>
    <x v="7"/>
    <x v="1"/>
  </r>
  <r>
    <s v="TX501284"/>
    <x v="6"/>
    <x v="2"/>
    <n v="42.4"/>
    <n v="127.19999999999999"/>
    <x v="48"/>
    <d v="2025-02-19T00:00:00"/>
    <x v="2"/>
    <x v="0"/>
    <x v="2"/>
    <x v="0"/>
    <x v="54"/>
    <x v="3"/>
    <x v="7"/>
    <x v="2"/>
  </r>
  <r>
    <s v="TX501285"/>
    <x v="2"/>
    <x v="7"/>
    <n v="74.5"/>
    <n v="745"/>
    <x v="48"/>
    <d v="2025-02-19T00:00:00"/>
    <x v="1"/>
    <x v="2"/>
    <x v="1"/>
    <x v="0"/>
    <x v="1"/>
    <x v="3"/>
    <x v="7"/>
    <x v="1"/>
  </r>
  <r>
    <s v="TX501286"/>
    <x v="17"/>
    <x v="13"/>
    <n v="47.4"/>
    <n v="284.39999999999998"/>
    <x v="48"/>
    <d v="2025-02-19T00:00:00"/>
    <x v="1"/>
    <x v="1"/>
    <x v="0"/>
    <x v="0"/>
    <x v="1"/>
    <x v="3"/>
    <x v="7"/>
    <x v="1"/>
  </r>
  <r>
    <s v="TX501287"/>
    <x v="14"/>
    <x v="2"/>
    <n v="17.3"/>
    <n v="51.900000000000006"/>
    <x v="49"/>
    <d v="2025-02-22T00:00:00"/>
    <x v="1"/>
    <x v="2"/>
    <x v="2"/>
    <x v="0"/>
    <x v="1"/>
    <x v="2"/>
    <x v="7"/>
    <x v="1"/>
  </r>
  <r>
    <s v="TX501288"/>
    <x v="12"/>
    <x v="12"/>
    <n v="77.900000000000006"/>
    <n v="311.60000000000002"/>
    <x v="49"/>
    <d v="2025-02-20T00:00:00"/>
    <x v="1"/>
    <x v="1"/>
    <x v="0"/>
    <x v="0"/>
    <x v="2"/>
    <x v="3"/>
    <x v="7"/>
    <x v="1"/>
  </r>
  <r>
    <s v="TX501289"/>
    <x v="8"/>
    <x v="0"/>
    <n v="29.1"/>
    <n v="29.1"/>
    <x v="49"/>
    <d v="2025-02-22T00:00:00"/>
    <x v="1"/>
    <x v="0"/>
    <x v="2"/>
    <x v="0"/>
    <x v="50"/>
    <x v="2"/>
    <x v="7"/>
    <x v="1"/>
  </r>
  <r>
    <s v="TX501290"/>
    <x v="8"/>
    <x v="0"/>
    <n v="49"/>
    <n v="49"/>
    <x v="49"/>
    <d v="2025-02-20T00:00:00"/>
    <x v="1"/>
    <x v="1"/>
    <x v="0"/>
    <x v="0"/>
    <x v="3"/>
    <x v="3"/>
    <x v="7"/>
    <x v="1"/>
  </r>
  <r>
    <s v="TX501291"/>
    <x v="8"/>
    <x v="13"/>
    <n v="21.1"/>
    <n v="126.60000000000001"/>
    <x v="49"/>
    <d v="2025-02-26T00:00:00"/>
    <x v="1"/>
    <x v="0"/>
    <x v="2"/>
    <x v="0"/>
    <x v="3"/>
    <x v="6"/>
    <x v="7"/>
    <x v="1"/>
  </r>
  <r>
    <s v="TX501292"/>
    <x v="4"/>
    <x v="10"/>
    <n v="36.9"/>
    <n v="701.1"/>
    <x v="49"/>
    <d v="2025-02-19T00:00:00"/>
    <x v="2"/>
    <x v="0"/>
    <x v="0"/>
    <x v="0"/>
    <x v="3"/>
    <x v="7"/>
    <x v="7"/>
    <x v="2"/>
  </r>
  <r>
    <s v="TX501293"/>
    <x v="1"/>
    <x v="7"/>
    <n v="92.6"/>
    <n v="926"/>
    <x v="49"/>
    <d v="2025-02-24T00:00:00"/>
    <x v="1"/>
    <x v="4"/>
    <x v="2"/>
    <x v="0"/>
    <x v="3"/>
    <x v="0"/>
    <x v="7"/>
    <x v="1"/>
  </r>
  <r>
    <s v="TX501294"/>
    <x v="10"/>
    <x v="1"/>
    <n v="38"/>
    <n v="76"/>
    <x v="49"/>
    <d v="2025-02-20T00:00:00"/>
    <x v="1"/>
    <x v="1"/>
    <x v="1"/>
    <x v="0"/>
    <x v="3"/>
    <x v="3"/>
    <x v="7"/>
    <x v="1"/>
  </r>
  <r>
    <s v="TX501295"/>
    <x v="5"/>
    <x v="2"/>
    <n v="54.8"/>
    <n v="164.39999999999998"/>
    <x v="49"/>
    <d v="2025-02-23T00:00:00"/>
    <x v="0"/>
    <x v="0"/>
    <x v="1"/>
    <x v="0"/>
    <x v="3"/>
    <x v="5"/>
    <x v="7"/>
    <x v="0"/>
  </r>
  <r>
    <s v="TX501296"/>
    <x v="10"/>
    <x v="4"/>
    <n v="56.8"/>
    <n v="681.59999999999991"/>
    <x v="49"/>
    <d v="2025-02-21T00:00:00"/>
    <x v="1"/>
    <x v="1"/>
    <x v="0"/>
    <x v="0"/>
    <x v="3"/>
    <x v="1"/>
    <x v="7"/>
    <x v="1"/>
  </r>
  <r>
    <s v="TX501297"/>
    <x v="11"/>
    <x v="40"/>
    <n v="47.2"/>
    <n v="1557.6000000000001"/>
    <x v="49"/>
    <d v="2025-02-22T00:00:00"/>
    <x v="2"/>
    <x v="1"/>
    <x v="0"/>
    <x v="0"/>
    <x v="3"/>
    <x v="2"/>
    <x v="7"/>
    <x v="2"/>
  </r>
  <r>
    <s v="TX501298"/>
    <x v="7"/>
    <x v="13"/>
    <n v="45.1"/>
    <n v="270.60000000000002"/>
    <x v="49"/>
    <d v="2025-02-20T00:00:00"/>
    <x v="2"/>
    <x v="2"/>
    <x v="0"/>
    <x v="0"/>
    <x v="43"/>
    <x v="3"/>
    <x v="7"/>
    <x v="2"/>
  </r>
  <r>
    <s v="TX501299"/>
    <x v="4"/>
    <x v="4"/>
    <n v="25.2"/>
    <n v="302.39999999999998"/>
    <x v="49"/>
    <d v="2025-02-24T00:00:00"/>
    <x v="2"/>
    <x v="2"/>
    <x v="0"/>
    <x v="0"/>
    <x v="16"/>
    <x v="0"/>
    <x v="7"/>
    <x v="2"/>
  </r>
  <r>
    <s v="TX501300"/>
    <x v="8"/>
    <x v="0"/>
    <n v="22"/>
    <n v="22"/>
    <x v="49"/>
    <d v="2025-02-20T00:00:00"/>
    <x v="2"/>
    <x v="0"/>
    <x v="0"/>
    <x v="0"/>
    <x v="5"/>
    <x v="3"/>
    <x v="7"/>
    <x v="2"/>
  </r>
  <r>
    <s v="TX501301"/>
    <x v="6"/>
    <x v="1"/>
    <n v="42.2"/>
    <n v="84.4"/>
    <x v="49"/>
    <d v="2025-02-20T00:00:00"/>
    <x v="2"/>
    <x v="1"/>
    <x v="1"/>
    <x v="0"/>
    <x v="23"/>
    <x v="3"/>
    <x v="7"/>
    <x v="2"/>
  </r>
  <r>
    <s v="TX501302"/>
    <x v="13"/>
    <x v="2"/>
    <n v="20.5"/>
    <n v="61.5"/>
    <x v="49"/>
    <d v="2025-02-20T00:00:00"/>
    <x v="1"/>
    <x v="0"/>
    <x v="1"/>
    <x v="0"/>
    <x v="6"/>
    <x v="3"/>
    <x v="7"/>
    <x v="1"/>
  </r>
  <r>
    <s v="TX501303"/>
    <x v="2"/>
    <x v="0"/>
    <n v="190.4"/>
    <n v="190.4"/>
    <x v="49"/>
    <d v="2025-02-24T00:00:00"/>
    <x v="1"/>
    <x v="1"/>
    <x v="4"/>
    <x v="0"/>
    <x v="6"/>
    <x v="0"/>
    <x v="7"/>
    <x v="1"/>
  </r>
  <r>
    <s v="TX501304"/>
    <x v="2"/>
    <x v="0"/>
    <n v="121.9"/>
    <n v="121.9"/>
    <x v="49"/>
    <d v="2025-02-21T00:00:00"/>
    <x v="2"/>
    <x v="1"/>
    <x v="2"/>
    <x v="0"/>
    <x v="6"/>
    <x v="1"/>
    <x v="7"/>
    <x v="2"/>
  </r>
  <r>
    <s v="TX501305"/>
    <x v="2"/>
    <x v="13"/>
    <n v="149.19999999999999"/>
    <n v="895.19999999999993"/>
    <x v="49"/>
    <d v="2025-02-20T00:00:00"/>
    <x v="2"/>
    <x v="2"/>
    <x v="2"/>
    <x v="0"/>
    <x v="7"/>
    <x v="3"/>
    <x v="7"/>
    <x v="2"/>
  </r>
  <r>
    <s v="TX501306"/>
    <x v="2"/>
    <x v="0"/>
    <n v="54.1"/>
    <n v="54.1"/>
    <x v="49"/>
    <d v="2025-02-28T00:00:00"/>
    <x v="2"/>
    <x v="2"/>
    <x v="2"/>
    <x v="0"/>
    <x v="7"/>
    <x v="8"/>
    <x v="7"/>
    <x v="2"/>
  </r>
  <r>
    <s v="TX501307"/>
    <x v="5"/>
    <x v="1"/>
    <n v="27.4"/>
    <n v="54.8"/>
    <x v="49"/>
    <d v="2025-02-21T00:00:00"/>
    <x v="1"/>
    <x v="1"/>
    <x v="0"/>
    <x v="0"/>
    <x v="8"/>
    <x v="1"/>
    <x v="7"/>
    <x v="1"/>
  </r>
  <r>
    <s v="TX501308"/>
    <x v="0"/>
    <x v="15"/>
    <n v="30.4"/>
    <n v="395.2"/>
    <x v="49"/>
    <d v="2025-02-20T00:00:00"/>
    <x v="2"/>
    <x v="0"/>
    <x v="2"/>
    <x v="0"/>
    <x v="8"/>
    <x v="3"/>
    <x v="7"/>
    <x v="2"/>
  </r>
  <r>
    <s v="TX501309"/>
    <x v="12"/>
    <x v="2"/>
    <n v="46.2"/>
    <n v="138.60000000000002"/>
    <x v="49"/>
    <d v="2025-02-21T00:00:00"/>
    <x v="1"/>
    <x v="2"/>
    <x v="1"/>
    <x v="0"/>
    <x v="17"/>
    <x v="1"/>
    <x v="7"/>
    <x v="1"/>
  </r>
  <r>
    <s v="TX501310"/>
    <x v="7"/>
    <x v="8"/>
    <n v="78.599999999999994"/>
    <n v="628.79999999999995"/>
    <x v="49"/>
    <d v="2025-02-23T00:00:00"/>
    <x v="1"/>
    <x v="3"/>
    <x v="0"/>
    <x v="0"/>
    <x v="17"/>
    <x v="5"/>
    <x v="7"/>
    <x v="1"/>
  </r>
  <r>
    <s v="TX501311"/>
    <x v="17"/>
    <x v="7"/>
    <n v="25.9"/>
    <n v="259"/>
    <x v="49"/>
    <d v="2025-02-25T00:00:00"/>
    <x v="1"/>
    <x v="4"/>
    <x v="0"/>
    <x v="0"/>
    <x v="9"/>
    <x v="4"/>
    <x v="7"/>
    <x v="1"/>
  </r>
  <r>
    <s v="TX501312"/>
    <x v="6"/>
    <x v="0"/>
    <n v="134.80000000000001"/>
    <n v="134.80000000000001"/>
    <x v="49"/>
    <d v="2025-02-21T00:00:00"/>
    <x v="1"/>
    <x v="2"/>
    <x v="2"/>
    <x v="0"/>
    <x v="9"/>
    <x v="1"/>
    <x v="7"/>
    <x v="1"/>
  </r>
  <r>
    <s v="TX501313"/>
    <x v="15"/>
    <x v="9"/>
    <n v="43.1"/>
    <n v="215.5"/>
    <x v="49"/>
    <d v="2025-02-21T00:00:00"/>
    <x v="2"/>
    <x v="0"/>
    <x v="0"/>
    <x v="0"/>
    <x v="11"/>
    <x v="1"/>
    <x v="7"/>
    <x v="2"/>
  </r>
  <r>
    <s v="TX501314"/>
    <x v="2"/>
    <x v="1"/>
    <n v="215.6"/>
    <n v="431.2"/>
    <x v="49"/>
    <d v="2025-02-20T00:00:00"/>
    <x v="2"/>
    <x v="2"/>
    <x v="0"/>
    <x v="0"/>
    <x v="18"/>
    <x v="3"/>
    <x v="7"/>
    <x v="2"/>
  </r>
  <r>
    <s v="TX501315"/>
    <x v="6"/>
    <x v="1"/>
    <n v="80.7"/>
    <n v="161.4"/>
    <x v="49"/>
    <d v="2025-02-22T00:00:00"/>
    <x v="2"/>
    <x v="3"/>
    <x v="0"/>
    <x v="0"/>
    <x v="18"/>
    <x v="2"/>
    <x v="7"/>
    <x v="2"/>
  </r>
  <r>
    <s v="TX501316"/>
    <x v="10"/>
    <x v="3"/>
    <n v="20.6"/>
    <n v="144.20000000000002"/>
    <x v="49"/>
    <d v="2025-02-24T00:00:00"/>
    <x v="0"/>
    <x v="2"/>
    <x v="1"/>
    <x v="0"/>
    <x v="19"/>
    <x v="0"/>
    <x v="7"/>
    <x v="0"/>
  </r>
  <r>
    <s v="TX501317"/>
    <x v="12"/>
    <x v="2"/>
    <n v="37.1"/>
    <n v="111.30000000000001"/>
    <x v="49"/>
    <d v="2025-02-20T00:00:00"/>
    <x v="2"/>
    <x v="0"/>
    <x v="0"/>
    <x v="0"/>
    <x v="52"/>
    <x v="3"/>
    <x v="7"/>
    <x v="2"/>
  </r>
  <r>
    <s v="TX501318"/>
    <x v="12"/>
    <x v="0"/>
    <n v="104.8"/>
    <n v="104.8"/>
    <x v="50"/>
    <d v="2025-02-22T00:00:00"/>
    <x v="2"/>
    <x v="0"/>
    <x v="0"/>
    <x v="0"/>
    <x v="13"/>
    <x v="1"/>
    <x v="7"/>
    <x v="2"/>
  </r>
  <r>
    <s v="TX501319"/>
    <x v="8"/>
    <x v="1"/>
    <n v="59"/>
    <n v="118"/>
    <x v="50"/>
    <d v="2025-02-21T00:00:00"/>
    <x v="1"/>
    <x v="1"/>
    <x v="0"/>
    <x v="0"/>
    <x v="21"/>
    <x v="3"/>
    <x v="7"/>
    <x v="1"/>
  </r>
  <r>
    <s v="TX501320"/>
    <x v="8"/>
    <x v="1"/>
    <n v="32.299999999999997"/>
    <n v="64.599999999999994"/>
    <x v="50"/>
    <d v="2025-02-21T00:00:00"/>
    <x v="1"/>
    <x v="0"/>
    <x v="2"/>
    <x v="0"/>
    <x v="21"/>
    <x v="3"/>
    <x v="7"/>
    <x v="1"/>
  </r>
  <r>
    <s v="TX501321"/>
    <x v="8"/>
    <x v="12"/>
    <n v="28.9"/>
    <n v="115.6"/>
    <x v="50"/>
    <d v="2025-02-27T00:00:00"/>
    <x v="1"/>
    <x v="0"/>
    <x v="0"/>
    <x v="0"/>
    <x v="1"/>
    <x v="6"/>
    <x v="7"/>
    <x v="1"/>
  </r>
  <r>
    <s v="TX501322"/>
    <x v="0"/>
    <x v="1"/>
    <n v="29.6"/>
    <n v="59.2"/>
    <x v="50"/>
    <d v="2025-02-22T00:00:00"/>
    <x v="1"/>
    <x v="0"/>
    <x v="0"/>
    <x v="0"/>
    <x v="1"/>
    <x v="1"/>
    <x v="7"/>
    <x v="1"/>
  </r>
  <r>
    <s v="TX501323"/>
    <x v="0"/>
    <x v="9"/>
    <n v="29.4"/>
    <n v="147"/>
    <x v="50"/>
    <d v="2025-02-23T00:00:00"/>
    <x v="2"/>
    <x v="0"/>
    <x v="0"/>
    <x v="0"/>
    <x v="1"/>
    <x v="2"/>
    <x v="7"/>
    <x v="2"/>
  </r>
  <r>
    <s v="TX501324"/>
    <x v="1"/>
    <x v="1"/>
    <n v="40.6"/>
    <n v="81.2"/>
    <x v="50"/>
    <d v="2025-02-21T00:00:00"/>
    <x v="1"/>
    <x v="0"/>
    <x v="4"/>
    <x v="0"/>
    <x v="2"/>
    <x v="3"/>
    <x v="7"/>
    <x v="1"/>
  </r>
  <r>
    <s v="TX501325"/>
    <x v="0"/>
    <x v="2"/>
    <n v="32.5"/>
    <n v="97.5"/>
    <x v="50"/>
    <d v="2025-02-21T00:00:00"/>
    <x v="1"/>
    <x v="3"/>
    <x v="2"/>
    <x v="0"/>
    <x v="22"/>
    <x v="3"/>
    <x v="7"/>
    <x v="1"/>
  </r>
  <r>
    <s v="TX501326"/>
    <x v="15"/>
    <x v="0"/>
    <n v="26.2"/>
    <n v="26.2"/>
    <x v="50"/>
    <d v="2025-02-22T00:00:00"/>
    <x v="1"/>
    <x v="2"/>
    <x v="0"/>
    <x v="0"/>
    <x v="55"/>
    <x v="1"/>
    <x v="7"/>
    <x v="1"/>
  </r>
  <r>
    <s v="TX501327"/>
    <x v="10"/>
    <x v="17"/>
    <n v="44"/>
    <n v="1320"/>
    <x v="50"/>
    <d v="2025-02-26T00:00:00"/>
    <x v="1"/>
    <x v="4"/>
    <x v="0"/>
    <x v="0"/>
    <x v="3"/>
    <x v="4"/>
    <x v="7"/>
    <x v="1"/>
  </r>
  <r>
    <s v="TX501328"/>
    <x v="7"/>
    <x v="12"/>
    <n v="65.599999999999994"/>
    <n v="262.39999999999998"/>
    <x v="50"/>
    <d v="2025-02-21T00:00:00"/>
    <x v="2"/>
    <x v="1"/>
    <x v="1"/>
    <x v="0"/>
    <x v="3"/>
    <x v="3"/>
    <x v="7"/>
    <x v="2"/>
  </r>
  <r>
    <s v="TX501329"/>
    <x v="5"/>
    <x v="4"/>
    <n v="32.6"/>
    <n v="391.20000000000005"/>
    <x v="50"/>
    <d v="2025-02-21T00:00:00"/>
    <x v="1"/>
    <x v="4"/>
    <x v="0"/>
    <x v="0"/>
    <x v="3"/>
    <x v="3"/>
    <x v="7"/>
    <x v="1"/>
  </r>
  <r>
    <s v="TX501330"/>
    <x v="16"/>
    <x v="1"/>
    <n v="88.7"/>
    <n v="177.4"/>
    <x v="50"/>
    <d v="2025-02-21T00:00:00"/>
    <x v="0"/>
    <x v="3"/>
    <x v="2"/>
    <x v="0"/>
    <x v="3"/>
    <x v="3"/>
    <x v="7"/>
    <x v="0"/>
  </r>
  <r>
    <s v="TX501331"/>
    <x v="4"/>
    <x v="1"/>
    <n v="21.3"/>
    <n v="42.6"/>
    <x v="50"/>
    <d v="2025-02-21T00:00:00"/>
    <x v="1"/>
    <x v="0"/>
    <x v="0"/>
    <x v="0"/>
    <x v="3"/>
    <x v="3"/>
    <x v="7"/>
    <x v="1"/>
  </r>
  <r>
    <s v="TX501332"/>
    <x v="4"/>
    <x v="13"/>
    <n v="50.6"/>
    <n v="303.60000000000002"/>
    <x v="50"/>
    <d v="2025-02-24T00:00:00"/>
    <x v="2"/>
    <x v="2"/>
    <x v="0"/>
    <x v="0"/>
    <x v="3"/>
    <x v="5"/>
    <x v="7"/>
    <x v="2"/>
  </r>
  <r>
    <s v="TX501333"/>
    <x v="9"/>
    <x v="38"/>
    <n v="86.9"/>
    <n v="1824.9"/>
    <x v="50"/>
    <d v="2025-02-23T00:00:00"/>
    <x v="2"/>
    <x v="0"/>
    <x v="1"/>
    <x v="0"/>
    <x v="3"/>
    <x v="2"/>
    <x v="7"/>
    <x v="2"/>
  </r>
  <r>
    <s v="TX501334"/>
    <x v="11"/>
    <x v="2"/>
    <n v="31.8"/>
    <n v="95.4"/>
    <x v="50"/>
    <d v="2025-02-22T00:00:00"/>
    <x v="1"/>
    <x v="0"/>
    <x v="2"/>
    <x v="0"/>
    <x v="3"/>
    <x v="1"/>
    <x v="7"/>
    <x v="1"/>
  </r>
  <r>
    <s v="TX501335"/>
    <x v="8"/>
    <x v="0"/>
    <n v="19"/>
    <n v="19"/>
    <x v="50"/>
    <d v="2025-02-21T00:00:00"/>
    <x v="2"/>
    <x v="0"/>
    <x v="2"/>
    <x v="0"/>
    <x v="3"/>
    <x v="3"/>
    <x v="7"/>
    <x v="2"/>
  </r>
  <r>
    <s v="TX501336"/>
    <x v="5"/>
    <x v="0"/>
    <n v="54.5"/>
    <n v="54.5"/>
    <x v="50"/>
    <d v="2025-02-22T00:00:00"/>
    <x v="1"/>
    <x v="0"/>
    <x v="0"/>
    <x v="0"/>
    <x v="3"/>
    <x v="1"/>
    <x v="7"/>
    <x v="1"/>
  </r>
  <r>
    <s v="TX501337"/>
    <x v="9"/>
    <x v="9"/>
    <n v="68.900000000000006"/>
    <n v="344.5"/>
    <x v="50"/>
    <d v="2025-02-22T00:00:00"/>
    <x v="1"/>
    <x v="4"/>
    <x v="1"/>
    <x v="0"/>
    <x v="3"/>
    <x v="1"/>
    <x v="7"/>
    <x v="1"/>
  </r>
  <r>
    <s v="TX501338"/>
    <x v="6"/>
    <x v="2"/>
    <n v="84"/>
    <n v="252"/>
    <x v="50"/>
    <d v="2025-02-21T00:00:00"/>
    <x v="1"/>
    <x v="1"/>
    <x v="4"/>
    <x v="0"/>
    <x v="16"/>
    <x v="3"/>
    <x v="7"/>
    <x v="1"/>
  </r>
  <r>
    <s v="TX501339"/>
    <x v="15"/>
    <x v="8"/>
    <n v="23.1"/>
    <n v="184.8"/>
    <x v="50"/>
    <d v="2025-02-25T00:00:00"/>
    <x v="1"/>
    <x v="0"/>
    <x v="2"/>
    <x v="0"/>
    <x v="23"/>
    <x v="0"/>
    <x v="7"/>
    <x v="1"/>
  </r>
  <r>
    <s v="TX501340"/>
    <x v="7"/>
    <x v="1"/>
    <n v="62.4"/>
    <n v="124.8"/>
    <x v="50"/>
    <d v="2025-02-21T00:00:00"/>
    <x v="2"/>
    <x v="0"/>
    <x v="1"/>
    <x v="0"/>
    <x v="6"/>
    <x v="3"/>
    <x v="7"/>
    <x v="2"/>
  </r>
  <r>
    <s v="TX501341"/>
    <x v="6"/>
    <x v="4"/>
    <n v="40.700000000000003"/>
    <n v="488.40000000000003"/>
    <x v="50"/>
    <d v="2025-02-22T00:00:00"/>
    <x v="1"/>
    <x v="1"/>
    <x v="2"/>
    <x v="0"/>
    <x v="6"/>
    <x v="1"/>
    <x v="7"/>
    <x v="1"/>
  </r>
  <r>
    <s v="TX501342"/>
    <x v="6"/>
    <x v="0"/>
    <n v="49.6"/>
    <n v="49.6"/>
    <x v="50"/>
    <d v="2025-02-23T00:00:00"/>
    <x v="1"/>
    <x v="2"/>
    <x v="0"/>
    <x v="0"/>
    <x v="7"/>
    <x v="2"/>
    <x v="7"/>
    <x v="1"/>
  </r>
  <r>
    <s v="TX501343"/>
    <x v="7"/>
    <x v="41"/>
    <n v="66.599999999999994"/>
    <n v="2996.9999999999995"/>
    <x v="50"/>
    <d v="2025-02-23T00:00:00"/>
    <x v="1"/>
    <x v="2"/>
    <x v="0"/>
    <x v="0"/>
    <x v="8"/>
    <x v="2"/>
    <x v="7"/>
    <x v="1"/>
  </r>
  <r>
    <s v="TX501344"/>
    <x v="8"/>
    <x v="2"/>
    <n v="26.4"/>
    <n v="79.199999999999989"/>
    <x v="50"/>
    <d v="2025-02-21T00:00:00"/>
    <x v="2"/>
    <x v="1"/>
    <x v="1"/>
    <x v="0"/>
    <x v="8"/>
    <x v="3"/>
    <x v="7"/>
    <x v="2"/>
  </r>
  <r>
    <s v="TX501345"/>
    <x v="0"/>
    <x v="1"/>
    <n v="17.2"/>
    <n v="34.4"/>
    <x v="50"/>
    <d v="2025-02-23T00:00:00"/>
    <x v="1"/>
    <x v="2"/>
    <x v="1"/>
    <x v="0"/>
    <x v="8"/>
    <x v="2"/>
    <x v="7"/>
    <x v="1"/>
  </r>
  <r>
    <s v="TX501346"/>
    <x v="5"/>
    <x v="8"/>
    <n v="58.1"/>
    <n v="464.8"/>
    <x v="50"/>
    <d v="2025-02-23T00:00:00"/>
    <x v="2"/>
    <x v="4"/>
    <x v="0"/>
    <x v="0"/>
    <x v="8"/>
    <x v="2"/>
    <x v="7"/>
    <x v="2"/>
  </r>
  <r>
    <s v="TX501347"/>
    <x v="15"/>
    <x v="12"/>
    <n v="31.5"/>
    <n v="126"/>
    <x v="50"/>
    <d v="2025-02-23T00:00:00"/>
    <x v="2"/>
    <x v="4"/>
    <x v="4"/>
    <x v="0"/>
    <x v="8"/>
    <x v="2"/>
    <x v="7"/>
    <x v="2"/>
  </r>
  <r>
    <s v="TX501348"/>
    <x v="0"/>
    <x v="0"/>
    <n v="27.1"/>
    <n v="27.1"/>
    <x v="50"/>
    <d v="2025-02-22T00:00:00"/>
    <x v="2"/>
    <x v="0"/>
    <x v="1"/>
    <x v="0"/>
    <x v="17"/>
    <x v="1"/>
    <x v="7"/>
    <x v="2"/>
  </r>
  <r>
    <s v="TX501349"/>
    <x v="18"/>
    <x v="12"/>
    <n v="28.5"/>
    <n v="114"/>
    <x v="50"/>
    <d v="2025-02-22T00:00:00"/>
    <x v="1"/>
    <x v="1"/>
    <x v="2"/>
    <x v="0"/>
    <x v="9"/>
    <x v="1"/>
    <x v="7"/>
    <x v="1"/>
  </r>
  <r>
    <s v="TX501350"/>
    <x v="10"/>
    <x v="0"/>
    <n v="40.5"/>
    <n v="40.5"/>
    <x v="51"/>
    <d v="2025-02-23T00:00:00"/>
    <x v="3"/>
    <x v="2"/>
    <x v="0"/>
    <x v="0"/>
    <x v="9"/>
    <x v="1"/>
    <x v="7"/>
    <x v="3"/>
  </r>
  <r>
    <s v="TX501351"/>
    <x v="2"/>
    <x v="2"/>
    <n v="77.900000000000006"/>
    <n v="233.70000000000002"/>
    <x v="51"/>
    <d v="2025-02-25T00:00:00"/>
    <x v="2"/>
    <x v="1"/>
    <x v="2"/>
    <x v="0"/>
    <x v="19"/>
    <x v="5"/>
    <x v="7"/>
    <x v="2"/>
  </r>
  <r>
    <s v="TX501352"/>
    <x v="18"/>
    <x v="12"/>
    <n v="37.1"/>
    <n v="148.4"/>
    <x v="51"/>
    <d v="2025-02-23T00:00:00"/>
    <x v="1"/>
    <x v="4"/>
    <x v="2"/>
    <x v="0"/>
    <x v="19"/>
    <x v="1"/>
    <x v="7"/>
    <x v="1"/>
  </r>
  <r>
    <s v="TX501353"/>
    <x v="16"/>
    <x v="2"/>
    <n v="51.6"/>
    <n v="154.80000000000001"/>
    <x v="51"/>
    <d v="2025-03-01T00:00:00"/>
    <x v="2"/>
    <x v="0"/>
    <x v="4"/>
    <x v="0"/>
    <x v="19"/>
    <x v="9"/>
    <x v="7"/>
    <x v="2"/>
  </r>
  <r>
    <s v="TX501354"/>
    <x v="7"/>
    <x v="2"/>
    <n v="98"/>
    <n v="294"/>
    <x v="51"/>
    <d v="2025-02-22T00:00:00"/>
    <x v="1"/>
    <x v="1"/>
    <x v="1"/>
    <x v="0"/>
    <x v="19"/>
    <x v="3"/>
    <x v="7"/>
    <x v="1"/>
  </r>
  <r>
    <s v="TX501355"/>
    <x v="6"/>
    <x v="3"/>
    <n v="41.4"/>
    <n v="289.8"/>
    <x v="51"/>
    <d v="2025-02-22T00:00:00"/>
    <x v="1"/>
    <x v="1"/>
    <x v="0"/>
    <x v="0"/>
    <x v="20"/>
    <x v="3"/>
    <x v="7"/>
    <x v="1"/>
  </r>
  <r>
    <s v="TX501356"/>
    <x v="11"/>
    <x v="8"/>
    <n v="34"/>
    <n v="272"/>
    <x v="51"/>
    <d v="2025-02-26T00:00:00"/>
    <x v="2"/>
    <x v="0"/>
    <x v="2"/>
    <x v="0"/>
    <x v="52"/>
    <x v="0"/>
    <x v="7"/>
    <x v="2"/>
  </r>
  <r>
    <s v="TX501357"/>
    <x v="6"/>
    <x v="0"/>
    <n v="66.3"/>
    <n v="66.3"/>
    <x v="51"/>
    <d v="2025-02-22T00:00:00"/>
    <x v="2"/>
    <x v="1"/>
    <x v="0"/>
    <x v="0"/>
    <x v="13"/>
    <x v="3"/>
    <x v="7"/>
    <x v="2"/>
  </r>
  <r>
    <s v="TX501358"/>
    <x v="7"/>
    <x v="0"/>
    <n v="33.5"/>
    <n v="33.5"/>
    <x v="51"/>
    <d v="2025-02-25T00:00:00"/>
    <x v="1"/>
    <x v="2"/>
    <x v="0"/>
    <x v="0"/>
    <x v="13"/>
    <x v="5"/>
    <x v="7"/>
    <x v="1"/>
  </r>
  <r>
    <s v="TX501359"/>
    <x v="12"/>
    <x v="1"/>
    <n v="70.8"/>
    <n v="141.6"/>
    <x v="51"/>
    <d v="2025-02-22T00:00:00"/>
    <x v="0"/>
    <x v="0"/>
    <x v="0"/>
    <x v="0"/>
    <x v="28"/>
    <x v="3"/>
    <x v="7"/>
    <x v="0"/>
  </r>
  <r>
    <s v="TX501360"/>
    <x v="6"/>
    <x v="1"/>
    <n v="127.6"/>
    <n v="255.2"/>
    <x v="51"/>
    <d v="2025-02-22T00:00:00"/>
    <x v="1"/>
    <x v="0"/>
    <x v="0"/>
    <x v="0"/>
    <x v="21"/>
    <x v="3"/>
    <x v="7"/>
    <x v="1"/>
  </r>
  <r>
    <s v="TX501361"/>
    <x v="6"/>
    <x v="2"/>
    <n v="95.9"/>
    <n v="287.70000000000005"/>
    <x v="51"/>
    <d v="2025-02-22T00:00:00"/>
    <x v="2"/>
    <x v="1"/>
    <x v="1"/>
    <x v="0"/>
    <x v="21"/>
    <x v="3"/>
    <x v="7"/>
    <x v="2"/>
  </r>
  <r>
    <s v="TX501362"/>
    <x v="2"/>
    <x v="1"/>
    <n v="78.099999999999994"/>
    <n v="156.19999999999999"/>
    <x v="51"/>
    <d v="2025-02-22T00:00:00"/>
    <x v="1"/>
    <x v="0"/>
    <x v="0"/>
    <x v="0"/>
    <x v="1"/>
    <x v="3"/>
    <x v="7"/>
    <x v="1"/>
  </r>
  <r>
    <s v="TX501363"/>
    <x v="13"/>
    <x v="1"/>
    <n v="43.2"/>
    <n v="86.4"/>
    <x v="51"/>
    <d v="2025-02-22T00:00:00"/>
    <x v="0"/>
    <x v="1"/>
    <x v="1"/>
    <x v="0"/>
    <x v="1"/>
    <x v="3"/>
    <x v="7"/>
    <x v="0"/>
  </r>
  <r>
    <s v="TX501364"/>
    <x v="8"/>
    <x v="12"/>
    <n v="28.4"/>
    <n v="113.6"/>
    <x v="51"/>
    <d v="2025-02-27T00:00:00"/>
    <x v="1"/>
    <x v="2"/>
    <x v="0"/>
    <x v="0"/>
    <x v="3"/>
    <x v="4"/>
    <x v="7"/>
    <x v="1"/>
  </r>
  <r>
    <s v="TX501365"/>
    <x v="2"/>
    <x v="1"/>
    <n v="81.7"/>
    <n v="163.4"/>
    <x v="51"/>
    <d v="2025-02-21T00:00:00"/>
    <x v="1"/>
    <x v="0"/>
    <x v="0"/>
    <x v="0"/>
    <x v="3"/>
    <x v="7"/>
    <x v="7"/>
    <x v="1"/>
  </r>
  <r>
    <s v="TX501366"/>
    <x v="18"/>
    <x v="1"/>
    <n v="56.7"/>
    <n v="113.4"/>
    <x v="51"/>
    <d v="2025-02-23T00:00:00"/>
    <x v="0"/>
    <x v="0"/>
    <x v="2"/>
    <x v="0"/>
    <x v="3"/>
    <x v="1"/>
    <x v="7"/>
    <x v="0"/>
  </r>
  <r>
    <s v="TX501367"/>
    <x v="3"/>
    <x v="12"/>
    <n v="66.5"/>
    <n v="266"/>
    <x v="51"/>
    <d v="2025-02-21T00:00:00"/>
    <x v="2"/>
    <x v="0"/>
    <x v="2"/>
    <x v="0"/>
    <x v="3"/>
    <x v="7"/>
    <x v="7"/>
    <x v="2"/>
  </r>
  <r>
    <s v="TX501368"/>
    <x v="1"/>
    <x v="1"/>
    <n v="105.3"/>
    <n v="210.6"/>
    <x v="51"/>
    <d v="2025-02-25T00:00:00"/>
    <x v="1"/>
    <x v="0"/>
    <x v="1"/>
    <x v="0"/>
    <x v="3"/>
    <x v="5"/>
    <x v="7"/>
    <x v="1"/>
  </r>
  <r>
    <s v="TX501369"/>
    <x v="10"/>
    <x v="9"/>
    <n v="33.799999999999997"/>
    <n v="169"/>
    <x v="51"/>
    <d v="2025-02-26T00:00:00"/>
    <x v="1"/>
    <x v="0"/>
    <x v="0"/>
    <x v="0"/>
    <x v="3"/>
    <x v="0"/>
    <x v="7"/>
    <x v="1"/>
  </r>
  <r>
    <s v="TX501370"/>
    <x v="6"/>
    <x v="2"/>
    <n v="63.4"/>
    <n v="190.2"/>
    <x v="51"/>
    <d v="2025-02-26T00:00:00"/>
    <x v="1"/>
    <x v="3"/>
    <x v="1"/>
    <x v="0"/>
    <x v="24"/>
    <x v="0"/>
    <x v="7"/>
    <x v="1"/>
  </r>
  <r>
    <s v="TX501371"/>
    <x v="6"/>
    <x v="2"/>
    <n v="49"/>
    <n v="147"/>
    <x v="51"/>
    <d v="2025-02-25T00:00:00"/>
    <x v="1"/>
    <x v="3"/>
    <x v="0"/>
    <x v="0"/>
    <x v="49"/>
    <x v="5"/>
    <x v="7"/>
    <x v="1"/>
  </r>
  <r>
    <s v="TX501372"/>
    <x v="1"/>
    <x v="1"/>
    <n v="40"/>
    <n v="80"/>
    <x v="51"/>
    <d v="2025-02-22T00:00:00"/>
    <x v="2"/>
    <x v="4"/>
    <x v="1"/>
    <x v="0"/>
    <x v="23"/>
    <x v="3"/>
    <x v="7"/>
    <x v="2"/>
  </r>
  <r>
    <s v="TX501373"/>
    <x v="6"/>
    <x v="12"/>
    <n v="86.3"/>
    <n v="345.2"/>
    <x v="51"/>
    <d v="2025-02-22T00:00:00"/>
    <x v="3"/>
    <x v="0"/>
    <x v="0"/>
    <x v="0"/>
    <x v="6"/>
    <x v="3"/>
    <x v="7"/>
    <x v="3"/>
  </r>
  <r>
    <s v="TX501374"/>
    <x v="6"/>
    <x v="0"/>
    <n v="51.6"/>
    <n v="51.6"/>
    <x v="51"/>
    <d v="2025-02-23T00:00:00"/>
    <x v="2"/>
    <x v="2"/>
    <x v="2"/>
    <x v="0"/>
    <x v="6"/>
    <x v="1"/>
    <x v="7"/>
    <x v="2"/>
  </r>
  <r>
    <s v="TX501375"/>
    <x v="10"/>
    <x v="2"/>
    <n v="26.7"/>
    <n v="80.099999999999994"/>
    <x v="51"/>
    <d v="2025-02-26T00:00:00"/>
    <x v="2"/>
    <x v="2"/>
    <x v="1"/>
    <x v="0"/>
    <x v="6"/>
    <x v="0"/>
    <x v="7"/>
    <x v="2"/>
  </r>
  <r>
    <s v="TX501376"/>
    <x v="18"/>
    <x v="1"/>
    <n v="68.099999999999994"/>
    <n v="136.19999999999999"/>
    <x v="51"/>
    <d v="2025-02-22T00:00:00"/>
    <x v="1"/>
    <x v="0"/>
    <x v="1"/>
    <x v="0"/>
    <x v="6"/>
    <x v="3"/>
    <x v="7"/>
    <x v="1"/>
  </r>
  <r>
    <s v="TX501377"/>
    <x v="1"/>
    <x v="0"/>
    <n v="81.7"/>
    <n v="81.7"/>
    <x v="51"/>
    <d v="2025-02-22T00:00:00"/>
    <x v="1"/>
    <x v="0"/>
    <x v="0"/>
    <x v="0"/>
    <x v="7"/>
    <x v="3"/>
    <x v="7"/>
    <x v="1"/>
  </r>
  <r>
    <s v="TX501378"/>
    <x v="18"/>
    <x v="7"/>
    <n v="25.1"/>
    <n v="251"/>
    <x v="51"/>
    <d v="2025-02-24T00:00:00"/>
    <x v="1"/>
    <x v="3"/>
    <x v="1"/>
    <x v="0"/>
    <x v="8"/>
    <x v="2"/>
    <x v="7"/>
    <x v="1"/>
  </r>
  <r>
    <s v="TX501379"/>
    <x v="8"/>
    <x v="0"/>
    <n v="20.2"/>
    <n v="20.2"/>
    <x v="51"/>
    <d v="2025-02-25T00:00:00"/>
    <x v="2"/>
    <x v="0"/>
    <x v="0"/>
    <x v="0"/>
    <x v="8"/>
    <x v="5"/>
    <x v="7"/>
    <x v="2"/>
  </r>
  <r>
    <s v="TX501380"/>
    <x v="8"/>
    <x v="2"/>
    <n v="15.4"/>
    <n v="46.2"/>
    <x v="51"/>
    <d v="2025-02-22T00:00:00"/>
    <x v="1"/>
    <x v="1"/>
    <x v="2"/>
    <x v="0"/>
    <x v="8"/>
    <x v="3"/>
    <x v="7"/>
    <x v="1"/>
  </r>
  <r>
    <s v="TX501381"/>
    <x v="10"/>
    <x v="0"/>
    <n v="59.2"/>
    <n v="59.2"/>
    <x v="51"/>
    <d v="2025-02-22T00:00:00"/>
    <x v="1"/>
    <x v="2"/>
    <x v="2"/>
    <x v="0"/>
    <x v="17"/>
    <x v="3"/>
    <x v="7"/>
    <x v="1"/>
  </r>
  <r>
    <s v="TX501382"/>
    <x v="0"/>
    <x v="0"/>
    <n v="46.7"/>
    <n v="46.7"/>
    <x v="51"/>
    <d v="2025-02-26T00:00:00"/>
    <x v="1"/>
    <x v="0"/>
    <x v="0"/>
    <x v="0"/>
    <x v="17"/>
    <x v="0"/>
    <x v="7"/>
    <x v="1"/>
  </r>
  <r>
    <s v="TX501383"/>
    <x v="6"/>
    <x v="20"/>
    <n v="41.6"/>
    <n v="624"/>
    <x v="51"/>
    <d v="2025-02-23T00:00:00"/>
    <x v="1"/>
    <x v="1"/>
    <x v="0"/>
    <x v="0"/>
    <x v="26"/>
    <x v="1"/>
    <x v="7"/>
    <x v="1"/>
  </r>
  <r>
    <s v="TX501384"/>
    <x v="8"/>
    <x v="1"/>
    <n v="19.2"/>
    <n v="38.4"/>
    <x v="51"/>
    <d v="2025-02-24T00:00:00"/>
    <x v="1"/>
    <x v="4"/>
    <x v="2"/>
    <x v="0"/>
    <x v="9"/>
    <x v="2"/>
    <x v="7"/>
    <x v="1"/>
  </r>
  <r>
    <s v="TX501385"/>
    <x v="17"/>
    <x v="3"/>
    <n v="41.8"/>
    <n v="292.59999999999997"/>
    <x v="51"/>
    <d v="2025-02-23T00:00:00"/>
    <x v="2"/>
    <x v="2"/>
    <x v="0"/>
    <x v="0"/>
    <x v="11"/>
    <x v="1"/>
    <x v="7"/>
    <x v="2"/>
  </r>
  <r>
    <s v="TX501386"/>
    <x v="8"/>
    <x v="13"/>
    <n v="37.4"/>
    <n v="224.39999999999998"/>
    <x v="51"/>
    <d v="2025-02-23T00:00:00"/>
    <x v="1"/>
    <x v="0"/>
    <x v="2"/>
    <x v="0"/>
    <x v="11"/>
    <x v="1"/>
    <x v="7"/>
    <x v="1"/>
  </r>
  <r>
    <s v="TX501387"/>
    <x v="10"/>
    <x v="2"/>
    <n v="60.2"/>
    <n v="180.60000000000002"/>
    <x v="51"/>
    <d v="2025-02-24T00:00:00"/>
    <x v="1"/>
    <x v="4"/>
    <x v="1"/>
    <x v="0"/>
    <x v="38"/>
    <x v="2"/>
    <x v="7"/>
    <x v="1"/>
  </r>
  <r>
    <s v="TX501388"/>
    <x v="9"/>
    <x v="1"/>
    <n v="91.5"/>
    <n v="183"/>
    <x v="52"/>
    <d v="2025-02-23T00:00:00"/>
    <x v="1"/>
    <x v="0"/>
    <x v="0"/>
    <x v="0"/>
    <x v="13"/>
    <x v="3"/>
    <x v="7"/>
    <x v="1"/>
  </r>
  <r>
    <s v="TX501389"/>
    <x v="3"/>
    <x v="9"/>
    <n v="55.7"/>
    <n v="278.5"/>
    <x v="52"/>
    <d v="2025-02-24T00:00:00"/>
    <x v="0"/>
    <x v="1"/>
    <x v="2"/>
    <x v="0"/>
    <x v="21"/>
    <x v="1"/>
    <x v="7"/>
    <x v="0"/>
  </r>
  <r>
    <s v="TX501390"/>
    <x v="7"/>
    <x v="1"/>
    <n v="76.7"/>
    <n v="153.4"/>
    <x v="52"/>
    <d v="2025-02-24T00:00:00"/>
    <x v="1"/>
    <x v="0"/>
    <x v="1"/>
    <x v="0"/>
    <x v="21"/>
    <x v="1"/>
    <x v="7"/>
    <x v="1"/>
  </r>
  <r>
    <s v="TX501391"/>
    <x v="8"/>
    <x v="38"/>
    <n v="28.2"/>
    <n v="592.19999999999993"/>
    <x v="52"/>
    <d v="2025-02-27T00:00:00"/>
    <x v="1"/>
    <x v="2"/>
    <x v="0"/>
    <x v="0"/>
    <x v="1"/>
    <x v="0"/>
    <x v="7"/>
    <x v="1"/>
  </r>
  <r>
    <s v="TX501392"/>
    <x v="7"/>
    <x v="9"/>
    <n v="93.2"/>
    <n v="466"/>
    <x v="52"/>
    <d v="2025-02-24T00:00:00"/>
    <x v="2"/>
    <x v="4"/>
    <x v="2"/>
    <x v="0"/>
    <x v="1"/>
    <x v="1"/>
    <x v="7"/>
    <x v="2"/>
  </r>
  <r>
    <s v="TX501393"/>
    <x v="17"/>
    <x v="0"/>
    <n v="33.299999999999997"/>
    <n v="33.299999999999997"/>
    <x v="52"/>
    <d v="2025-02-23T00:00:00"/>
    <x v="1"/>
    <x v="4"/>
    <x v="0"/>
    <x v="0"/>
    <x v="2"/>
    <x v="3"/>
    <x v="7"/>
    <x v="1"/>
  </r>
  <r>
    <s v="TX501394"/>
    <x v="10"/>
    <x v="1"/>
    <n v="39.1"/>
    <n v="78.2"/>
    <x v="52"/>
    <d v="2025-02-25T00:00:00"/>
    <x v="1"/>
    <x v="0"/>
    <x v="0"/>
    <x v="0"/>
    <x v="44"/>
    <x v="2"/>
    <x v="7"/>
    <x v="1"/>
  </r>
  <r>
    <s v="TX501395"/>
    <x v="7"/>
    <x v="4"/>
    <n v="45.3"/>
    <n v="543.59999999999991"/>
    <x v="52"/>
    <d v="2025-02-23T00:00:00"/>
    <x v="1"/>
    <x v="2"/>
    <x v="0"/>
    <x v="0"/>
    <x v="33"/>
    <x v="3"/>
    <x v="7"/>
    <x v="1"/>
  </r>
  <r>
    <s v="TX501396"/>
    <x v="9"/>
    <x v="3"/>
    <n v="33.9"/>
    <n v="237.29999999999998"/>
    <x v="52"/>
    <d v="2025-02-23T00:00:00"/>
    <x v="1"/>
    <x v="4"/>
    <x v="0"/>
    <x v="0"/>
    <x v="33"/>
    <x v="3"/>
    <x v="7"/>
    <x v="1"/>
  </r>
  <r>
    <s v="TX501397"/>
    <x v="8"/>
    <x v="2"/>
    <n v="19"/>
    <n v="57"/>
    <x v="52"/>
    <d v="2025-02-23T00:00:00"/>
    <x v="1"/>
    <x v="0"/>
    <x v="2"/>
    <x v="0"/>
    <x v="15"/>
    <x v="3"/>
    <x v="7"/>
    <x v="1"/>
  </r>
  <r>
    <s v="TX501398"/>
    <x v="4"/>
    <x v="0"/>
    <n v="41.9"/>
    <n v="41.9"/>
    <x v="52"/>
    <d v="2025-02-25T00:00:00"/>
    <x v="2"/>
    <x v="2"/>
    <x v="0"/>
    <x v="0"/>
    <x v="22"/>
    <x v="2"/>
    <x v="7"/>
    <x v="2"/>
  </r>
  <r>
    <s v="TX501399"/>
    <x v="1"/>
    <x v="12"/>
    <n v="37.5"/>
    <n v="150"/>
    <x v="52"/>
    <d v="2025-02-22T00:00:00"/>
    <x v="2"/>
    <x v="0"/>
    <x v="0"/>
    <x v="0"/>
    <x v="3"/>
    <x v="7"/>
    <x v="7"/>
    <x v="2"/>
  </r>
  <r>
    <s v="TX501400"/>
    <x v="0"/>
    <x v="1"/>
    <n v="40.799999999999997"/>
    <n v="81.599999999999994"/>
    <x v="52"/>
    <d v="2025-02-25T00:00:00"/>
    <x v="1"/>
    <x v="0"/>
    <x v="0"/>
    <x v="0"/>
    <x v="3"/>
    <x v="2"/>
    <x v="7"/>
    <x v="1"/>
  </r>
  <r>
    <s v="TX501401"/>
    <x v="0"/>
    <x v="12"/>
    <n v="23.1"/>
    <n v="92.4"/>
    <x v="52"/>
    <d v="2025-02-23T00:00:00"/>
    <x v="2"/>
    <x v="4"/>
    <x v="0"/>
    <x v="0"/>
    <x v="3"/>
    <x v="3"/>
    <x v="7"/>
    <x v="2"/>
  </r>
  <r>
    <s v="TX501402"/>
    <x v="8"/>
    <x v="9"/>
    <n v="39.299999999999997"/>
    <n v="196.5"/>
    <x v="52"/>
    <d v="2025-02-23T00:00:00"/>
    <x v="2"/>
    <x v="0"/>
    <x v="0"/>
    <x v="0"/>
    <x v="3"/>
    <x v="3"/>
    <x v="7"/>
    <x v="2"/>
  </r>
  <r>
    <s v="TX501403"/>
    <x v="2"/>
    <x v="12"/>
    <n v="85.2"/>
    <n v="340.8"/>
    <x v="52"/>
    <d v="2025-02-27T00:00:00"/>
    <x v="1"/>
    <x v="2"/>
    <x v="0"/>
    <x v="0"/>
    <x v="3"/>
    <x v="0"/>
    <x v="7"/>
    <x v="1"/>
  </r>
  <r>
    <s v="TX501404"/>
    <x v="8"/>
    <x v="13"/>
    <n v="16"/>
    <n v="96"/>
    <x v="52"/>
    <d v="2025-02-25T00:00:00"/>
    <x v="1"/>
    <x v="1"/>
    <x v="0"/>
    <x v="0"/>
    <x v="3"/>
    <x v="2"/>
    <x v="7"/>
    <x v="1"/>
  </r>
  <r>
    <s v="TX501405"/>
    <x v="1"/>
    <x v="1"/>
    <n v="33.799999999999997"/>
    <n v="67.599999999999994"/>
    <x v="52"/>
    <d v="2025-02-26T00:00:00"/>
    <x v="2"/>
    <x v="1"/>
    <x v="0"/>
    <x v="0"/>
    <x v="3"/>
    <x v="5"/>
    <x v="7"/>
    <x v="2"/>
  </r>
  <r>
    <s v="TX501406"/>
    <x v="3"/>
    <x v="0"/>
    <n v="70"/>
    <n v="70"/>
    <x v="52"/>
    <d v="2025-02-23T00:00:00"/>
    <x v="2"/>
    <x v="0"/>
    <x v="0"/>
    <x v="0"/>
    <x v="3"/>
    <x v="3"/>
    <x v="7"/>
    <x v="2"/>
  </r>
  <r>
    <s v="TX501407"/>
    <x v="9"/>
    <x v="0"/>
    <n v="88"/>
    <n v="88"/>
    <x v="52"/>
    <d v="2025-02-27T00:00:00"/>
    <x v="2"/>
    <x v="3"/>
    <x v="0"/>
    <x v="0"/>
    <x v="3"/>
    <x v="0"/>
    <x v="7"/>
    <x v="2"/>
  </r>
  <r>
    <s v="TX501408"/>
    <x v="2"/>
    <x v="2"/>
    <n v="74.099999999999994"/>
    <n v="222.29999999999998"/>
    <x v="52"/>
    <d v="2025-02-22T00:00:00"/>
    <x v="1"/>
    <x v="4"/>
    <x v="1"/>
    <x v="0"/>
    <x v="3"/>
    <x v="7"/>
    <x v="7"/>
    <x v="1"/>
  </r>
  <r>
    <s v="TX501409"/>
    <x v="2"/>
    <x v="0"/>
    <n v="161.9"/>
    <n v="161.9"/>
    <x v="52"/>
    <d v="2025-02-24T00:00:00"/>
    <x v="1"/>
    <x v="2"/>
    <x v="0"/>
    <x v="0"/>
    <x v="3"/>
    <x v="1"/>
    <x v="7"/>
    <x v="1"/>
  </r>
  <r>
    <s v="TX501410"/>
    <x v="4"/>
    <x v="1"/>
    <n v="44"/>
    <n v="88"/>
    <x v="52"/>
    <d v="2025-02-23T00:00:00"/>
    <x v="3"/>
    <x v="4"/>
    <x v="1"/>
    <x v="0"/>
    <x v="3"/>
    <x v="3"/>
    <x v="7"/>
    <x v="3"/>
  </r>
  <r>
    <s v="TX501411"/>
    <x v="11"/>
    <x v="0"/>
    <n v="32.1"/>
    <n v="32.1"/>
    <x v="52"/>
    <d v="2025-02-22T00:00:00"/>
    <x v="2"/>
    <x v="3"/>
    <x v="3"/>
    <x v="0"/>
    <x v="3"/>
    <x v="7"/>
    <x v="7"/>
    <x v="2"/>
  </r>
  <r>
    <s v="TX501412"/>
    <x v="2"/>
    <x v="12"/>
    <n v="104.8"/>
    <n v="419.2"/>
    <x v="53"/>
    <d v="2025-02-25T00:00:00"/>
    <x v="3"/>
    <x v="0"/>
    <x v="0"/>
    <x v="0"/>
    <x v="3"/>
    <x v="1"/>
    <x v="8"/>
    <x v="3"/>
  </r>
  <r>
    <s v="TX501413"/>
    <x v="9"/>
    <x v="13"/>
    <n v="67.400000000000006"/>
    <n v="404.40000000000003"/>
    <x v="53"/>
    <d v="2025-02-24T00:00:00"/>
    <x v="2"/>
    <x v="3"/>
    <x v="0"/>
    <x v="0"/>
    <x v="3"/>
    <x v="3"/>
    <x v="8"/>
    <x v="2"/>
  </r>
  <r>
    <s v="TX501414"/>
    <x v="6"/>
    <x v="1"/>
    <n v="115.2"/>
    <n v="230.4"/>
    <x v="53"/>
    <d v="2025-02-24T00:00:00"/>
    <x v="2"/>
    <x v="1"/>
    <x v="0"/>
    <x v="0"/>
    <x v="4"/>
    <x v="3"/>
    <x v="8"/>
    <x v="2"/>
  </r>
  <r>
    <s v="TX501415"/>
    <x v="8"/>
    <x v="19"/>
    <n v="15.5"/>
    <n v="449.5"/>
    <x v="53"/>
    <d v="2025-02-25T00:00:00"/>
    <x v="2"/>
    <x v="0"/>
    <x v="1"/>
    <x v="0"/>
    <x v="23"/>
    <x v="1"/>
    <x v="8"/>
    <x v="2"/>
  </r>
  <r>
    <s v="TX501416"/>
    <x v="6"/>
    <x v="5"/>
    <n v="66.400000000000006"/>
    <n v="730.40000000000009"/>
    <x v="53"/>
    <d v="2025-02-25T00:00:00"/>
    <x v="2"/>
    <x v="0"/>
    <x v="0"/>
    <x v="0"/>
    <x v="6"/>
    <x v="1"/>
    <x v="8"/>
    <x v="2"/>
  </r>
  <r>
    <s v="TX501417"/>
    <x v="9"/>
    <x v="4"/>
    <n v="68.099999999999994"/>
    <n v="817.19999999999993"/>
    <x v="53"/>
    <d v="2025-02-24T00:00:00"/>
    <x v="2"/>
    <x v="2"/>
    <x v="0"/>
    <x v="0"/>
    <x v="8"/>
    <x v="3"/>
    <x v="8"/>
    <x v="2"/>
  </r>
  <r>
    <s v="TX501418"/>
    <x v="8"/>
    <x v="9"/>
    <n v="32.5"/>
    <n v="162.5"/>
    <x v="53"/>
    <d v="2025-02-27T00:00:00"/>
    <x v="1"/>
    <x v="2"/>
    <x v="1"/>
    <x v="0"/>
    <x v="8"/>
    <x v="5"/>
    <x v="8"/>
    <x v="1"/>
  </r>
  <r>
    <s v="TX501419"/>
    <x v="15"/>
    <x v="2"/>
    <n v="61.2"/>
    <n v="183.60000000000002"/>
    <x v="53"/>
    <d v="2025-02-25T00:00:00"/>
    <x v="2"/>
    <x v="1"/>
    <x v="1"/>
    <x v="0"/>
    <x v="8"/>
    <x v="1"/>
    <x v="8"/>
    <x v="2"/>
  </r>
  <r>
    <s v="TX501420"/>
    <x v="9"/>
    <x v="1"/>
    <n v="54.2"/>
    <n v="108.4"/>
    <x v="53"/>
    <d v="2025-02-24T00:00:00"/>
    <x v="2"/>
    <x v="1"/>
    <x v="0"/>
    <x v="0"/>
    <x v="8"/>
    <x v="3"/>
    <x v="8"/>
    <x v="2"/>
  </r>
  <r>
    <s v="TX501421"/>
    <x v="11"/>
    <x v="8"/>
    <n v="28.7"/>
    <n v="229.6"/>
    <x v="53"/>
    <d v="2025-02-25T00:00:00"/>
    <x v="1"/>
    <x v="1"/>
    <x v="0"/>
    <x v="0"/>
    <x v="9"/>
    <x v="1"/>
    <x v="8"/>
    <x v="1"/>
  </r>
  <r>
    <s v="TX501422"/>
    <x v="12"/>
    <x v="13"/>
    <n v="38.200000000000003"/>
    <n v="229.20000000000002"/>
    <x v="53"/>
    <d v="2025-02-27T00:00:00"/>
    <x v="2"/>
    <x v="0"/>
    <x v="1"/>
    <x v="0"/>
    <x v="9"/>
    <x v="5"/>
    <x v="8"/>
    <x v="2"/>
  </r>
  <r>
    <s v="TX501423"/>
    <x v="8"/>
    <x v="4"/>
    <n v="17.600000000000001"/>
    <n v="211.20000000000002"/>
    <x v="53"/>
    <d v="2025-02-24T00:00:00"/>
    <x v="2"/>
    <x v="2"/>
    <x v="1"/>
    <x v="0"/>
    <x v="9"/>
    <x v="3"/>
    <x v="8"/>
    <x v="2"/>
  </r>
  <r>
    <s v="TX501424"/>
    <x v="10"/>
    <x v="2"/>
    <n v="74.599999999999994"/>
    <n v="223.79999999999998"/>
    <x v="53"/>
    <d v="2025-02-23T00:00:00"/>
    <x v="2"/>
    <x v="2"/>
    <x v="0"/>
    <x v="0"/>
    <x v="11"/>
    <x v="7"/>
    <x v="8"/>
    <x v="2"/>
  </r>
  <r>
    <s v="TX501425"/>
    <x v="16"/>
    <x v="20"/>
    <n v="72.599999999999994"/>
    <n v="1089"/>
    <x v="53"/>
    <d v="2025-02-23T00:00:00"/>
    <x v="0"/>
    <x v="1"/>
    <x v="1"/>
    <x v="0"/>
    <x v="11"/>
    <x v="7"/>
    <x v="8"/>
    <x v="0"/>
  </r>
  <r>
    <s v="TX501426"/>
    <x v="7"/>
    <x v="0"/>
    <n v="62.3"/>
    <n v="62.3"/>
    <x v="53"/>
    <d v="2025-02-24T00:00:00"/>
    <x v="2"/>
    <x v="1"/>
    <x v="0"/>
    <x v="0"/>
    <x v="11"/>
    <x v="3"/>
    <x v="8"/>
    <x v="2"/>
  </r>
  <r>
    <s v="TX501427"/>
    <x v="3"/>
    <x v="2"/>
    <n v="33.799999999999997"/>
    <n v="101.39999999999999"/>
    <x v="53"/>
    <d v="2025-02-25T00:00:00"/>
    <x v="1"/>
    <x v="0"/>
    <x v="2"/>
    <x v="0"/>
    <x v="20"/>
    <x v="1"/>
    <x v="8"/>
    <x v="1"/>
  </r>
  <r>
    <s v="TX501428"/>
    <x v="9"/>
    <x v="0"/>
    <n v="85.7"/>
    <n v="85.7"/>
    <x v="53"/>
    <d v="2025-02-26T00:00:00"/>
    <x v="1"/>
    <x v="3"/>
    <x v="1"/>
    <x v="0"/>
    <x v="21"/>
    <x v="2"/>
    <x v="8"/>
    <x v="1"/>
  </r>
  <r>
    <s v="TX501429"/>
    <x v="6"/>
    <x v="1"/>
    <n v="92.1"/>
    <n v="184.2"/>
    <x v="53"/>
    <d v="2025-02-25T00:00:00"/>
    <x v="1"/>
    <x v="1"/>
    <x v="0"/>
    <x v="0"/>
    <x v="21"/>
    <x v="1"/>
    <x v="8"/>
    <x v="1"/>
  </r>
  <r>
    <s v="TX501430"/>
    <x v="16"/>
    <x v="2"/>
    <n v="65.099999999999994"/>
    <n v="195.29999999999998"/>
    <x v="53"/>
    <d v="2025-02-26T00:00:00"/>
    <x v="1"/>
    <x v="0"/>
    <x v="0"/>
    <x v="0"/>
    <x v="1"/>
    <x v="2"/>
    <x v="8"/>
    <x v="1"/>
  </r>
  <r>
    <s v="TX501431"/>
    <x v="9"/>
    <x v="3"/>
    <n v="20.3"/>
    <n v="142.1"/>
    <x v="53"/>
    <d v="2025-02-24T00:00:00"/>
    <x v="2"/>
    <x v="2"/>
    <x v="2"/>
    <x v="0"/>
    <x v="2"/>
    <x v="3"/>
    <x v="8"/>
    <x v="2"/>
  </r>
  <r>
    <s v="TX501432"/>
    <x v="19"/>
    <x v="1"/>
    <n v="29.8"/>
    <n v="59.6"/>
    <x v="53"/>
    <d v="2025-02-25T00:00:00"/>
    <x v="2"/>
    <x v="1"/>
    <x v="2"/>
    <x v="0"/>
    <x v="34"/>
    <x v="1"/>
    <x v="8"/>
    <x v="2"/>
  </r>
  <r>
    <s v="TX501433"/>
    <x v="0"/>
    <x v="1"/>
    <n v="24.2"/>
    <n v="48.4"/>
    <x v="53"/>
    <d v="2025-02-25T00:00:00"/>
    <x v="2"/>
    <x v="3"/>
    <x v="2"/>
    <x v="0"/>
    <x v="3"/>
    <x v="1"/>
    <x v="8"/>
    <x v="2"/>
  </r>
  <r>
    <s v="TX501434"/>
    <x v="3"/>
    <x v="0"/>
    <n v="57.3"/>
    <n v="57.3"/>
    <x v="53"/>
    <d v="2025-02-25T00:00:00"/>
    <x v="1"/>
    <x v="0"/>
    <x v="0"/>
    <x v="0"/>
    <x v="3"/>
    <x v="1"/>
    <x v="8"/>
    <x v="1"/>
  </r>
  <r>
    <s v="TX501435"/>
    <x v="2"/>
    <x v="0"/>
    <n v="108.9"/>
    <n v="108.9"/>
    <x v="53"/>
    <d v="2025-02-25T00:00:00"/>
    <x v="2"/>
    <x v="1"/>
    <x v="0"/>
    <x v="0"/>
    <x v="3"/>
    <x v="1"/>
    <x v="8"/>
    <x v="2"/>
  </r>
  <r>
    <s v="TX501436"/>
    <x v="7"/>
    <x v="9"/>
    <n v="50.7"/>
    <n v="253.5"/>
    <x v="53"/>
    <d v="2025-02-24T00:00:00"/>
    <x v="2"/>
    <x v="0"/>
    <x v="0"/>
    <x v="0"/>
    <x v="3"/>
    <x v="3"/>
    <x v="8"/>
    <x v="2"/>
  </r>
  <r>
    <s v="TX501437"/>
    <x v="7"/>
    <x v="11"/>
    <n v="66.099999999999994"/>
    <n v="594.9"/>
    <x v="53"/>
    <d v="2025-03-09T00:00:00"/>
    <x v="2"/>
    <x v="1"/>
    <x v="0"/>
    <x v="0"/>
    <x v="3"/>
    <x v="12"/>
    <x v="8"/>
    <x v="2"/>
  </r>
  <r>
    <s v="TX501438"/>
    <x v="12"/>
    <x v="9"/>
    <n v="36.700000000000003"/>
    <n v="183.5"/>
    <x v="53"/>
    <d v="2025-02-27T00:00:00"/>
    <x v="2"/>
    <x v="4"/>
    <x v="0"/>
    <x v="0"/>
    <x v="3"/>
    <x v="5"/>
    <x v="8"/>
    <x v="2"/>
  </r>
  <r>
    <s v="TX501439"/>
    <x v="8"/>
    <x v="14"/>
    <n v="19.3"/>
    <n v="328.1"/>
    <x v="53"/>
    <d v="2025-02-25T00:00:00"/>
    <x v="1"/>
    <x v="0"/>
    <x v="0"/>
    <x v="0"/>
    <x v="43"/>
    <x v="1"/>
    <x v="8"/>
    <x v="1"/>
  </r>
  <r>
    <s v="TX501440"/>
    <x v="8"/>
    <x v="12"/>
    <n v="20.7"/>
    <n v="82.8"/>
    <x v="53"/>
    <d v="2025-02-24T00:00:00"/>
    <x v="1"/>
    <x v="1"/>
    <x v="2"/>
    <x v="0"/>
    <x v="6"/>
    <x v="3"/>
    <x v="8"/>
    <x v="1"/>
  </r>
  <r>
    <s v="TX501441"/>
    <x v="5"/>
    <x v="2"/>
    <n v="54.7"/>
    <n v="164.10000000000002"/>
    <x v="53"/>
    <d v="2025-02-23T00:00:00"/>
    <x v="3"/>
    <x v="1"/>
    <x v="4"/>
    <x v="0"/>
    <x v="6"/>
    <x v="7"/>
    <x v="8"/>
    <x v="3"/>
  </r>
  <r>
    <s v="TX501442"/>
    <x v="4"/>
    <x v="1"/>
    <n v="19.8"/>
    <n v="39.6"/>
    <x v="53"/>
    <d v="2025-02-27T00:00:00"/>
    <x v="2"/>
    <x v="4"/>
    <x v="1"/>
    <x v="0"/>
    <x v="8"/>
    <x v="5"/>
    <x v="8"/>
    <x v="2"/>
  </r>
  <r>
    <s v="TX501443"/>
    <x v="7"/>
    <x v="0"/>
    <n v="41.1"/>
    <n v="41.1"/>
    <x v="53"/>
    <d v="2025-02-25T00:00:00"/>
    <x v="2"/>
    <x v="0"/>
    <x v="2"/>
    <x v="0"/>
    <x v="8"/>
    <x v="1"/>
    <x v="8"/>
    <x v="2"/>
  </r>
  <r>
    <s v="TX501444"/>
    <x v="11"/>
    <x v="8"/>
    <n v="43.5"/>
    <n v="348"/>
    <x v="53"/>
    <d v="2025-02-27T00:00:00"/>
    <x v="2"/>
    <x v="3"/>
    <x v="0"/>
    <x v="0"/>
    <x v="8"/>
    <x v="5"/>
    <x v="8"/>
    <x v="2"/>
  </r>
  <r>
    <s v="TX501445"/>
    <x v="8"/>
    <x v="21"/>
    <n v="19"/>
    <n v="266"/>
    <x v="53"/>
    <d v="2025-02-24T00:00:00"/>
    <x v="1"/>
    <x v="0"/>
    <x v="0"/>
    <x v="0"/>
    <x v="26"/>
    <x v="3"/>
    <x v="8"/>
    <x v="1"/>
  </r>
  <r>
    <s v="TX501446"/>
    <x v="2"/>
    <x v="12"/>
    <n v="51.4"/>
    <n v="205.6"/>
    <x v="53"/>
    <d v="2025-02-23T00:00:00"/>
    <x v="2"/>
    <x v="0"/>
    <x v="0"/>
    <x v="0"/>
    <x v="26"/>
    <x v="7"/>
    <x v="8"/>
    <x v="2"/>
  </r>
  <r>
    <s v="TX501447"/>
    <x v="10"/>
    <x v="1"/>
    <n v="39.799999999999997"/>
    <n v="79.599999999999994"/>
    <x v="53"/>
    <d v="2025-02-26T00:00:00"/>
    <x v="1"/>
    <x v="3"/>
    <x v="1"/>
    <x v="0"/>
    <x v="13"/>
    <x v="2"/>
    <x v="8"/>
    <x v="1"/>
  </r>
  <r>
    <s v="TX501448"/>
    <x v="6"/>
    <x v="9"/>
    <n v="61"/>
    <n v="305"/>
    <x v="53"/>
    <d v="2025-02-24T00:00:00"/>
    <x v="0"/>
    <x v="0"/>
    <x v="2"/>
    <x v="0"/>
    <x v="21"/>
    <x v="3"/>
    <x v="8"/>
    <x v="0"/>
  </r>
  <r>
    <s v="TX501449"/>
    <x v="8"/>
    <x v="5"/>
    <n v="15.1"/>
    <n v="166.1"/>
    <x v="54"/>
    <d v="2025-03-01T00:00:00"/>
    <x v="1"/>
    <x v="3"/>
    <x v="2"/>
    <x v="0"/>
    <x v="2"/>
    <x v="0"/>
    <x v="8"/>
    <x v="1"/>
  </r>
  <r>
    <s v="TX501450"/>
    <x v="1"/>
    <x v="3"/>
    <n v="71.3"/>
    <n v="499.09999999999997"/>
    <x v="54"/>
    <d v="2025-02-25T00:00:00"/>
    <x v="1"/>
    <x v="4"/>
    <x v="0"/>
    <x v="0"/>
    <x v="3"/>
    <x v="3"/>
    <x v="8"/>
    <x v="1"/>
  </r>
  <r>
    <s v="TX501451"/>
    <x v="10"/>
    <x v="0"/>
    <n v="25.8"/>
    <n v="25.8"/>
    <x v="54"/>
    <d v="2025-02-26T00:00:00"/>
    <x v="2"/>
    <x v="0"/>
    <x v="2"/>
    <x v="0"/>
    <x v="3"/>
    <x v="1"/>
    <x v="8"/>
    <x v="2"/>
  </r>
  <r>
    <s v="TX501452"/>
    <x v="8"/>
    <x v="9"/>
    <n v="39.6"/>
    <n v="198"/>
    <x v="54"/>
    <d v="2025-02-26T00:00:00"/>
    <x v="1"/>
    <x v="1"/>
    <x v="2"/>
    <x v="0"/>
    <x v="3"/>
    <x v="1"/>
    <x v="8"/>
    <x v="1"/>
  </r>
  <r>
    <s v="TX501453"/>
    <x v="5"/>
    <x v="1"/>
    <n v="64"/>
    <n v="128"/>
    <x v="54"/>
    <d v="2025-02-24T00:00:00"/>
    <x v="1"/>
    <x v="1"/>
    <x v="1"/>
    <x v="0"/>
    <x v="3"/>
    <x v="7"/>
    <x v="8"/>
    <x v="1"/>
  </r>
  <r>
    <s v="TX501454"/>
    <x v="8"/>
    <x v="1"/>
    <n v="30.6"/>
    <n v="61.2"/>
    <x v="54"/>
    <d v="2025-02-27T00:00:00"/>
    <x v="1"/>
    <x v="0"/>
    <x v="2"/>
    <x v="0"/>
    <x v="3"/>
    <x v="2"/>
    <x v="8"/>
    <x v="1"/>
  </r>
  <r>
    <s v="TX501455"/>
    <x v="8"/>
    <x v="1"/>
    <n v="21.3"/>
    <n v="42.6"/>
    <x v="54"/>
    <d v="2025-02-25T00:00:00"/>
    <x v="1"/>
    <x v="0"/>
    <x v="1"/>
    <x v="0"/>
    <x v="3"/>
    <x v="3"/>
    <x v="8"/>
    <x v="1"/>
  </r>
  <r>
    <s v="TX501456"/>
    <x v="7"/>
    <x v="0"/>
    <n v="40.799999999999997"/>
    <n v="40.799999999999997"/>
    <x v="54"/>
    <d v="2025-02-26T00:00:00"/>
    <x v="2"/>
    <x v="4"/>
    <x v="0"/>
    <x v="0"/>
    <x v="3"/>
    <x v="1"/>
    <x v="8"/>
    <x v="2"/>
  </r>
  <r>
    <s v="TX501457"/>
    <x v="9"/>
    <x v="12"/>
    <n v="27.7"/>
    <n v="110.8"/>
    <x v="54"/>
    <d v="2025-02-25T00:00:00"/>
    <x v="2"/>
    <x v="0"/>
    <x v="1"/>
    <x v="0"/>
    <x v="3"/>
    <x v="3"/>
    <x v="8"/>
    <x v="2"/>
  </r>
  <r>
    <s v="TX501458"/>
    <x v="6"/>
    <x v="1"/>
    <n v="64.599999999999994"/>
    <n v="129.19999999999999"/>
    <x v="54"/>
    <d v="2025-02-25T00:00:00"/>
    <x v="1"/>
    <x v="0"/>
    <x v="1"/>
    <x v="0"/>
    <x v="3"/>
    <x v="3"/>
    <x v="8"/>
    <x v="1"/>
  </r>
  <r>
    <s v="TX501459"/>
    <x v="6"/>
    <x v="27"/>
    <n v="91.1"/>
    <n v="1457.6"/>
    <x v="54"/>
    <d v="2025-02-25T00:00:00"/>
    <x v="2"/>
    <x v="1"/>
    <x v="2"/>
    <x v="0"/>
    <x v="3"/>
    <x v="3"/>
    <x v="8"/>
    <x v="2"/>
  </r>
  <r>
    <s v="TX501460"/>
    <x v="1"/>
    <x v="0"/>
    <n v="39.5"/>
    <n v="39.5"/>
    <x v="54"/>
    <d v="2025-03-04T00:00:00"/>
    <x v="2"/>
    <x v="0"/>
    <x v="0"/>
    <x v="0"/>
    <x v="3"/>
    <x v="9"/>
    <x v="8"/>
    <x v="2"/>
  </r>
  <r>
    <s v="TX501461"/>
    <x v="9"/>
    <x v="1"/>
    <n v="21.8"/>
    <n v="43.6"/>
    <x v="54"/>
    <d v="2025-02-28T00:00:00"/>
    <x v="1"/>
    <x v="4"/>
    <x v="2"/>
    <x v="0"/>
    <x v="3"/>
    <x v="5"/>
    <x v="8"/>
    <x v="1"/>
  </r>
  <r>
    <s v="TX501462"/>
    <x v="8"/>
    <x v="1"/>
    <n v="51"/>
    <n v="102"/>
    <x v="54"/>
    <d v="2025-02-27T00:00:00"/>
    <x v="1"/>
    <x v="3"/>
    <x v="2"/>
    <x v="0"/>
    <x v="3"/>
    <x v="2"/>
    <x v="8"/>
    <x v="1"/>
  </r>
  <r>
    <s v="TX501463"/>
    <x v="2"/>
    <x v="0"/>
    <n v="92.6"/>
    <n v="92.6"/>
    <x v="54"/>
    <d v="2025-02-27T00:00:00"/>
    <x v="2"/>
    <x v="0"/>
    <x v="2"/>
    <x v="0"/>
    <x v="35"/>
    <x v="2"/>
    <x v="8"/>
    <x v="2"/>
  </r>
  <r>
    <s v="TX501464"/>
    <x v="9"/>
    <x v="1"/>
    <n v="31.1"/>
    <n v="62.2"/>
    <x v="54"/>
    <d v="2025-03-01T00:00:00"/>
    <x v="0"/>
    <x v="1"/>
    <x v="3"/>
    <x v="0"/>
    <x v="23"/>
    <x v="0"/>
    <x v="8"/>
    <x v="0"/>
  </r>
  <r>
    <s v="TX501465"/>
    <x v="5"/>
    <x v="2"/>
    <n v="56.4"/>
    <n v="169.2"/>
    <x v="54"/>
    <d v="2025-02-25T00:00:00"/>
    <x v="0"/>
    <x v="1"/>
    <x v="0"/>
    <x v="0"/>
    <x v="6"/>
    <x v="3"/>
    <x v="8"/>
    <x v="0"/>
  </r>
  <r>
    <s v="TX501466"/>
    <x v="9"/>
    <x v="0"/>
    <n v="41.9"/>
    <n v="41.9"/>
    <x v="54"/>
    <d v="2025-02-24T00:00:00"/>
    <x v="1"/>
    <x v="1"/>
    <x v="0"/>
    <x v="0"/>
    <x v="6"/>
    <x v="7"/>
    <x v="8"/>
    <x v="1"/>
  </r>
  <r>
    <s v="TX501467"/>
    <x v="10"/>
    <x v="3"/>
    <n v="45.9"/>
    <n v="321.3"/>
    <x v="54"/>
    <d v="2025-02-25T00:00:00"/>
    <x v="1"/>
    <x v="3"/>
    <x v="2"/>
    <x v="0"/>
    <x v="8"/>
    <x v="3"/>
    <x v="8"/>
    <x v="1"/>
  </r>
  <r>
    <s v="TX501468"/>
    <x v="14"/>
    <x v="11"/>
    <n v="24.4"/>
    <n v="219.6"/>
    <x v="54"/>
    <d v="2025-02-28T00:00:00"/>
    <x v="1"/>
    <x v="3"/>
    <x v="2"/>
    <x v="0"/>
    <x v="8"/>
    <x v="5"/>
    <x v="8"/>
    <x v="1"/>
  </r>
  <r>
    <s v="TX501469"/>
    <x v="8"/>
    <x v="0"/>
    <n v="18.2"/>
    <n v="18.2"/>
    <x v="54"/>
    <d v="2025-02-25T00:00:00"/>
    <x v="2"/>
    <x v="2"/>
    <x v="2"/>
    <x v="0"/>
    <x v="8"/>
    <x v="3"/>
    <x v="8"/>
    <x v="2"/>
  </r>
  <r>
    <s v="TX501470"/>
    <x v="8"/>
    <x v="12"/>
    <n v="51.2"/>
    <n v="204.8"/>
    <x v="54"/>
    <d v="2025-02-25T00:00:00"/>
    <x v="2"/>
    <x v="0"/>
    <x v="0"/>
    <x v="0"/>
    <x v="8"/>
    <x v="3"/>
    <x v="8"/>
    <x v="2"/>
  </r>
  <r>
    <s v="TX501471"/>
    <x v="6"/>
    <x v="0"/>
    <n v="59.7"/>
    <n v="59.7"/>
    <x v="54"/>
    <d v="2025-02-27T00:00:00"/>
    <x v="1"/>
    <x v="0"/>
    <x v="2"/>
    <x v="0"/>
    <x v="8"/>
    <x v="2"/>
    <x v="8"/>
    <x v="1"/>
  </r>
  <r>
    <s v="TX501472"/>
    <x v="4"/>
    <x v="1"/>
    <n v="33.6"/>
    <n v="67.2"/>
    <x v="54"/>
    <d v="2025-02-26T00:00:00"/>
    <x v="2"/>
    <x v="0"/>
    <x v="0"/>
    <x v="0"/>
    <x v="17"/>
    <x v="1"/>
    <x v="8"/>
    <x v="2"/>
  </r>
  <r>
    <s v="TX501473"/>
    <x v="12"/>
    <x v="0"/>
    <n v="90.4"/>
    <n v="90.4"/>
    <x v="54"/>
    <d v="2025-02-28T00:00:00"/>
    <x v="1"/>
    <x v="1"/>
    <x v="2"/>
    <x v="0"/>
    <x v="10"/>
    <x v="5"/>
    <x v="8"/>
    <x v="1"/>
  </r>
  <r>
    <s v="TX501474"/>
    <x v="11"/>
    <x v="2"/>
    <n v="70.3"/>
    <n v="210.89999999999998"/>
    <x v="54"/>
    <d v="2025-02-24T00:00:00"/>
    <x v="1"/>
    <x v="1"/>
    <x v="2"/>
    <x v="0"/>
    <x v="11"/>
    <x v="7"/>
    <x v="8"/>
    <x v="1"/>
  </r>
  <r>
    <s v="TX501475"/>
    <x v="4"/>
    <x v="1"/>
    <n v="20.5"/>
    <n v="41"/>
    <x v="54"/>
    <d v="2025-02-27T00:00:00"/>
    <x v="2"/>
    <x v="0"/>
    <x v="1"/>
    <x v="0"/>
    <x v="11"/>
    <x v="2"/>
    <x v="8"/>
    <x v="2"/>
  </r>
  <r>
    <s v="TX501476"/>
    <x v="5"/>
    <x v="5"/>
    <n v="37.6"/>
    <n v="413.6"/>
    <x v="54"/>
    <d v="2025-02-25T00:00:00"/>
    <x v="1"/>
    <x v="0"/>
    <x v="0"/>
    <x v="0"/>
    <x v="38"/>
    <x v="3"/>
    <x v="8"/>
    <x v="1"/>
  </r>
  <r>
    <s v="TX501477"/>
    <x v="5"/>
    <x v="12"/>
    <n v="61.5"/>
    <n v="246"/>
    <x v="54"/>
    <d v="2025-03-03T00:00:00"/>
    <x v="2"/>
    <x v="1"/>
    <x v="4"/>
    <x v="0"/>
    <x v="13"/>
    <x v="6"/>
    <x v="8"/>
    <x v="2"/>
  </r>
  <r>
    <s v="TX501478"/>
    <x v="9"/>
    <x v="0"/>
    <n v="33.5"/>
    <n v="33.5"/>
    <x v="55"/>
    <d v="2025-03-01T00:00:00"/>
    <x v="1"/>
    <x v="4"/>
    <x v="1"/>
    <x v="0"/>
    <x v="21"/>
    <x v="5"/>
    <x v="8"/>
    <x v="1"/>
  </r>
  <r>
    <s v="TX501479"/>
    <x v="4"/>
    <x v="2"/>
    <n v="29.3"/>
    <n v="87.9"/>
    <x v="55"/>
    <d v="2025-02-27T00:00:00"/>
    <x v="2"/>
    <x v="1"/>
    <x v="2"/>
    <x v="0"/>
    <x v="1"/>
    <x v="1"/>
    <x v="8"/>
    <x v="2"/>
  </r>
  <r>
    <s v="TX501480"/>
    <x v="2"/>
    <x v="1"/>
    <n v="125.9"/>
    <n v="251.8"/>
    <x v="55"/>
    <d v="2025-03-02T00:00:00"/>
    <x v="2"/>
    <x v="4"/>
    <x v="1"/>
    <x v="0"/>
    <x v="1"/>
    <x v="0"/>
    <x v="8"/>
    <x v="2"/>
  </r>
  <r>
    <s v="TX501481"/>
    <x v="5"/>
    <x v="9"/>
    <n v="29.3"/>
    <n v="146.5"/>
    <x v="55"/>
    <d v="2025-02-25T00:00:00"/>
    <x v="1"/>
    <x v="2"/>
    <x v="0"/>
    <x v="0"/>
    <x v="44"/>
    <x v="7"/>
    <x v="8"/>
    <x v="1"/>
  </r>
  <r>
    <s v="TX501482"/>
    <x v="9"/>
    <x v="0"/>
    <n v="37.799999999999997"/>
    <n v="37.799999999999997"/>
    <x v="55"/>
    <d v="2025-02-28T00:00:00"/>
    <x v="2"/>
    <x v="0"/>
    <x v="2"/>
    <x v="0"/>
    <x v="3"/>
    <x v="2"/>
    <x v="8"/>
    <x v="2"/>
  </r>
  <r>
    <s v="TX501483"/>
    <x v="0"/>
    <x v="12"/>
    <n v="31.7"/>
    <n v="126.8"/>
    <x v="55"/>
    <d v="2025-02-26T00:00:00"/>
    <x v="1"/>
    <x v="2"/>
    <x v="2"/>
    <x v="0"/>
    <x v="3"/>
    <x v="3"/>
    <x v="8"/>
    <x v="1"/>
  </r>
  <r>
    <s v="TX501484"/>
    <x v="8"/>
    <x v="9"/>
    <n v="26.3"/>
    <n v="131.5"/>
    <x v="55"/>
    <d v="2025-02-26T00:00:00"/>
    <x v="2"/>
    <x v="3"/>
    <x v="2"/>
    <x v="0"/>
    <x v="3"/>
    <x v="3"/>
    <x v="8"/>
    <x v="2"/>
  </r>
  <r>
    <s v="TX501485"/>
    <x v="8"/>
    <x v="2"/>
    <n v="23.1"/>
    <n v="69.300000000000011"/>
    <x v="55"/>
    <d v="2025-02-26T00:00:00"/>
    <x v="3"/>
    <x v="2"/>
    <x v="1"/>
    <x v="0"/>
    <x v="3"/>
    <x v="3"/>
    <x v="8"/>
    <x v="3"/>
  </r>
  <r>
    <s v="TX501486"/>
    <x v="4"/>
    <x v="0"/>
    <n v="22.3"/>
    <n v="22.3"/>
    <x v="55"/>
    <d v="2025-02-27T00:00:00"/>
    <x v="2"/>
    <x v="2"/>
    <x v="0"/>
    <x v="0"/>
    <x v="3"/>
    <x v="1"/>
    <x v="8"/>
    <x v="2"/>
  </r>
  <r>
    <s v="TX501487"/>
    <x v="12"/>
    <x v="1"/>
    <n v="99.5"/>
    <n v="199"/>
    <x v="55"/>
    <d v="2025-02-27T00:00:00"/>
    <x v="2"/>
    <x v="2"/>
    <x v="0"/>
    <x v="0"/>
    <x v="3"/>
    <x v="1"/>
    <x v="8"/>
    <x v="2"/>
  </r>
  <r>
    <s v="TX501488"/>
    <x v="12"/>
    <x v="12"/>
    <n v="47.4"/>
    <n v="189.6"/>
    <x v="55"/>
    <d v="2025-02-28T00:00:00"/>
    <x v="2"/>
    <x v="1"/>
    <x v="0"/>
    <x v="0"/>
    <x v="3"/>
    <x v="2"/>
    <x v="8"/>
    <x v="2"/>
  </r>
  <r>
    <s v="TX501489"/>
    <x v="0"/>
    <x v="5"/>
    <n v="37.5"/>
    <n v="412.5"/>
    <x v="55"/>
    <d v="2025-02-27T00:00:00"/>
    <x v="2"/>
    <x v="0"/>
    <x v="3"/>
    <x v="0"/>
    <x v="3"/>
    <x v="1"/>
    <x v="8"/>
    <x v="2"/>
  </r>
  <r>
    <s v="TX501490"/>
    <x v="10"/>
    <x v="0"/>
    <n v="45.1"/>
    <n v="45.1"/>
    <x v="55"/>
    <d v="2025-03-02T00:00:00"/>
    <x v="1"/>
    <x v="3"/>
    <x v="2"/>
    <x v="0"/>
    <x v="24"/>
    <x v="0"/>
    <x v="8"/>
    <x v="1"/>
  </r>
  <r>
    <s v="TX501491"/>
    <x v="5"/>
    <x v="7"/>
    <n v="34.4"/>
    <n v="344"/>
    <x v="55"/>
    <d v="2025-02-28T00:00:00"/>
    <x v="1"/>
    <x v="2"/>
    <x v="0"/>
    <x v="0"/>
    <x v="16"/>
    <x v="2"/>
    <x v="8"/>
    <x v="1"/>
  </r>
  <r>
    <s v="TX501492"/>
    <x v="4"/>
    <x v="1"/>
    <n v="38"/>
    <n v="76"/>
    <x v="55"/>
    <d v="2025-02-27T00:00:00"/>
    <x v="2"/>
    <x v="1"/>
    <x v="0"/>
    <x v="0"/>
    <x v="5"/>
    <x v="1"/>
    <x v="8"/>
    <x v="2"/>
  </r>
  <r>
    <s v="TX501493"/>
    <x v="3"/>
    <x v="21"/>
    <n v="32.4"/>
    <n v="453.59999999999997"/>
    <x v="55"/>
    <d v="2025-02-28T00:00:00"/>
    <x v="1"/>
    <x v="4"/>
    <x v="0"/>
    <x v="0"/>
    <x v="6"/>
    <x v="2"/>
    <x v="8"/>
    <x v="1"/>
  </r>
  <r>
    <s v="TX501494"/>
    <x v="6"/>
    <x v="2"/>
    <n v="40.9"/>
    <n v="122.69999999999999"/>
    <x v="55"/>
    <d v="2025-02-25T00:00:00"/>
    <x v="0"/>
    <x v="1"/>
    <x v="0"/>
    <x v="0"/>
    <x v="8"/>
    <x v="7"/>
    <x v="8"/>
    <x v="0"/>
  </r>
  <r>
    <s v="TX501495"/>
    <x v="7"/>
    <x v="3"/>
    <n v="76.2"/>
    <n v="533.4"/>
    <x v="55"/>
    <d v="2025-02-27T00:00:00"/>
    <x v="2"/>
    <x v="2"/>
    <x v="1"/>
    <x v="0"/>
    <x v="8"/>
    <x v="1"/>
    <x v="8"/>
    <x v="2"/>
  </r>
  <r>
    <s v="TX501496"/>
    <x v="2"/>
    <x v="0"/>
    <n v="85.6"/>
    <n v="85.6"/>
    <x v="55"/>
    <d v="2025-02-27T00:00:00"/>
    <x v="1"/>
    <x v="2"/>
    <x v="0"/>
    <x v="0"/>
    <x v="8"/>
    <x v="1"/>
    <x v="8"/>
    <x v="1"/>
  </r>
  <r>
    <s v="TX501497"/>
    <x v="4"/>
    <x v="12"/>
    <n v="25"/>
    <n v="100"/>
    <x v="55"/>
    <d v="2025-02-27T00:00:00"/>
    <x v="2"/>
    <x v="2"/>
    <x v="2"/>
    <x v="0"/>
    <x v="8"/>
    <x v="1"/>
    <x v="8"/>
    <x v="2"/>
  </r>
  <r>
    <s v="TX501498"/>
    <x v="2"/>
    <x v="9"/>
    <n v="150.69999999999999"/>
    <n v="753.5"/>
    <x v="55"/>
    <d v="2025-02-26T00:00:00"/>
    <x v="0"/>
    <x v="0"/>
    <x v="2"/>
    <x v="0"/>
    <x v="8"/>
    <x v="3"/>
    <x v="8"/>
    <x v="0"/>
  </r>
  <r>
    <s v="TX501499"/>
    <x v="8"/>
    <x v="0"/>
    <n v="19.600000000000001"/>
    <n v="19.600000000000001"/>
    <x v="55"/>
    <d v="2025-02-26T00:00:00"/>
    <x v="1"/>
    <x v="1"/>
    <x v="4"/>
    <x v="0"/>
    <x v="8"/>
    <x v="3"/>
    <x v="8"/>
    <x v="1"/>
  </r>
  <r>
    <s v="TX501500"/>
    <x v="13"/>
    <x v="1"/>
    <n v="37.5"/>
    <n v="75"/>
    <x v="55"/>
    <d v="2025-02-28T00:00:00"/>
    <x v="2"/>
    <x v="1"/>
    <x v="2"/>
    <x v="0"/>
    <x v="17"/>
    <x v="2"/>
    <x v="8"/>
    <x v="2"/>
  </r>
  <r>
    <s v="TX501501"/>
    <x v="9"/>
    <x v="2"/>
    <n v="51.9"/>
    <n v="155.69999999999999"/>
    <x v="55"/>
    <d v="2025-03-03T00:00:00"/>
    <x v="2"/>
    <x v="0"/>
    <x v="4"/>
    <x v="0"/>
    <x v="11"/>
    <x v="4"/>
    <x v="8"/>
    <x v="2"/>
  </r>
  <r>
    <s v="TX501502"/>
    <x v="1"/>
    <x v="1"/>
    <n v="30.9"/>
    <n v="61.8"/>
    <x v="55"/>
    <d v="2025-02-27T00:00:00"/>
    <x v="2"/>
    <x v="1"/>
    <x v="0"/>
    <x v="0"/>
    <x v="18"/>
    <x v="1"/>
    <x v="8"/>
    <x v="2"/>
  </r>
  <r>
    <s v="TX501503"/>
    <x v="4"/>
    <x v="2"/>
    <n v="21.2"/>
    <n v="63.599999999999994"/>
    <x v="55"/>
    <d v="2025-02-28T00:00:00"/>
    <x v="2"/>
    <x v="1"/>
    <x v="0"/>
    <x v="0"/>
    <x v="19"/>
    <x v="2"/>
    <x v="8"/>
    <x v="2"/>
  </r>
  <r>
    <s v="TX501504"/>
    <x v="13"/>
    <x v="14"/>
    <n v="17.5"/>
    <n v="297.5"/>
    <x v="55"/>
    <d v="2025-02-26T00:00:00"/>
    <x v="1"/>
    <x v="1"/>
    <x v="1"/>
    <x v="0"/>
    <x v="13"/>
    <x v="3"/>
    <x v="8"/>
    <x v="1"/>
  </r>
  <r>
    <s v="TX501505"/>
    <x v="12"/>
    <x v="1"/>
    <n v="53.8"/>
    <n v="107.6"/>
    <x v="55"/>
    <d v="2025-03-02T00:00:00"/>
    <x v="2"/>
    <x v="0"/>
    <x v="2"/>
    <x v="0"/>
    <x v="21"/>
    <x v="0"/>
    <x v="8"/>
    <x v="2"/>
  </r>
  <r>
    <s v="TX501506"/>
    <x v="19"/>
    <x v="1"/>
    <n v="17"/>
    <n v="34"/>
    <x v="55"/>
    <d v="2025-02-26T00:00:00"/>
    <x v="1"/>
    <x v="3"/>
    <x v="0"/>
    <x v="0"/>
    <x v="21"/>
    <x v="3"/>
    <x v="8"/>
    <x v="1"/>
  </r>
  <r>
    <s v="TX501507"/>
    <x v="6"/>
    <x v="0"/>
    <n v="103.2"/>
    <n v="103.2"/>
    <x v="55"/>
    <d v="2025-03-05T00:00:00"/>
    <x v="1"/>
    <x v="2"/>
    <x v="1"/>
    <x v="0"/>
    <x v="1"/>
    <x v="9"/>
    <x v="8"/>
    <x v="1"/>
  </r>
  <r>
    <s v="TX501508"/>
    <x v="6"/>
    <x v="12"/>
    <n v="70.3"/>
    <n v="281.2"/>
    <x v="55"/>
    <d v="2025-02-26T00:00:00"/>
    <x v="1"/>
    <x v="0"/>
    <x v="0"/>
    <x v="0"/>
    <x v="3"/>
    <x v="3"/>
    <x v="8"/>
    <x v="1"/>
  </r>
  <r>
    <s v="TX501509"/>
    <x v="2"/>
    <x v="1"/>
    <n v="73.8"/>
    <n v="147.6"/>
    <x v="55"/>
    <d v="2025-02-25T00:00:00"/>
    <x v="1"/>
    <x v="3"/>
    <x v="2"/>
    <x v="0"/>
    <x v="3"/>
    <x v="7"/>
    <x v="8"/>
    <x v="1"/>
  </r>
  <r>
    <s v="TX501510"/>
    <x v="1"/>
    <x v="4"/>
    <n v="67.7"/>
    <n v="812.40000000000009"/>
    <x v="55"/>
    <d v="2025-03-01T00:00:00"/>
    <x v="1"/>
    <x v="1"/>
    <x v="1"/>
    <x v="0"/>
    <x v="3"/>
    <x v="5"/>
    <x v="8"/>
    <x v="1"/>
  </r>
  <r>
    <s v="TX501511"/>
    <x v="13"/>
    <x v="3"/>
    <n v="43.8"/>
    <n v="306.59999999999997"/>
    <x v="55"/>
    <d v="2025-02-27T00:00:00"/>
    <x v="1"/>
    <x v="1"/>
    <x v="0"/>
    <x v="0"/>
    <x v="3"/>
    <x v="1"/>
    <x v="8"/>
    <x v="1"/>
  </r>
  <r>
    <s v="TX501512"/>
    <x v="17"/>
    <x v="13"/>
    <n v="71.900000000000006"/>
    <n v="431.40000000000003"/>
    <x v="55"/>
    <d v="2025-02-26T00:00:00"/>
    <x v="2"/>
    <x v="2"/>
    <x v="0"/>
    <x v="0"/>
    <x v="3"/>
    <x v="3"/>
    <x v="8"/>
    <x v="2"/>
  </r>
  <r>
    <s v="TX501513"/>
    <x v="8"/>
    <x v="1"/>
    <n v="26.3"/>
    <n v="52.6"/>
    <x v="56"/>
    <d v="2025-02-28T00:00:00"/>
    <x v="2"/>
    <x v="0"/>
    <x v="1"/>
    <x v="0"/>
    <x v="3"/>
    <x v="1"/>
    <x v="8"/>
    <x v="2"/>
  </r>
  <r>
    <s v="TX501514"/>
    <x v="6"/>
    <x v="12"/>
    <n v="52.6"/>
    <n v="210.4"/>
    <x v="56"/>
    <d v="2025-02-28T00:00:00"/>
    <x v="2"/>
    <x v="2"/>
    <x v="1"/>
    <x v="0"/>
    <x v="3"/>
    <x v="1"/>
    <x v="8"/>
    <x v="2"/>
  </r>
  <r>
    <s v="TX501515"/>
    <x v="10"/>
    <x v="0"/>
    <n v="32.700000000000003"/>
    <n v="32.700000000000003"/>
    <x v="56"/>
    <d v="2025-03-05T00:00:00"/>
    <x v="2"/>
    <x v="0"/>
    <x v="2"/>
    <x v="0"/>
    <x v="3"/>
    <x v="6"/>
    <x v="8"/>
    <x v="2"/>
  </r>
  <r>
    <s v="TX501516"/>
    <x v="5"/>
    <x v="12"/>
    <n v="38.9"/>
    <n v="155.6"/>
    <x v="56"/>
    <d v="2025-02-27T00:00:00"/>
    <x v="2"/>
    <x v="0"/>
    <x v="0"/>
    <x v="0"/>
    <x v="3"/>
    <x v="3"/>
    <x v="8"/>
    <x v="2"/>
  </r>
  <r>
    <s v="TX501517"/>
    <x v="9"/>
    <x v="9"/>
    <n v="35"/>
    <n v="175"/>
    <x v="56"/>
    <d v="2025-02-28T00:00:00"/>
    <x v="1"/>
    <x v="0"/>
    <x v="0"/>
    <x v="0"/>
    <x v="3"/>
    <x v="1"/>
    <x v="8"/>
    <x v="1"/>
  </r>
  <r>
    <s v="TX501518"/>
    <x v="2"/>
    <x v="1"/>
    <n v="121"/>
    <n v="242"/>
    <x v="56"/>
    <d v="2025-02-27T00:00:00"/>
    <x v="2"/>
    <x v="1"/>
    <x v="1"/>
    <x v="0"/>
    <x v="3"/>
    <x v="3"/>
    <x v="8"/>
    <x v="2"/>
  </r>
  <r>
    <s v="TX501519"/>
    <x v="6"/>
    <x v="2"/>
    <n v="65.099999999999994"/>
    <n v="195.29999999999998"/>
    <x v="56"/>
    <d v="2025-03-02T00:00:00"/>
    <x v="1"/>
    <x v="2"/>
    <x v="0"/>
    <x v="0"/>
    <x v="36"/>
    <x v="5"/>
    <x v="8"/>
    <x v="1"/>
  </r>
  <r>
    <s v="TX501520"/>
    <x v="1"/>
    <x v="38"/>
    <n v="63.8"/>
    <n v="1339.8"/>
    <x v="56"/>
    <d v="2025-02-28T00:00:00"/>
    <x v="2"/>
    <x v="0"/>
    <x v="0"/>
    <x v="0"/>
    <x v="8"/>
    <x v="1"/>
    <x v="8"/>
    <x v="2"/>
  </r>
  <r>
    <s v="TX501521"/>
    <x v="7"/>
    <x v="0"/>
    <n v="77.7"/>
    <n v="77.7"/>
    <x v="56"/>
    <d v="2025-02-28T00:00:00"/>
    <x v="1"/>
    <x v="0"/>
    <x v="0"/>
    <x v="0"/>
    <x v="8"/>
    <x v="1"/>
    <x v="8"/>
    <x v="1"/>
  </r>
  <r>
    <s v="TX501522"/>
    <x v="5"/>
    <x v="12"/>
    <n v="60.3"/>
    <n v="241.2"/>
    <x v="56"/>
    <d v="2025-02-26T00:00:00"/>
    <x v="1"/>
    <x v="0"/>
    <x v="2"/>
    <x v="0"/>
    <x v="8"/>
    <x v="7"/>
    <x v="8"/>
    <x v="1"/>
  </r>
  <r>
    <s v="TX501523"/>
    <x v="5"/>
    <x v="1"/>
    <n v="124.1"/>
    <n v="248.2"/>
    <x v="56"/>
    <d v="2025-03-01T00:00:00"/>
    <x v="2"/>
    <x v="0"/>
    <x v="2"/>
    <x v="0"/>
    <x v="8"/>
    <x v="2"/>
    <x v="8"/>
    <x v="2"/>
  </r>
  <r>
    <s v="TX501524"/>
    <x v="16"/>
    <x v="3"/>
    <n v="66"/>
    <n v="462"/>
    <x v="56"/>
    <d v="2025-02-26T00:00:00"/>
    <x v="0"/>
    <x v="3"/>
    <x v="0"/>
    <x v="0"/>
    <x v="17"/>
    <x v="7"/>
    <x v="8"/>
    <x v="0"/>
  </r>
  <r>
    <s v="TX501525"/>
    <x v="2"/>
    <x v="42"/>
    <n v="118.2"/>
    <n v="7446.6"/>
    <x v="56"/>
    <d v="2025-03-03T00:00:00"/>
    <x v="0"/>
    <x v="0"/>
    <x v="0"/>
    <x v="0"/>
    <x v="17"/>
    <x v="0"/>
    <x v="8"/>
    <x v="0"/>
  </r>
  <r>
    <s v="TX501526"/>
    <x v="5"/>
    <x v="9"/>
    <n v="64.3"/>
    <n v="321.5"/>
    <x v="56"/>
    <d v="2025-02-27T00:00:00"/>
    <x v="1"/>
    <x v="4"/>
    <x v="4"/>
    <x v="0"/>
    <x v="26"/>
    <x v="3"/>
    <x v="8"/>
    <x v="1"/>
  </r>
  <r>
    <s v="TX501527"/>
    <x v="1"/>
    <x v="1"/>
    <n v="54.8"/>
    <n v="109.6"/>
    <x v="56"/>
    <d v="2025-02-26T00:00:00"/>
    <x v="1"/>
    <x v="0"/>
    <x v="1"/>
    <x v="0"/>
    <x v="26"/>
    <x v="7"/>
    <x v="8"/>
    <x v="1"/>
  </r>
  <r>
    <s v="TX501528"/>
    <x v="7"/>
    <x v="1"/>
    <n v="78.599999999999994"/>
    <n v="157.19999999999999"/>
    <x v="56"/>
    <d v="2025-02-27T00:00:00"/>
    <x v="1"/>
    <x v="0"/>
    <x v="2"/>
    <x v="0"/>
    <x v="9"/>
    <x v="3"/>
    <x v="8"/>
    <x v="1"/>
  </r>
  <r>
    <s v="TX501529"/>
    <x v="2"/>
    <x v="9"/>
    <n v="158.5"/>
    <n v="792.5"/>
    <x v="56"/>
    <d v="2025-02-28T00:00:00"/>
    <x v="0"/>
    <x v="2"/>
    <x v="2"/>
    <x v="0"/>
    <x v="9"/>
    <x v="1"/>
    <x v="8"/>
    <x v="0"/>
  </r>
  <r>
    <s v="TX501530"/>
    <x v="4"/>
    <x v="7"/>
    <n v="23.5"/>
    <n v="235"/>
    <x v="56"/>
    <d v="2025-03-01T00:00:00"/>
    <x v="1"/>
    <x v="0"/>
    <x v="4"/>
    <x v="0"/>
    <x v="10"/>
    <x v="2"/>
    <x v="8"/>
    <x v="1"/>
  </r>
  <r>
    <s v="TX501531"/>
    <x v="5"/>
    <x v="1"/>
    <n v="32.1"/>
    <n v="64.2"/>
    <x v="56"/>
    <d v="2025-02-28T00:00:00"/>
    <x v="0"/>
    <x v="3"/>
    <x v="0"/>
    <x v="0"/>
    <x v="10"/>
    <x v="1"/>
    <x v="8"/>
    <x v="0"/>
  </r>
  <r>
    <s v="TX501532"/>
    <x v="17"/>
    <x v="12"/>
    <n v="71.900000000000006"/>
    <n v="287.60000000000002"/>
    <x v="56"/>
    <d v="2025-02-26T00:00:00"/>
    <x v="1"/>
    <x v="2"/>
    <x v="0"/>
    <x v="0"/>
    <x v="19"/>
    <x v="7"/>
    <x v="8"/>
    <x v="1"/>
  </r>
  <r>
    <s v="TX501533"/>
    <x v="4"/>
    <x v="13"/>
    <n v="22.3"/>
    <n v="133.80000000000001"/>
    <x v="56"/>
    <d v="2025-02-27T00:00:00"/>
    <x v="0"/>
    <x v="3"/>
    <x v="2"/>
    <x v="0"/>
    <x v="13"/>
    <x v="3"/>
    <x v="8"/>
    <x v="0"/>
  </r>
  <r>
    <s v="TX501534"/>
    <x v="11"/>
    <x v="1"/>
    <n v="29.5"/>
    <n v="59"/>
    <x v="56"/>
    <d v="2025-02-27T00:00:00"/>
    <x v="2"/>
    <x v="0"/>
    <x v="2"/>
    <x v="0"/>
    <x v="13"/>
    <x v="3"/>
    <x v="8"/>
    <x v="2"/>
  </r>
  <r>
    <s v="TX501535"/>
    <x v="6"/>
    <x v="12"/>
    <n v="41.9"/>
    <n v="167.6"/>
    <x v="56"/>
    <d v="2025-03-02T00:00:00"/>
    <x v="2"/>
    <x v="0"/>
    <x v="1"/>
    <x v="0"/>
    <x v="21"/>
    <x v="5"/>
    <x v="8"/>
    <x v="2"/>
  </r>
  <r>
    <s v="TX501536"/>
    <x v="6"/>
    <x v="2"/>
    <n v="107.8"/>
    <n v="323.39999999999998"/>
    <x v="56"/>
    <d v="2025-02-27T00:00:00"/>
    <x v="1"/>
    <x v="1"/>
    <x v="2"/>
    <x v="0"/>
    <x v="46"/>
    <x v="3"/>
    <x v="8"/>
    <x v="1"/>
  </r>
  <r>
    <s v="TX501537"/>
    <x v="4"/>
    <x v="9"/>
    <n v="18.100000000000001"/>
    <n v="90.5"/>
    <x v="56"/>
    <d v="2025-03-01T00:00:00"/>
    <x v="1"/>
    <x v="0"/>
    <x v="2"/>
    <x v="0"/>
    <x v="2"/>
    <x v="2"/>
    <x v="8"/>
    <x v="1"/>
  </r>
  <r>
    <s v="TX501538"/>
    <x v="12"/>
    <x v="11"/>
    <n v="79.8"/>
    <n v="718.19999999999993"/>
    <x v="56"/>
    <d v="2025-02-27T00:00:00"/>
    <x v="2"/>
    <x v="1"/>
    <x v="1"/>
    <x v="0"/>
    <x v="22"/>
    <x v="3"/>
    <x v="8"/>
    <x v="2"/>
  </r>
  <r>
    <s v="TX501539"/>
    <x v="0"/>
    <x v="2"/>
    <n v="22.3"/>
    <n v="66.900000000000006"/>
    <x v="56"/>
    <d v="2025-03-01T00:00:00"/>
    <x v="2"/>
    <x v="0"/>
    <x v="2"/>
    <x v="0"/>
    <x v="22"/>
    <x v="2"/>
    <x v="8"/>
    <x v="2"/>
  </r>
  <r>
    <s v="TX501540"/>
    <x v="8"/>
    <x v="0"/>
    <n v="22.9"/>
    <n v="22.9"/>
    <x v="56"/>
    <d v="2025-02-26T00:00:00"/>
    <x v="2"/>
    <x v="1"/>
    <x v="0"/>
    <x v="0"/>
    <x v="22"/>
    <x v="7"/>
    <x v="8"/>
    <x v="2"/>
  </r>
  <r>
    <s v="TX501541"/>
    <x v="0"/>
    <x v="2"/>
    <n v="16.2"/>
    <n v="48.599999999999994"/>
    <x v="57"/>
    <d v="2025-02-27T00:00:00"/>
    <x v="1"/>
    <x v="4"/>
    <x v="2"/>
    <x v="0"/>
    <x v="3"/>
    <x v="7"/>
    <x v="8"/>
    <x v="1"/>
  </r>
  <r>
    <s v="TX501542"/>
    <x v="10"/>
    <x v="12"/>
    <n v="59.5"/>
    <n v="238"/>
    <x v="57"/>
    <d v="2025-02-28T00:00:00"/>
    <x v="1"/>
    <x v="1"/>
    <x v="2"/>
    <x v="0"/>
    <x v="3"/>
    <x v="3"/>
    <x v="8"/>
    <x v="1"/>
  </r>
  <r>
    <s v="TX501543"/>
    <x v="18"/>
    <x v="9"/>
    <n v="26.2"/>
    <n v="131"/>
    <x v="57"/>
    <d v="2025-03-02T00:00:00"/>
    <x v="1"/>
    <x v="3"/>
    <x v="4"/>
    <x v="0"/>
    <x v="3"/>
    <x v="2"/>
    <x v="8"/>
    <x v="1"/>
  </r>
  <r>
    <s v="TX501544"/>
    <x v="3"/>
    <x v="0"/>
    <n v="44.2"/>
    <n v="44.2"/>
    <x v="57"/>
    <d v="2025-03-02T00:00:00"/>
    <x v="2"/>
    <x v="1"/>
    <x v="0"/>
    <x v="0"/>
    <x v="3"/>
    <x v="2"/>
    <x v="8"/>
    <x v="2"/>
  </r>
  <r>
    <s v="TX501545"/>
    <x v="9"/>
    <x v="1"/>
    <n v="59.2"/>
    <n v="118.4"/>
    <x v="57"/>
    <d v="2025-02-27T00:00:00"/>
    <x v="2"/>
    <x v="1"/>
    <x v="4"/>
    <x v="0"/>
    <x v="3"/>
    <x v="7"/>
    <x v="8"/>
    <x v="2"/>
  </r>
  <r>
    <s v="TX501546"/>
    <x v="15"/>
    <x v="12"/>
    <n v="41.5"/>
    <n v="166"/>
    <x v="57"/>
    <d v="2025-03-01T00:00:00"/>
    <x v="2"/>
    <x v="0"/>
    <x v="0"/>
    <x v="0"/>
    <x v="16"/>
    <x v="1"/>
    <x v="8"/>
    <x v="2"/>
  </r>
  <r>
    <s v="TX501547"/>
    <x v="6"/>
    <x v="4"/>
    <n v="67.099999999999994"/>
    <n v="805.19999999999993"/>
    <x v="57"/>
    <d v="2025-03-13T00:00:00"/>
    <x v="2"/>
    <x v="0"/>
    <x v="2"/>
    <x v="0"/>
    <x v="23"/>
    <x v="12"/>
    <x v="8"/>
    <x v="2"/>
  </r>
  <r>
    <s v="TX501548"/>
    <x v="8"/>
    <x v="1"/>
    <n v="28.7"/>
    <n v="57.4"/>
    <x v="57"/>
    <d v="2025-03-03T00:00:00"/>
    <x v="2"/>
    <x v="1"/>
    <x v="0"/>
    <x v="0"/>
    <x v="6"/>
    <x v="5"/>
    <x v="8"/>
    <x v="2"/>
  </r>
  <r>
    <s v="TX501549"/>
    <x v="2"/>
    <x v="12"/>
    <n v="132.1"/>
    <n v="528.4"/>
    <x v="57"/>
    <d v="2025-02-28T00:00:00"/>
    <x v="2"/>
    <x v="0"/>
    <x v="1"/>
    <x v="0"/>
    <x v="6"/>
    <x v="3"/>
    <x v="8"/>
    <x v="2"/>
  </r>
  <r>
    <s v="TX501550"/>
    <x v="18"/>
    <x v="1"/>
    <n v="47"/>
    <n v="94"/>
    <x v="57"/>
    <d v="2025-03-01T00:00:00"/>
    <x v="1"/>
    <x v="4"/>
    <x v="0"/>
    <x v="0"/>
    <x v="8"/>
    <x v="1"/>
    <x v="8"/>
    <x v="1"/>
  </r>
  <r>
    <s v="TX501551"/>
    <x v="8"/>
    <x v="1"/>
    <n v="41.6"/>
    <n v="83.2"/>
    <x v="57"/>
    <d v="2025-03-03T00:00:00"/>
    <x v="1"/>
    <x v="1"/>
    <x v="2"/>
    <x v="0"/>
    <x v="8"/>
    <x v="5"/>
    <x v="8"/>
    <x v="1"/>
  </r>
  <r>
    <s v="TX501552"/>
    <x v="8"/>
    <x v="43"/>
    <n v="17.3"/>
    <n v="657.4"/>
    <x v="57"/>
    <d v="2025-03-01T00:00:00"/>
    <x v="1"/>
    <x v="2"/>
    <x v="2"/>
    <x v="0"/>
    <x v="8"/>
    <x v="1"/>
    <x v="8"/>
    <x v="1"/>
  </r>
  <r>
    <s v="TX501553"/>
    <x v="13"/>
    <x v="2"/>
    <n v="41.8"/>
    <n v="125.39999999999999"/>
    <x v="57"/>
    <d v="2025-03-02T00:00:00"/>
    <x v="1"/>
    <x v="0"/>
    <x v="2"/>
    <x v="0"/>
    <x v="8"/>
    <x v="2"/>
    <x v="8"/>
    <x v="1"/>
  </r>
  <r>
    <s v="TX501554"/>
    <x v="10"/>
    <x v="0"/>
    <n v="24"/>
    <n v="24"/>
    <x v="57"/>
    <d v="2025-02-28T00:00:00"/>
    <x v="2"/>
    <x v="0"/>
    <x v="0"/>
    <x v="0"/>
    <x v="17"/>
    <x v="3"/>
    <x v="8"/>
    <x v="2"/>
  </r>
  <r>
    <s v="TX501555"/>
    <x v="14"/>
    <x v="11"/>
    <n v="18.5"/>
    <n v="166.5"/>
    <x v="57"/>
    <d v="2025-03-01T00:00:00"/>
    <x v="2"/>
    <x v="0"/>
    <x v="0"/>
    <x v="0"/>
    <x v="9"/>
    <x v="1"/>
    <x v="8"/>
    <x v="2"/>
  </r>
  <r>
    <s v="TX501556"/>
    <x v="3"/>
    <x v="4"/>
    <n v="66.7"/>
    <n v="800.40000000000009"/>
    <x v="57"/>
    <d v="2025-03-02T00:00:00"/>
    <x v="0"/>
    <x v="0"/>
    <x v="2"/>
    <x v="0"/>
    <x v="11"/>
    <x v="2"/>
    <x v="8"/>
    <x v="0"/>
  </r>
  <r>
    <s v="TX501557"/>
    <x v="1"/>
    <x v="12"/>
    <n v="33.1"/>
    <n v="132.4"/>
    <x v="57"/>
    <d v="2025-03-04T00:00:00"/>
    <x v="1"/>
    <x v="3"/>
    <x v="0"/>
    <x v="0"/>
    <x v="11"/>
    <x v="0"/>
    <x v="8"/>
    <x v="1"/>
  </r>
  <r>
    <s v="TX501558"/>
    <x v="19"/>
    <x v="11"/>
    <n v="42.1"/>
    <n v="378.90000000000003"/>
    <x v="57"/>
    <d v="2025-03-10T00:00:00"/>
    <x v="1"/>
    <x v="1"/>
    <x v="0"/>
    <x v="0"/>
    <x v="18"/>
    <x v="11"/>
    <x v="8"/>
    <x v="1"/>
  </r>
  <r>
    <s v="TX501559"/>
    <x v="18"/>
    <x v="3"/>
    <n v="58.7"/>
    <n v="410.90000000000003"/>
    <x v="57"/>
    <d v="2025-02-27T00:00:00"/>
    <x v="3"/>
    <x v="3"/>
    <x v="0"/>
    <x v="0"/>
    <x v="31"/>
    <x v="7"/>
    <x v="8"/>
    <x v="3"/>
  </r>
  <r>
    <s v="TX501560"/>
    <x v="6"/>
    <x v="12"/>
    <n v="54"/>
    <n v="216"/>
    <x v="57"/>
    <d v="2025-03-01T00:00:00"/>
    <x v="2"/>
    <x v="1"/>
    <x v="0"/>
    <x v="0"/>
    <x v="1"/>
    <x v="1"/>
    <x v="8"/>
    <x v="2"/>
  </r>
  <r>
    <s v="TX501561"/>
    <x v="8"/>
    <x v="0"/>
    <n v="52.1"/>
    <n v="52.1"/>
    <x v="57"/>
    <d v="2025-02-28T00:00:00"/>
    <x v="2"/>
    <x v="2"/>
    <x v="2"/>
    <x v="0"/>
    <x v="2"/>
    <x v="3"/>
    <x v="8"/>
    <x v="2"/>
  </r>
  <r>
    <s v="TX501562"/>
    <x v="19"/>
    <x v="1"/>
    <n v="27"/>
    <n v="54"/>
    <x v="57"/>
    <d v="2025-03-02T00:00:00"/>
    <x v="3"/>
    <x v="2"/>
    <x v="0"/>
    <x v="0"/>
    <x v="22"/>
    <x v="2"/>
    <x v="8"/>
    <x v="3"/>
  </r>
  <r>
    <s v="TX501563"/>
    <x v="12"/>
    <x v="7"/>
    <n v="31"/>
    <n v="310"/>
    <x v="58"/>
    <d v="2025-03-01T00:00:00"/>
    <x v="2"/>
    <x v="3"/>
    <x v="2"/>
    <x v="0"/>
    <x v="22"/>
    <x v="3"/>
    <x v="8"/>
    <x v="2"/>
  </r>
  <r>
    <s v="TX501564"/>
    <x v="10"/>
    <x v="1"/>
    <n v="46.7"/>
    <n v="93.4"/>
    <x v="58"/>
    <d v="2025-02-28T00:00:00"/>
    <x v="2"/>
    <x v="0"/>
    <x v="0"/>
    <x v="0"/>
    <x v="34"/>
    <x v="7"/>
    <x v="8"/>
    <x v="2"/>
  </r>
  <r>
    <s v="TX501565"/>
    <x v="6"/>
    <x v="0"/>
    <n v="144.69999999999999"/>
    <n v="144.69999999999999"/>
    <x v="58"/>
    <d v="2025-03-03T00:00:00"/>
    <x v="1"/>
    <x v="0"/>
    <x v="2"/>
    <x v="0"/>
    <x v="3"/>
    <x v="2"/>
    <x v="8"/>
    <x v="1"/>
  </r>
  <r>
    <s v="TX501566"/>
    <x v="2"/>
    <x v="11"/>
    <n v="90.9"/>
    <n v="818.1"/>
    <x v="58"/>
    <d v="2025-03-01T00:00:00"/>
    <x v="1"/>
    <x v="0"/>
    <x v="2"/>
    <x v="0"/>
    <x v="3"/>
    <x v="3"/>
    <x v="8"/>
    <x v="1"/>
  </r>
  <r>
    <s v="TX501567"/>
    <x v="1"/>
    <x v="1"/>
    <n v="75.8"/>
    <n v="151.6"/>
    <x v="58"/>
    <d v="2025-03-01T00:00:00"/>
    <x v="2"/>
    <x v="2"/>
    <x v="1"/>
    <x v="0"/>
    <x v="3"/>
    <x v="3"/>
    <x v="8"/>
    <x v="2"/>
  </r>
  <r>
    <s v="TX501568"/>
    <x v="7"/>
    <x v="9"/>
    <n v="57.9"/>
    <n v="289.5"/>
    <x v="58"/>
    <d v="2025-03-02T00:00:00"/>
    <x v="1"/>
    <x v="2"/>
    <x v="2"/>
    <x v="0"/>
    <x v="3"/>
    <x v="1"/>
    <x v="8"/>
    <x v="1"/>
  </r>
  <r>
    <s v="TX501569"/>
    <x v="8"/>
    <x v="9"/>
    <n v="44.8"/>
    <n v="224"/>
    <x v="58"/>
    <d v="2025-03-01T00:00:00"/>
    <x v="2"/>
    <x v="3"/>
    <x v="2"/>
    <x v="0"/>
    <x v="3"/>
    <x v="3"/>
    <x v="8"/>
    <x v="2"/>
  </r>
  <r>
    <s v="TX501570"/>
    <x v="9"/>
    <x v="2"/>
    <n v="44.2"/>
    <n v="132.60000000000002"/>
    <x v="58"/>
    <d v="2025-03-04T00:00:00"/>
    <x v="1"/>
    <x v="2"/>
    <x v="2"/>
    <x v="0"/>
    <x v="3"/>
    <x v="5"/>
    <x v="8"/>
    <x v="1"/>
  </r>
  <r>
    <s v="TX501571"/>
    <x v="5"/>
    <x v="9"/>
    <n v="53.5"/>
    <n v="267.5"/>
    <x v="58"/>
    <d v="2025-03-02T00:00:00"/>
    <x v="1"/>
    <x v="0"/>
    <x v="0"/>
    <x v="0"/>
    <x v="37"/>
    <x v="1"/>
    <x v="8"/>
    <x v="1"/>
  </r>
  <r>
    <s v="TX501572"/>
    <x v="6"/>
    <x v="1"/>
    <n v="72.2"/>
    <n v="144.4"/>
    <x v="58"/>
    <d v="2025-03-01T00:00:00"/>
    <x v="1"/>
    <x v="0"/>
    <x v="2"/>
    <x v="0"/>
    <x v="25"/>
    <x v="3"/>
    <x v="8"/>
    <x v="1"/>
  </r>
  <r>
    <s v="TX501573"/>
    <x v="6"/>
    <x v="12"/>
    <n v="62.4"/>
    <n v="249.6"/>
    <x v="58"/>
    <d v="2025-03-03T00:00:00"/>
    <x v="2"/>
    <x v="0"/>
    <x v="1"/>
    <x v="0"/>
    <x v="23"/>
    <x v="2"/>
    <x v="8"/>
    <x v="2"/>
  </r>
  <r>
    <s v="TX501574"/>
    <x v="10"/>
    <x v="9"/>
    <n v="24.7"/>
    <n v="123.5"/>
    <x v="58"/>
    <d v="2025-03-01T00:00:00"/>
    <x v="2"/>
    <x v="0"/>
    <x v="0"/>
    <x v="0"/>
    <x v="6"/>
    <x v="3"/>
    <x v="8"/>
    <x v="2"/>
  </r>
  <r>
    <s v="TX501575"/>
    <x v="1"/>
    <x v="9"/>
    <n v="61.7"/>
    <n v="308.5"/>
    <x v="58"/>
    <d v="2025-03-02T00:00:00"/>
    <x v="2"/>
    <x v="2"/>
    <x v="0"/>
    <x v="0"/>
    <x v="8"/>
    <x v="1"/>
    <x v="8"/>
    <x v="2"/>
  </r>
  <r>
    <s v="TX501576"/>
    <x v="8"/>
    <x v="9"/>
    <n v="18.2"/>
    <n v="91"/>
    <x v="58"/>
    <d v="2025-03-02T00:00:00"/>
    <x v="2"/>
    <x v="3"/>
    <x v="0"/>
    <x v="0"/>
    <x v="8"/>
    <x v="1"/>
    <x v="8"/>
    <x v="2"/>
  </r>
  <r>
    <s v="TX501577"/>
    <x v="10"/>
    <x v="12"/>
    <n v="37.200000000000003"/>
    <n v="148.80000000000001"/>
    <x v="58"/>
    <d v="2025-03-06T00:00:00"/>
    <x v="2"/>
    <x v="0"/>
    <x v="0"/>
    <x v="0"/>
    <x v="8"/>
    <x v="4"/>
    <x v="8"/>
    <x v="2"/>
  </r>
  <r>
    <s v="TX501578"/>
    <x v="9"/>
    <x v="2"/>
    <n v="53.5"/>
    <n v="160.5"/>
    <x v="58"/>
    <d v="2025-03-02T00:00:00"/>
    <x v="2"/>
    <x v="1"/>
    <x v="2"/>
    <x v="0"/>
    <x v="9"/>
    <x v="1"/>
    <x v="8"/>
    <x v="2"/>
  </r>
  <r>
    <s v="TX501579"/>
    <x v="8"/>
    <x v="2"/>
    <n v="43.6"/>
    <n v="130.80000000000001"/>
    <x v="58"/>
    <d v="2025-02-28T00:00:00"/>
    <x v="2"/>
    <x v="0"/>
    <x v="0"/>
    <x v="0"/>
    <x v="9"/>
    <x v="7"/>
    <x v="8"/>
    <x v="2"/>
  </r>
  <r>
    <s v="TX501580"/>
    <x v="1"/>
    <x v="7"/>
    <n v="135"/>
    <n v="1350"/>
    <x v="58"/>
    <d v="2025-03-02T00:00:00"/>
    <x v="2"/>
    <x v="0"/>
    <x v="2"/>
    <x v="0"/>
    <x v="9"/>
    <x v="1"/>
    <x v="8"/>
    <x v="2"/>
  </r>
  <r>
    <s v="TX501581"/>
    <x v="8"/>
    <x v="9"/>
    <n v="38.5"/>
    <n v="192.5"/>
    <x v="58"/>
    <d v="2025-02-28T00:00:00"/>
    <x v="1"/>
    <x v="4"/>
    <x v="2"/>
    <x v="0"/>
    <x v="10"/>
    <x v="7"/>
    <x v="8"/>
    <x v="1"/>
  </r>
  <r>
    <s v="TX501582"/>
    <x v="9"/>
    <x v="1"/>
    <n v="24"/>
    <n v="48"/>
    <x v="58"/>
    <d v="2025-03-05T00:00:00"/>
    <x v="2"/>
    <x v="0"/>
    <x v="0"/>
    <x v="0"/>
    <x v="11"/>
    <x v="0"/>
    <x v="8"/>
    <x v="2"/>
  </r>
  <r>
    <s v="TX501583"/>
    <x v="4"/>
    <x v="2"/>
    <n v="28.2"/>
    <n v="84.6"/>
    <x v="58"/>
    <d v="2025-03-02T00:00:00"/>
    <x v="1"/>
    <x v="0"/>
    <x v="3"/>
    <x v="0"/>
    <x v="18"/>
    <x v="1"/>
    <x v="8"/>
    <x v="1"/>
  </r>
  <r>
    <s v="TX501584"/>
    <x v="7"/>
    <x v="2"/>
    <n v="37.4"/>
    <n v="112.19999999999999"/>
    <x v="58"/>
    <d v="2025-03-01T00:00:00"/>
    <x v="2"/>
    <x v="3"/>
    <x v="0"/>
    <x v="0"/>
    <x v="1"/>
    <x v="3"/>
    <x v="8"/>
    <x v="2"/>
  </r>
  <r>
    <s v="TX501585"/>
    <x v="6"/>
    <x v="2"/>
    <n v="53.5"/>
    <n v="160.5"/>
    <x v="58"/>
    <d v="2025-03-03T00:00:00"/>
    <x v="0"/>
    <x v="4"/>
    <x v="4"/>
    <x v="0"/>
    <x v="1"/>
    <x v="2"/>
    <x v="8"/>
    <x v="0"/>
  </r>
  <r>
    <s v="TX501586"/>
    <x v="11"/>
    <x v="9"/>
    <n v="36.200000000000003"/>
    <n v="181"/>
    <x v="58"/>
    <d v="2025-03-01T00:00:00"/>
    <x v="1"/>
    <x v="1"/>
    <x v="2"/>
    <x v="0"/>
    <x v="33"/>
    <x v="3"/>
    <x v="8"/>
    <x v="1"/>
  </r>
  <r>
    <s v="TX501587"/>
    <x v="0"/>
    <x v="8"/>
    <n v="31.9"/>
    <n v="255.2"/>
    <x v="58"/>
    <d v="2025-03-01T00:00:00"/>
    <x v="2"/>
    <x v="4"/>
    <x v="0"/>
    <x v="0"/>
    <x v="3"/>
    <x v="3"/>
    <x v="8"/>
    <x v="2"/>
  </r>
  <r>
    <s v="TX501588"/>
    <x v="8"/>
    <x v="2"/>
    <n v="21.3"/>
    <n v="63.900000000000006"/>
    <x v="58"/>
    <d v="2025-03-01T00:00:00"/>
    <x v="1"/>
    <x v="0"/>
    <x v="2"/>
    <x v="0"/>
    <x v="3"/>
    <x v="3"/>
    <x v="8"/>
    <x v="1"/>
  </r>
  <r>
    <s v="TX501589"/>
    <x v="8"/>
    <x v="0"/>
    <n v="36.299999999999997"/>
    <n v="36.299999999999997"/>
    <x v="58"/>
    <d v="2025-03-02T00:00:00"/>
    <x v="3"/>
    <x v="4"/>
    <x v="0"/>
    <x v="0"/>
    <x v="3"/>
    <x v="1"/>
    <x v="8"/>
    <x v="3"/>
  </r>
  <r>
    <s v="TX501590"/>
    <x v="6"/>
    <x v="2"/>
    <n v="110.5"/>
    <n v="331.5"/>
    <x v="58"/>
    <d v="2025-03-01T00:00:00"/>
    <x v="2"/>
    <x v="0"/>
    <x v="3"/>
    <x v="0"/>
    <x v="3"/>
    <x v="3"/>
    <x v="8"/>
    <x v="2"/>
  </r>
  <r>
    <s v="TX501591"/>
    <x v="10"/>
    <x v="3"/>
    <n v="32.6"/>
    <n v="228.20000000000002"/>
    <x v="58"/>
    <d v="2025-03-02T00:00:00"/>
    <x v="2"/>
    <x v="0"/>
    <x v="1"/>
    <x v="0"/>
    <x v="3"/>
    <x v="1"/>
    <x v="8"/>
    <x v="2"/>
  </r>
  <r>
    <s v="TX501592"/>
    <x v="5"/>
    <x v="2"/>
    <n v="55.6"/>
    <n v="166.8"/>
    <x v="59"/>
    <d v="2025-03-14T00:00:00"/>
    <x v="2"/>
    <x v="0"/>
    <x v="0"/>
    <x v="0"/>
    <x v="3"/>
    <x v="10"/>
    <x v="8"/>
    <x v="2"/>
  </r>
  <r>
    <s v="TX501593"/>
    <x v="1"/>
    <x v="12"/>
    <n v="38"/>
    <n v="152"/>
    <x v="59"/>
    <d v="2025-03-02T00:00:00"/>
    <x v="2"/>
    <x v="3"/>
    <x v="2"/>
    <x v="0"/>
    <x v="5"/>
    <x v="3"/>
    <x v="8"/>
    <x v="2"/>
  </r>
  <r>
    <s v="TX501594"/>
    <x v="10"/>
    <x v="1"/>
    <n v="51.8"/>
    <n v="103.6"/>
    <x v="59"/>
    <d v="2025-03-07T00:00:00"/>
    <x v="1"/>
    <x v="1"/>
    <x v="4"/>
    <x v="0"/>
    <x v="6"/>
    <x v="4"/>
    <x v="8"/>
    <x v="1"/>
  </r>
  <r>
    <s v="TX501595"/>
    <x v="11"/>
    <x v="8"/>
    <n v="28.7"/>
    <n v="229.6"/>
    <x v="59"/>
    <d v="2025-03-06T00:00:00"/>
    <x v="2"/>
    <x v="0"/>
    <x v="0"/>
    <x v="0"/>
    <x v="6"/>
    <x v="0"/>
    <x v="8"/>
    <x v="2"/>
  </r>
  <r>
    <s v="TX501596"/>
    <x v="6"/>
    <x v="4"/>
    <n v="52.2"/>
    <n v="626.40000000000009"/>
    <x v="59"/>
    <d v="2025-03-01T00:00:00"/>
    <x v="1"/>
    <x v="0"/>
    <x v="1"/>
    <x v="0"/>
    <x v="6"/>
    <x v="7"/>
    <x v="8"/>
    <x v="1"/>
  </r>
  <r>
    <s v="TX501597"/>
    <x v="1"/>
    <x v="1"/>
    <n v="68.2"/>
    <n v="136.4"/>
    <x v="59"/>
    <d v="2025-03-02T00:00:00"/>
    <x v="0"/>
    <x v="2"/>
    <x v="0"/>
    <x v="0"/>
    <x v="7"/>
    <x v="3"/>
    <x v="8"/>
    <x v="0"/>
  </r>
  <r>
    <s v="TX501598"/>
    <x v="0"/>
    <x v="2"/>
    <n v="34"/>
    <n v="102"/>
    <x v="59"/>
    <d v="2025-03-05T00:00:00"/>
    <x v="2"/>
    <x v="0"/>
    <x v="0"/>
    <x v="0"/>
    <x v="8"/>
    <x v="5"/>
    <x v="8"/>
    <x v="2"/>
  </r>
  <r>
    <s v="TX501599"/>
    <x v="8"/>
    <x v="2"/>
    <n v="19.100000000000001"/>
    <n v="57.300000000000004"/>
    <x v="59"/>
    <d v="2025-03-02T00:00:00"/>
    <x v="2"/>
    <x v="4"/>
    <x v="0"/>
    <x v="0"/>
    <x v="8"/>
    <x v="3"/>
    <x v="8"/>
    <x v="2"/>
  </r>
  <r>
    <s v="TX501600"/>
    <x v="5"/>
    <x v="8"/>
    <n v="34"/>
    <n v="272"/>
    <x v="59"/>
    <d v="2025-03-09T00:00:00"/>
    <x v="2"/>
    <x v="4"/>
    <x v="0"/>
    <x v="0"/>
    <x v="8"/>
    <x v="9"/>
    <x v="8"/>
    <x v="2"/>
  </r>
  <r>
    <s v="TX501601"/>
    <x v="12"/>
    <x v="1"/>
    <n v="109.1"/>
    <n v="218.2"/>
    <x v="59"/>
    <d v="2025-03-03T00:00:00"/>
    <x v="1"/>
    <x v="0"/>
    <x v="2"/>
    <x v="0"/>
    <x v="8"/>
    <x v="1"/>
    <x v="8"/>
    <x v="1"/>
  </r>
  <r>
    <s v="TX501602"/>
    <x v="18"/>
    <x v="1"/>
    <n v="64.8"/>
    <n v="129.6"/>
    <x v="59"/>
    <d v="2025-03-03T00:00:00"/>
    <x v="1"/>
    <x v="0"/>
    <x v="2"/>
    <x v="0"/>
    <x v="8"/>
    <x v="1"/>
    <x v="8"/>
    <x v="1"/>
  </r>
  <r>
    <s v="TX501603"/>
    <x v="10"/>
    <x v="1"/>
    <n v="21.1"/>
    <n v="42.2"/>
    <x v="59"/>
    <d v="2025-03-01T00:00:00"/>
    <x v="2"/>
    <x v="1"/>
    <x v="0"/>
    <x v="0"/>
    <x v="11"/>
    <x v="7"/>
    <x v="8"/>
    <x v="2"/>
  </r>
  <r>
    <s v="TX501604"/>
    <x v="0"/>
    <x v="8"/>
    <n v="21.3"/>
    <n v="170.4"/>
    <x v="59"/>
    <d v="2025-03-03T00:00:00"/>
    <x v="1"/>
    <x v="3"/>
    <x v="1"/>
    <x v="0"/>
    <x v="18"/>
    <x v="1"/>
    <x v="8"/>
    <x v="1"/>
  </r>
  <r>
    <s v="TX501605"/>
    <x v="9"/>
    <x v="2"/>
    <n v="24.3"/>
    <n v="72.900000000000006"/>
    <x v="59"/>
    <d v="2025-03-02T00:00:00"/>
    <x v="1"/>
    <x v="1"/>
    <x v="0"/>
    <x v="0"/>
    <x v="19"/>
    <x v="3"/>
    <x v="8"/>
    <x v="1"/>
  </r>
  <r>
    <s v="TX501606"/>
    <x v="8"/>
    <x v="0"/>
    <n v="43.3"/>
    <n v="43.3"/>
    <x v="59"/>
    <d v="2025-03-05T00:00:00"/>
    <x v="1"/>
    <x v="1"/>
    <x v="1"/>
    <x v="0"/>
    <x v="13"/>
    <x v="5"/>
    <x v="8"/>
    <x v="1"/>
  </r>
  <r>
    <s v="TX501607"/>
    <x v="9"/>
    <x v="2"/>
    <n v="41"/>
    <n v="123"/>
    <x v="59"/>
    <d v="2025-03-02T00:00:00"/>
    <x v="2"/>
    <x v="3"/>
    <x v="4"/>
    <x v="0"/>
    <x v="21"/>
    <x v="3"/>
    <x v="8"/>
    <x v="2"/>
  </r>
  <r>
    <s v="TX501608"/>
    <x v="16"/>
    <x v="2"/>
    <n v="54.1"/>
    <n v="162.30000000000001"/>
    <x v="59"/>
    <d v="2025-03-03T00:00:00"/>
    <x v="2"/>
    <x v="4"/>
    <x v="0"/>
    <x v="0"/>
    <x v="21"/>
    <x v="1"/>
    <x v="8"/>
    <x v="2"/>
  </r>
  <r>
    <s v="TX501609"/>
    <x v="11"/>
    <x v="1"/>
    <n v="39"/>
    <n v="78"/>
    <x v="59"/>
    <d v="2025-03-02T00:00:00"/>
    <x v="1"/>
    <x v="1"/>
    <x v="2"/>
    <x v="0"/>
    <x v="1"/>
    <x v="3"/>
    <x v="8"/>
    <x v="1"/>
  </r>
  <r>
    <s v="TX501610"/>
    <x v="8"/>
    <x v="1"/>
    <n v="40.299999999999997"/>
    <n v="80.599999999999994"/>
    <x v="59"/>
    <d v="2025-03-03T00:00:00"/>
    <x v="1"/>
    <x v="3"/>
    <x v="0"/>
    <x v="0"/>
    <x v="27"/>
    <x v="1"/>
    <x v="8"/>
    <x v="1"/>
  </r>
  <r>
    <s v="TX501611"/>
    <x v="8"/>
    <x v="2"/>
    <n v="24.1"/>
    <n v="72.300000000000011"/>
    <x v="59"/>
    <d v="2025-03-02T00:00:00"/>
    <x v="1"/>
    <x v="0"/>
    <x v="2"/>
    <x v="0"/>
    <x v="34"/>
    <x v="3"/>
    <x v="8"/>
    <x v="1"/>
  </r>
  <r>
    <s v="TX501612"/>
    <x v="6"/>
    <x v="9"/>
    <n v="52.3"/>
    <n v="261.5"/>
    <x v="59"/>
    <d v="2025-03-02T00:00:00"/>
    <x v="1"/>
    <x v="2"/>
    <x v="0"/>
    <x v="0"/>
    <x v="3"/>
    <x v="3"/>
    <x v="8"/>
    <x v="1"/>
  </r>
  <r>
    <s v="TX501613"/>
    <x v="12"/>
    <x v="12"/>
    <n v="68.8"/>
    <n v="275.2"/>
    <x v="59"/>
    <d v="2025-03-05T00:00:00"/>
    <x v="2"/>
    <x v="4"/>
    <x v="2"/>
    <x v="0"/>
    <x v="3"/>
    <x v="5"/>
    <x v="8"/>
    <x v="2"/>
  </r>
  <r>
    <s v="TX501614"/>
    <x v="2"/>
    <x v="1"/>
    <n v="128.80000000000001"/>
    <n v="257.60000000000002"/>
    <x v="60"/>
    <d v="2025-03-05T00:00:00"/>
    <x v="2"/>
    <x v="1"/>
    <x v="1"/>
    <x v="0"/>
    <x v="3"/>
    <x v="2"/>
    <x v="9"/>
    <x v="2"/>
  </r>
  <r>
    <s v="TX501615"/>
    <x v="15"/>
    <x v="9"/>
    <n v="48.2"/>
    <n v="241"/>
    <x v="60"/>
    <d v="2025-03-04T00:00:00"/>
    <x v="2"/>
    <x v="3"/>
    <x v="0"/>
    <x v="0"/>
    <x v="3"/>
    <x v="1"/>
    <x v="9"/>
    <x v="2"/>
  </r>
  <r>
    <s v="TX501616"/>
    <x v="10"/>
    <x v="0"/>
    <n v="39.700000000000003"/>
    <n v="39.700000000000003"/>
    <x v="60"/>
    <d v="2025-03-04T00:00:00"/>
    <x v="2"/>
    <x v="0"/>
    <x v="1"/>
    <x v="0"/>
    <x v="3"/>
    <x v="1"/>
    <x v="9"/>
    <x v="2"/>
  </r>
  <r>
    <s v="TX501617"/>
    <x v="9"/>
    <x v="0"/>
    <n v="59.7"/>
    <n v="59.7"/>
    <x v="60"/>
    <d v="2025-03-05T00:00:00"/>
    <x v="2"/>
    <x v="4"/>
    <x v="0"/>
    <x v="0"/>
    <x v="3"/>
    <x v="2"/>
    <x v="9"/>
    <x v="2"/>
  </r>
  <r>
    <s v="TX501618"/>
    <x v="6"/>
    <x v="0"/>
    <n v="48.3"/>
    <n v="48.3"/>
    <x v="60"/>
    <d v="2025-03-16T00:00:00"/>
    <x v="3"/>
    <x v="0"/>
    <x v="2"/>
    <x v="0"/>
    <x v="3"/>
    <x v="12"/>
    <x v="9"/>
    <x v="3"/>
  </r>
  <r>
    <s v="TX501619"/>
    <x v="8"/>
    <x v="2"/>
    <n v="45.5"/>
    <n v="136.5"/>
    <x v="60"/>
    <d v="2025-03-04T00:00:00"/>
    <x v="1"/>
    <x v="2"/>
    <x v="1"/>
    <x v="0"/>
    <x v="3"/>
    <x v="1"/>
    <x v="9"/>
    <x v="1"/>
  </r>
  <r>
    <s v="TX501620"/>
    <x v="9"/>
    <x v="6"/>
    <n v="51"/>
    <n v="1377"/>
    <x v="60"/>
    <d v="2025-03-02T00:00:00"/>
    <x v="2"/>
    <x v="2"/>
    <x v="0"/>
    <x v="0"/>
    <x v="3"/>
    <x v="7"/>
    <x v="9"/>
    <x v="2"/>
  </r>
  <r>
    <s v="TX501621"/>
    <x v="4"/>
    <x v="13"/>
    <n v="20.399999999999999"/>
    <n v="122.39999999999999"/>
    <x v="60"/>
    <d v="2025-03-03T00:00:00"/>
    <x v="1"/>
    <x v="2"/>
    <x v="0"/>
    <x v="0"/>
    <x v="3"/>
    <x v="3"/>
    <x v="9"/>
    <x v="1"/>
  </r>
  <r>
    <s v="TX501622"/>
    <x v="10"/>
    <x v="1"/>
    <n v="30.4"/>
    <n v="60.8"/>
    <x v="60"/>
    <d v="2025-03-04T00:00:00"/>
    <x v="1"/>
    <x v="2"/>
    <x v="0"/>
    <x v="0"/>
    <x v="3"/>
    <x v="1"/>
    <x v="9"/>
    <x v="1"/>
  </r>
  <r>
    <s v="TX501623"/>
    <x v="7"/>
    <x v="1"/>
    <n v="71.5"/>
    <n v="143"/>
    <x v="60"/>
    <d v="2025-03-06T00:00:00"/>
    <x v="2"/>
    <x v="0"/>
    <x v="0"/>
    <x v="0"/>
    <x v="3"/>
    <x v="5"/>
    <x v="9"/>
    <x v="2"/>
  </r>
  <r>
    <s v="TX501624"/>
    <x v="8"/>
    <x v="13"/>
    <n v="18"/>
    <n v="108"/>
    <x v="60"/>
    <d v="2025-03-03T00:00:00"/>
    <x v="3"/>
    <x v="1"/>
    <x v="2"/>
    <x v="0"/>
    <x v="6"/>
    <x v="3"/>
    <x v="9"/>
    <x v="3"/>
  </r>
  <r>
    <s v="TX501625"/>
    <x v="15"/>
    <x v="5"/>
    <n v="45.6"/>
    <n v="501.6"/>
    <x v="60"/>
    <d v="2025-03-03T00:00:00"/>
    <x v="3"/>
    <x v="1"/>
    <x v="1"/>
    <x v="0"/>
    <x v="7"/>
    <x v="3"/>
    <x v="9"/>
    <x v="3"/>
  </r>
  <r>
    <s v="TX501626"/>
    <x v="9"/>
    <x v="0"/>
    <n v="31.8"/>
    <n v="31.8"/>
    <x v="60"/>
    <d v="2025-03-06T00:00:00"/>
    <x v="2"/>
    <x v="0"/>
    <x v="2"/>
    <x v="0"/>
    <x v="7"/>
    <x v="5"/>
    <x v="9"/>
    <x v="2"/>
  </r>
  <r>
    <s v="TX501627"/>
    <x v="8"/>
    <x v="9"/>
    <n v="19.899999999999999"/>
    <n v="99.5"/>
    <x v="60"/>
    <d v="2025-03-03T00:00:00"/>
    <x v="2"/>
    <x v="1"/>
    <x v="0"/>
    <x v="0"/>
    <x v="7"/>
    <x v="3"/>
    <x v="9"/>
    <x v="2"/>
  </r>
  <r>
    <s v="TX501628"/>
    <x v="12"/>
    <x v="11"/>
    <n v="52.1"/>
    <n v="468.90000000000003"/>
    <x v="60"/>
    <d v="2025-03-04T00:00:00"/>
    <x v="1"/>
    <x v="0"/>
    <x v="0"/>
    <x v="0"/>
    <x v="8"/>
    <x v="1"/>
    <x v="9"/>
    <x v="1"/>
  </r>
  <r>
    <s v="TX501629"/>
    <x v="1"/>
    <x v="3"/>
    <n v="45.9"/>
    <n v="321.3"/>
    <x v="60"/>
    <d v="2025-03-03T00:00:00"/>
    <x v="1"/>
    <x v="0"/>
    <x v="1"/>
    <x v="0"/>
    <x v="8"/>
    <x v="3"/>
    <x v="9"/>
    <x v="1"/>
  </r>
  <r>
    <s v="TX501630"/>
    <x v="1"/>
    <x v="7"/>
    <n v="115.9"/>
    <n v="1159"/>
    <x v="60"/>
    <d v="2025-03-05T00:00:00"/>
    <x v="2"/>
    <x v="1"/>
    <x v="0"/>
    <x v="0"/>
    <x v="8"/>
    <x v="2"/>
    <x v="9"/>
    <x v="2"/>
  </r>
  <r>
    <s v="TX501631"/>
    <x v="6"/>
    <x v="11"/>
    <n v="86"/>
    <n v="774"/>
    <x v="60"/>
    <d v="2025-03-07T00:00:00"/>
    <x v="2"/>
    <x v="0"/>
    <x v="1"/>
    <x v="0"/>
    <x v="8"/>
    <x v="0"/>
    <x v="9"/>
    <x v="2"/>
  </r>
  <r>
    <s v="TX501632"/>
    <x v="7"/>
    <x v="3"/>
    <n v="73.599999999999994"/>
    <n v="515.19999999999993"/>
    <x v="60"/>
    <d v="2025-03-04T00:00:00"/>
    <x v="2"/>
    <x v="0"/>
    <x v="0"/>
    <x v="0"/>
    <x v="17"/>
    <x v="1"/>
    <x v="9"/>
    <x v="2"/>
  </r>
  <r>
    <s v="TX501633"/>
    <x v="10"/>
    <x v="2"/>
    <n v="26.7"/>
    <n v="80.099999999999994"/>
    <x v="60"/>
    <d v="2025-03-06T00:00:00"/>
    <x v="2"/>
    <x v="0"/>
    <x v="0"/>
    <x v="0"/>
    <x v="11"/>
    <x v="5"/>
    <x v="9"/>
    <x v="2"/>
  </r>
  <r>
    <s v="TX501634"/>
    <x v="8"/>
    <x v="3"/>
    <n v="46.6"/>
    <n v="326.2"/>
    <x v="60"/>
    <d v="2025-03-04T00:00:00"/>
    <x v="0"/>
    <x v="3"/>
    <x v="0"/>
    <x v="0"/>
    <x v="11"/>
    <x v="1"/>
    <x v="9"/>
    <x v="0"/>
  </r>
  <r>
    <s v="TX501635"/>
    <x v="3"/>
    <x v="2"/>
    <n v="84.6"/>
    <n v="253.79999999999998"/>
    <x v="60"/>
    <d v="2025-03-04T00:00:00"/>
    <x v="1"/>
    <x v="4"/>
    <x v="0"/>
    <x v="0"/>
    <x v="11"/>
    <x v="1"/>
    <x v="9"/>
    <x v="1"/>
  </r>
  <r>
    <s v="TX501636"/>
    <x v="7"/>
    <x v="21"/>
    <n v="41.5"/>
    <n v="581"/>
    <x v="60"/>
    <d v="2025-03-16T00:00:00"/>
    <x v="1"/>
    <x v="1"/>
    <x v="0"/>
    <x v="0"/>
    <x v="53"/>
    <x v="12"/>
    <x v="9"/>
    <x v="1"/>
  </r>
  <r>
    <s v="TX501637"/>
    <x v="8"/>
    <x v="0"/>
    <n v="32.799999999999997"/>
    <n v="32.799999999999997"/>
    <x v="60"/>
    <d v="2025-03-05T00:00:00"/>
    <x v="1"/>
    <x v="0"/>
    <x v="2"/>
    <x v="0"/>
    <x v="30"/>
    <x v="2"/>
    <x v="9"/>
    <x v="1"/>
  </r>
  <r>
    <s v="TX501638"/>
    <x v="4"/>
    <x v="3"/>
    <n v="46.7"/>
    <n v="326.90000000000003"/>
    <x v="60"/>
    <d v="2025-03-04T00:00:00"/>
    <x v="3"/>
    <x v="0"/>
    <x v="2"/>
    <x v="0"/>
    <x v="18"/>
    <x v="1"/>
    <x v="9"/>
    <x v="3"/>
  </r>
  <r>
    <s v="TX501639"/>
    <x v="15"/>
    <x v="3"/>
    <n v="21"/>
    <n v="147"/>
    <x v="60"/>
    <d v="2025-03-05T00:00:00"/>
    <x v="1"/>
    <x v="2"/>
    <x v="1"/>
    <x v="0"/>
    <x v="21"/>
    <x v="2"/>
    <x v="9"/>
    <x v="1"/>
  </r>
  <r>
    <s v="TX501640"/>
    <x v="5"/>
    <x v="3"/>
    <n v="29.4"/>
    <n v="205.79999999999998"/>
    <x v="60"/>
    <d v="2025-03-02T00:00:00"/>
    <x v="1"/>
    <x v="3"/>
    <x v="2"/>
    <x v="0"/>
    <x v="21"/>
    <x v="7"/>
    <x v="9"/>
    <x v="1"/>
  </r>
  <r>
    <s v="TX501641"/>
    <x v="15"/>
    <x v="1"/>
    <n v="32.299999999999997"/>
    <n v="64.599999999999994"/>
    <x v="60"/>
    <d v="2025-03-03T00:00:00"/>
    <x v="1"/>
    <x v="0"/>
    <x v="2"/>
    <x v="0"/>
    <x v="21"/>
    <x v="3"/>
    <x v="9"/>
    <x v="1"/>
  </r>
  <r>
    <s v="TX501642"/>
    <x v="6"/>
    <x v="0"/>
    <n v="42.2"/>
    <n v="42.2"/>
    <x v="61"/>
    <d v="2025-03-05T00:00:00"/>
    <x v="2"/>
    <x v="0"/>
    <x v="2"/>
    <x v="0"/>
    <x v="21"/>
    <x v="1"/>
    <x v="9"/>
    <x v="2"/>
  </r>
  <r>
    <s v="TX501643"/>
    <x v="6"/>
    <x v="0"/>
    <n v="53.7"/>
    <n v="53.7"/>
    <x v="61"/>
    <d v="2025-03-05T00:00:00"/>
    <x v="1"/>
    <x v="1"/>
    <x v="1"/>
    <x v="0"/>
    <x v="1"/>
    <x v="1"/>
    <x v="9"/>
    <x v="1"/>
  </r>
  <r>
    <s v="TX501644"/>
    <x v="2"/>
    <x v="1"/>
    <n v="123.9"/>
    <n v="247.8"/>
    <x v="61"/>
    <d v="2025-03-06T00:00:00"/>
    <x v="1"/>
    <x v="2"/>
    <x v="0"/>
    <x v="0"/>
    <x v="1"/>
    <x v="2"/>
    <x v="9"/>
    <x v="1"/>
  </r>
  <r>
    <s v="TX501645"/>
    <x v="4"/>
    <x v="2"/>
    <n v="35.9"/>
    <n v="107.69999999999999"/>
    <x v="61"/>
    <d v="2025-03-05T00:00:00"/>
    <x v="1"/>
    <x v="2"/>
    <x v="0"/>
    <x v="0"/>
    <x v="22"/>
    <x v="1"/>
    <x v="9"/>
    <x v="1"/>
  </r>
  <r>
    <s v="TX501646"/>
    <x v="4"/>
    <x v="1"/>
    <n v="23.6"/>
    <n v="47.2"/>
    <x v="61"/>
    <d v="2025-03-06T00:00:00"/>
    <x v="1"/>
    <x v="0"/>
    <x v="2"/>
    <x v="0"/>
    <x v="3"/>
    <x v="2"/>
    <x v="9"/>
    <x v="1"/>
  </r>
  <r>
    <s v="TX501647"/>
    <x v="15"/>
    <x v="36"/>
    <n v="45.7"/>
    <n v="1599.5"/>
    <x v="61"/>
    <d v="2025-03-04T00:00:00"/>
    <x v="1"/>
    <x v="0"/>
    <x v="1"/>
    <x v="0"/>
    <x v="3"/>
    <x v="3"/>
    <x v="9"/>
    <x v="1"/>
  </r>
  <r>
    <s v="TX501648"/>
    <x v="6"/>
    <x v="5"/>
    <n v="118.3"/>
    <n v="1301.3"/>
    <x v="61"/>
    <d v="2025-03-05T00:00:00"/>
    <x v="1"/>
    <x v="4"/>
    <x v="2"/>
    <x v="0"/>
    <x v="3"/>
    <x v="1"/>
    <x v="9"/>
    <x v="1"/>
  </r>
  <r>
    <s v="TX501649"/>
    <x v="19"/>
    <x v="0"/>
    <n v="36"/>
    <n v="36"/>
    <x v="61"/>
    <d v="2025-03-04T00:00:00"/>
    <x v="2"/>
    <x v="0"/>
    <x v="1"/>
    <x v="0"/>
    <x v="3"/>
    <x v="3"/>
    <x v="9"/>
    <x v="2"/>
  </r>
  <r>
    <s v="TX501650"/>
    <x v="8"/>
    <x v="1"/>
    <n v="37.1"/>
    <n v="74.2"/>
    <x v="61"/>
    <d v="2025-03-06T00:00:00"/>
    <x v="2"/>
    <x v="2"/>
    <x v="0"/>
    <x v="0"/>
    <x v="3"/>
    <x v="2"/>
    <x v="9"/>
    <x v="2"/>
  </r>
  <r>
    <s v="TX501651"/>
    <x v="18"/>
    <x v="2"/>
    <n v="45.1"/>
    <n v="135.30000000000001"/>
    <x v="61"/>
    <d v="2025-03-05T00:00:00"/>
    <x v="2"/>
    <x v="1"/>
    <x v="2"/>
    <x v="0"/>
    <x v="3"/>
    <x v="1"/>
    <x v="9"/>
    <x v="2"/>
  </r>
  <r>
    <s v="TX501652"/>
    <x v="5"/>
    <x v="27"/>
    <n v="37.9"/>
    <n v="606.4"/>
    <x v="61"/>
    <d v="2025-03-04T00:00:00"/>
    <x v="2"/>
    <x v="3"/>
    <x v="2"/>
    <x v="0"/>
    <x v="3"/>
    <x v="3"/>
    <x v="9"/>
    <x v="2"/>
  </r>
  <r>
    <s v="TX501653"/>
    <x v="2"/>
    <x v="1"/>
    <n v="121.6"/>
    <n v="243.2"/>
    <x v="61"/>
    <d v="2025-03-06T00:00:00"/>
    <x v="1"/>
    <x v="3"/>
    <x v="2"/>
    <x v="0"/>
    <x v="3"/>
    <x v="2"/>
    <x v="9"/>
    <x v="1"/>
  </r>
  <r>
    <s v="TX501654"/>
    <x v="5"/>
    <x v="3"/>
    <n v="38.200000000000003"/>
    <n v="267.40000000000003"/>
    <x v="61"/>
    <d v="2025-03-06T00:00:00"/>
    <x v="2"/>
    <x v="0"/>
    <x v="0"/>
    <x v="0"/>
    <x v="3"/>
    <x v="2"/>
    <x v="9"/>
    <x v="2"/>
  </r>
  <r>
    <s v="TX501655"/>
    <x v="17"/>
    <x v="1"/>
    <n v="37.200000000000003"/>
    <n v="74.400000000000006"/>
    <x v="61"/>
    <d v="2025-03-06T00:00:00"/>
    <x v="1"/>
    <x v="4"/>
    <x v="0"/>
    <x v="0"/>
    <x v="3"/>
    <x v="2"/>
    <x v="9"/>
    <x v="1"/>
  </r>
  <r>
    <s v="TX501656"/>
    <x v="2"/>
    <x v="12"/>
    <n v="115.7"/>
    <n v="462.8"/>
    <x v="61"/>
    <d v="2025-03-06T00:00:00"/>
    <x v="2"/>
    <x v="1"/>
    <x v="0"/>
    <x v="0"/>
    <x v="3"/>
    <x v="2"/>
    <x v="9"/>
    <x v="2"/>
  </r>
  <r>
    <s v="TX501657"/>
    <x v="2"/>
    <x v="13"/>
    <n v="99.4"/>
    <n v="596.40000000000009"/>
    <x v="61"/>
    <d v="2025-03-06T00:00:00"/>
    <x v="1"/>
    <x v="0"/>
    <x v="2"/>
    <x v="0"/>
    <x v="3"/>
    <x v="2"/>
    <x v="9"/>
    <x v="1"/>
  </r>
  <r>
    <s v="TX501658"/>
    <x v="11"/>
    <x v="0"/>
    <n v="38.700000000000003"/>
    <n v="38.700000000000003"/>
    <x v="61"/>
    <d v="2025-03-04T00:00:00"/>
    <x v="2"/>
    <x v="2"/>
    <x v="0"/>
    <x v="0"/>
    <x v="25"/>
    <x v="3"/>
    <x v="9"/>
    <x v="2"/>
  </r>
  <r>
    <s v="TX501659"/>
    <x v="4"/>
    <x v="1"/>
    <n v="35.5"/>
    <n v="71"/>
    <x v="61"/>
    <d v="2025-03-06T00:00:00"/>
    <x v="1"/>
    <x v="0"/>
    <x v="2"/>
    <x v="0"/>
    <x v="25"/>
    <x v="2"/>
    <x v="9"/>
    <x v="1"/>
  </r>
  <r>
    <s v="TX501660"/>
    <x v="2"/>
    <x v="12"/>
    <n v="93.3"/>
    <n v="373.2"/>
    <x v="61"/>
    <d v="2025-03-06T00:00:00"/>
    <x v="2"/>
    <x v="0"/>
    <x v="2"/>
    <x v="0"/>
    <x v="6"/>
    <x v="2"/>
    <x v="9"/>
    <x v="2"/>
  </r>
  <r>
    <s v="TX501661"/>
    <x v="16"/>
    <x v="0"/>
    <n v="31.4"/>
    <n v="31.4"/>
    <x v="61"/>
    <d v="2025-03-08T00:00:00"/>
    <x v="2"/>
    <x v="2"/>
    <x v="2"/>
    <x v="0"/>
    <x v="6"/>
    <x v="0"/>
    <x v="9"/>
    <x v="2"/>
  </r>
  <r>
    <s v="TX501662"/>
    <x v="1"/>
    <x v="0"/>
    <n v="85.9"/>
    <n v="85.9"/>
    <x v="61"/>
    <d v="2025-03-06T00:00:00"/>
    <x v="1"/>
    <x v="1"/>
    <x v="0"/>
    <x v="0"/>
    <x v="6"/>
    <x v="2"/>
    <x v="9"/>
    <x v="1"/>
  </r>
  <r>
    <s v="TX501663"/>
    <x v="6"/>
    <x v="8"/>
    <n v="41.7"/>
    <n v="333.6"/>
    <x v="61"/>
    <d v="2025-03-11T00:00:00"/>
    <x v="1"/>
    <x v="0"/>
    <x v="2"/>
    <x v="0"/>
    <x v="7"/>
    <x v="9"/>
    <x v="9"/>
    <x v="1"/>
  </r>
  <r>
    <s v="TX501664"/>
    <x v="8"/>
    <x v="12"/>
    <n v="31.5"/>
    <n v="126"/>
    <x v="61"/>
    <d v="2025-03-04T00:00:00"/>
    <x v="2"/>
    <x v="0"/>
    <x v="0"/>
    <x v="0"/>
    <x v="7"/>
    <x v="3"/>
    <x v="9"/>
    <x v="2"/>
  </r>
  <r>
    <s v="TX501665"/>
    <x v="8"/>
    <x v="1"/>
    <n v="36.299999999999997"/>
    <n v="72.599999999999994"/>
    <x v="61"/>
    <d v="2025-03-04T00:00:00"/>
    <x v="2"/>
    <x v="0"/>
    <x v="4"/>
    <x v="0"/>
    <x v="8"/>
    <x v="3"/>
    <x v="9"/>
    <x v="2"/>
  </r>
  <r>
    <s v="TX501666"/>
    <x v="8"/>
    <x v="2"/>
    <n v="33.4"/>
    <n v="100.19999999999999"/>
    <x v="61"/>
    <d v="2025-03-04T00:00:00"/>
    <x v="2"/>
    <x v="3"/>
    <x v="0"/>
    <x v="0"/>
    <x v="17"/>
    <x v="3"/>
    <x v="9"/>
    <x v="2"/>
  </r>
  <r>
    <s v="TX501667"/>
    <x v="2"/>
    <x v="2"/>
    <n v="65.2"/>
    <n v="195.60000000000002"/>
    <x v="61"/>
    <d v="2025-03-04T00:00:00"/>
    <x v="2"/>
    <x v="2"/>
    <x v="2"/>
    <x v="0"/>
    <x v="26"/>
    <x v="3"/>
    <x v="9"/>
    <x v="2"/>
  </r>
  <r>
    <s v="TX501668"/>
    <x v="8"/>
    <x v="11"/>
    <n v="65.5"/>
    <n v="589.5"/>
    <x v="61"/>
    <d v="2025-03-06T00:00:00"/>
    <x v="2"/>
    <x v="0"/>
    <x v="2"/>
    <x v="0"/>
    <x v="9"/>
    <x v="2"/>
    <x v="9"/>
    <x v="2"/>
  </r>
  <r>
    <s v="TX501669"/>
    <x v="6"/>
    <x v="2"/>
    <n v="52.8"/>
    <n v="158.39999999999998"/>
    <x v="61"/>
    <d v="2025-03-06T00:00:00"/>
    <x v="1"/>
    <x v="2"/>
    <x v="0"/>
    <x v="0"/>
    <x v="9"/>
    <x v="2"/>
    <x v="9"/>
    <x v="1"/>
  </r>
  <r>
    <s v="TX501670"/>
    <x v="9"/>
    <x v="9"/>
    <n v="24"/>
    <n v="120"/>
    <x v="61"/>
    <d v="2025-03-07T00:00:00"/>
    <x v="1"/>
    <x v="0"/>
    <x v="1"/>
    <x v="0"/>
    <x v="11"/>
    <x v="5"/>
    <x v="9"/>
    <x v="1"/>
  </r>
  <r>
    <s v="TX501671"/>
    <x v="3"/>
    <x v="2"/>
    <n v="51.2"/>
    <n v="153.60000000000002"/>
    <x v="61"/>
    <d v="2025-03-04T00:00:00"/>
    <x v="2"/>
    <x v="0"/>
    <x v="0"/>
    <x v="0"/>
    <x v="32"/>
    <x v="3"/>
    <x v="9"/>
    <x v="2"/>
  </r>
  <r>
    <s v="TX501672"/>
    <x v="5"/>
    <x v="2"/>
    <n v="28.3"/>
    <n v="84.9"/>
    <x v="61"/>
    <d v="2025-03-05T00:00:00"/>
    <x v="1"/>
    <x v="4"/>
    <x v="0"/>
    <x v="0"/>
    <x v="19"/>
    <x v="1"/>
    <x v="9"/>
    <x v="1"/>
  </r>
  <r>
    <s v="TX501673"/>
    <x v="6"/>
    <x v="2"/>
    <n v="42.3"/>
    <n v="126.89999999999999"/>
    <x v="61"/>
    <d v="2025-03-03T00:00:00"/>
    <x v="2"/>
    <x v="2"/>
    <x v="1"/>
    <x v="0"/>
    <x v="19"/>
    <x v="7"/>
    <x v="9"/>
    <x v="2"/>
  </r>
  <r>
    <s v="TX501674"/>
    <x v="2"/>
    <x v="8"/>
    <n v="163.30000000000001"/>
    <n v="1306.4000000000001"/>
    <x v="62"/>
    <d v="2025-03-05T00:00:00"/>
    <x v="2"/>
    <x v="1"/>
    <x v="0"/>
    <x v="0"/>
    <x v="13"/>
    <x v="3"/>
    <x v="9"/>
    <x v="2"/>
  </r>
  <r>
    <s v="TX501675"/>
    <x v="6"/>
    <x v="3"/>
    <n v="47.3"/>
    <n v="331.09999999999997"/>
    <x v="62"/>
    <d v="2025-03-07T00:00:00"/>
    <x v="2"/>
    <x v="4"/>
    <x v="1"/>
    <x v="0"/>
    <x v="21"/>
    <x v="2"/>
    <x v="9"/>
    <x v="2"/>
  </r>
  <r>
    <s v="TX501676"/>
    <x v="8"/>
    <x v="27"/>
    <n v="27.3"/>
    <n v="436.8"/>
    <x v="62"/>
    <d v="2025-03-05T00:00:00"/>
    <x v="2"/>
    <x v="2"/>
    <x v="0"/>
    <x v="0"/>
    <x v="21"/>
    <x v="3"/>
    <x v="9"/>
    <x v="2"/>
  </r>
  <r>
    <s v="TX501677"/>
    <x v="10"/>
    <x v="13"/>
    <n v="34.9"/>
    <n v="209.39999999999998"/>
    <x v="62"/>
    <d v="2025-03-15T00:00:00"/>
    <x v="2"/>
    <x v="0"/>
    <x v="0"/>
    <x v="0"/>
    <x v="21"/>
    <x v="11"/>
    <x v="9"/>
    <x v="2"/>
  </r>
  <r>
    <s v="TX501678"/>
    <x v="6"/>
    <x v="1"/>
    <n v="53.9"/>
    <n v="107.8"/>
    <x v="62"/>
    <d v="2025-03-07T00:00:00"/>
    <x v="3"/>
    <x v="0"/>
    <x v="4"/>
    <x v="0"/>
    <x v="1"/>
    <x v="2"/>
    <x v="9"/>
    <x v="3"/>
  </r>
  <r>
    <s v="TX501679"/>
    <x v="2"/>
    <x v="1"/>
    <n v="87.2"/>
    <n v="174.4"/>
    <x v="62"/>
    <d v="2025-03-05T00:00:00"/>
    <x v="2"/>
    <x v="0"/>
    <x v="1"/>
    <x v="0"/>
    <x v="1"/>
    <x v="3"/>
    <x v="9"/>
    <x v="2"/>
  </r>
  <r>
    <s v="TX501680"/>
    <x v="15"/>
    <x v="0"/>
    <n v="58.8"/>
    <n v="58.8"/>
    <x v="62"/>
    <d v="2025-03-06T00:00:00"/>
    <x v="2"/>
    <x v="2"/>
    <x v="0"/>
    <x v="0"/>
    <x v="44"/>
    <x v="1"/>
    <x v="9"/>
    <x v="2"/>
  </r>
  <r>
    <s v="TX501681"/>
    <x v="2"/>
    <x v="3"/>
    <n v="125.5"/>
    <n v="878.5"/>
    <x v="62"/>
    <d v="2025-03-05T00:00:00"/>
    <x v="1"/>
    <x v="2"/>
    <x v="4"/>
    <x v="0"/>
    <x v="22"/>
    <x v="3"/>
    <x v="9"/>
    <x v="1"/>
  </r>
  <r>
    <s v="TX501682"/>
    <x v="1"/>
    <x v="12"/>
    <n v="124.6"/>
    <n v="498.4"/>
    <x v="62"/>
    <d v="2025-03-06T00:00:00"/>
    <x v="2"/>
    <x v="0"/>
    <x v="1"/>
    <x v="0"/>
    <x v="22"/>
    <x v="1"/>
    <x v="9"/>
    <x v="2"/>
  </r>
  <r>
    <s v="TX501683"/>
    <x v="1"/>
    <x v="3"/>
    <n v="39.9"/>
    <n v="279.3"/>
    <x v="62"/>
    <d v="2025-03-05T00:00:00"/>
    <x v="1"/>
    <x v="2"/>
    <x v="1"/>
    <x v="0"/>
    <x v="3"/>
    <x v="3"/>
    <x v="9"/>
    <x v="1"/>
  </r>
  <r>
    <s v="TX501684"/>
    <x v="6"/>
    <x v="0"/>
    <n v="94.6"/>
    <n v="94.6"/>
    <x v="62"/>
    <d v="2025-03-18T00:00:00"/>
    <x v="2"/>
    <x v="0"/>
    <x v="1"/>
    <x v="0"/>
    <x v="3"/>
    <x v="12"/>
    <x v="9"/>
    <x v="2"/>
  </r>
  <r>
    <s v="TX501685"/>
    <x v="2"/>
    <x v="1"/>
    <n v="149.6"/>
    <n v="299.2"/>
    <x v="62"/>
    <d v="2025-03-05T00:00:00"/>
    <x v="2"/>
    <x v="0"/>
    <x v="0"/>
    <x v="0"/>
    <x v="3"/>
    <x v="3"/>
    <x v="9"/>
    <x v="2"/>
  </r>
  <r>
    <s v="TX501686"/>
    <x v="8"/>
    <x v="0"/>
    <n v="52.2"/>
    <n v="52.2"/>
    <x v="62"/>
    <d v="2025-03-05T00:00:00"/>
    <x v="0"/>
    <x v="1"/>
    <x v="0"/>
    <x v="0"/>
    <x v="3"/>
    <x v="3"/>
    <x v="9"/>
    <x v="0"/>
  </r>
  <r>
    <s v="TX501687"/>
    <x v="6"/>
    <x v="1"/>
    <n v="96.5"/>
    <n v="193"/>
    <x v="62"/>
    <d v="2025-03-05T00:00:00"/>
    <x v="2"/>
    <x v="1"/>
    <x v="1"/>
    <x v="0"/>
    <x v="3"/>
    <x v="3"/>
    <x v="9"/>
    <x v="2"/>
  </r>
  <r>
    <s v="TX501688"/>
    <x v="8"/>
    <x v="1"/>
    <n v="79.8"/>
    <n v="159.6"/>
    <x v="62"/>
    <d v="2025-03-06T00:00:00"/>
    <x v="2"/>
    <x v="0"/>
    <x v="1"/>
    <x v="0"/>
    <x v="3"/>
    <x v="1"/>
    <x v="9"/>
    <x v="2"/>
  </r>
  <r>
    <s v="TX501689"/>
    <x v="8"/>
    <x v="2"/>
    <n v="35.6"/>
    <n v="106.80000000000001"/>
    <x v="62"/>
    <d v="2025-03-05T00:00:00"/>
    <x v="2"/>
    <x v="2"/>
    <x v="0"/>
    <x v="0"/>
    <x v="3"/>
    <x v="3"/>
    <x v="9"/>
    <x v="2"/>
  </r>
  <r>
    <s v="TX501690"/>
    <x v="16"/>
    <x v="0"/>
    <n v="50.2"/>
    <n v="50.2"/>
    <x v="62"/>
    <d v="2025-03-05T00:00:00"/>
    <x v="2"/>
    <x v="1"/>
    <x v="2"/>
    <x v="0"/>
    <x v="3"/>
    <x v="3"/>
    <x v="9"/>
    <x v="2"/>
  </r>
  <r>
    <s v="TX501691"/>
    <x v="1"/>
    <x v="2"/>
    <n v="55.3"/>
    <n v="165.89999999999998"/>
    <x v="62"/>
    <d v="2025-03-07T00:00:00"/>
    <x v="2"/>
    <x v="0"/>
    <x v="4"/>
    <x v="0"/>
    <x v="40"/>
    <x v="2"/>
    <x v="9"/>
    <x v="2"/>
  </r>
  <r>
    <s v="TX501692"/>
    <x v="6"/>
    <x v="3"/>
    <n v="104.5"/>
    <n v="731.5"/>
    <x v="62"/>
    <d v="2025-03-08T00:00:00"/>
    <x v="2"/>
    <x v="1"/>
    <x v="0"/>
    <x v="0"/>
    <x v="7"/>
    <x v="5"/>
    <x v="9"/>
    <x v="2"/>
  </r>
  <r>
    <s v="TX501693"/>
    <x v="6"/>
    <x v="12"/>
    <n v="66.5"/>
    <n v="266"/>
    <x v="62"/>
    <d v="2025-03-06T00:00:00"/>
    <x v="1"/>
    <x v="1"/>
    <x v="0"/>
    <x v="0"/>
    <x v="7"/>
    <x v="1"/>
    <x v="9"/>
    <x v="1"/>
  </r>
  <r>
    <s v="TX501694"/>
    <x v="10"/>
    <x v="8"/>
    <n v="38.299999999999997"/>
    <n v="306.39999999999998"/>
    <x v="62"/>
    <d v="2025-03-05T00:00:00"/>
    <x v="2"/>
    <x v="0"/>
    <x v="0"/>
    <x v="0"/>
    <x v="7"/>
    <x v="3"/>
    <x v="9"/>
    <x v="2"/>
  </r>
  <r>
    <s v="TX501695"/>
    <x v="6"/>
    <x v="2"/>
    <n v="63.8"/>
    <n v="191.39999999999998"/>
    <x v="62"/>
    <d v="2025-03-07T00:00:00"/>
    <x v="2"/>
    <x v="1"/>
    <x v="0"/>
    <x v="0"/>
    <x v="8"/>
    <x v="2"/>
    <x v="9"/>
    <x v="2"/>
  </r>
  <r>
    <s v="TX501696"/>
    <x v="15"/>
    <x v="0"/>
    <n v="21.4"/>
    <n v="21.4"/>
    <x v="62"/>
    <d v="2025-03-04T00:00:00"/>
    <x v="1"/>
    <x v="4"/>
    <x v="0"/>
    <x v="0"/>
    <x v="8"/>
    <x v="7"/>
    <x v="9"/>
    <x v="1"/>
  </r>
  <r>
    <s v="TX501697"/>
    <x v="8"/>
    <x v="12"/>
    <n v="44.1"/>
    <n v="176.4"/>
    <x v="62"/>
    <d v="2025-03-06T00:00:00"/>
    <x v="2"/>
    <x v="2"/>
    <x v="0"/>
    <x v="0"/>
    <x v="8"/>
    <x v="1"/>
    <x v="9"/>
    <x v="2"/>
  </r>
  <r>
    <s v="TX501698"/>
    <x v="5"/>
    <x v="8"/>
    <n v="57.6"/>
    <n v="460.8"/>
    <x v="62"/>
    <d v="2025-03-06T00:00:00"/>
    <x v="1"/>
    <x v="1"/>
    <x v="2"/>
    <x v="0"/>
    <x v="8"/>
    <x v="1"/>
    <x v="9"/>
    <x v="1"/>
  </r>
  <r>
    <s v="TX501699"/>
    <x v="9"/>
    <x v="1"/>
    <n v="20.3"/>
    <n v="40.6"/>
    <x v="62"/>
    <d v="2025-03-10T00:00:00"/>
    <x v="2"/>
    <x v="3"/>
    <x v="0"/>
    <x v="0"/>
    <x v="8"/>
    <x v="4"/>
    <x v="9"/>
    <x v="2"/>
  </r>
  <r>
    <s v="TX501700"/>
    <x v="8"/>
    <x v="0"/>
    <n v="22.9"/>
    <n v="22.9"/>
    <x v="62"/>
    <d v="2025-03-06T00:00:00"/>
    <x v="2"/>
    <x v="2"/>
    <x v="2"/>
    <x v="0"/>
    <x v="8"/>
    <x v="1"/>
    <x v="9"/>
    <x v="2"/>
  </r>
  <r>
    <s v="TX501701"/>
    <x v="6"/>
    <x v="12"/>
    <n v="105.9"/>
    <n v="423.6"/>
    <x v="62"/>
    <d v="2025-03-05T00:00:00"/>
    <x v="2"/>
    <x v="1"/>
    <x v="2"/>
    <x v="0"/>
    <x v="17"/>
    <x v="3"/>
    <x v="9"/>
    <x v="2"/>
  </r>
  <r>
    <s v="TX501702"/>
    <x v="1"/>
    <x v="11"/>
    <n v="37.4"/>
    <n v="336.59999999999997"/>
    <x v="62"/>
    <d v="2025-03-08T00:00:00"/>
    <x v="1"/>
    <x v="1"/>
    <x v="0"/>
    <x v="0"/>
    <x v="11"/>
    <x v="5"/>
    <x v="9"/>
    <x v="1"/>
  </r>
  <r>
    <s v="TX501703"/>
    <x v="18"/>
    <x v="1"/>
    <n v="79"/>
    <n v="158"/>
    <x v="62"/>
    <d v="2025-03-05T00:00:00"/>
    <x v="1"/>
    <x v="2"/>
    <x v="0"/>
    <x v="0"/>
    <x v="28"/>
    <x v="3"/>
    <x v="9"/>
    <x v="1"/>
  </r>
  <r>
    <s v="TX501704"/>
    <x v="0"/>
    <x v="2"/>
    <n v="19.3"/>
    <n v="57.900000000000006"/>
    <x v="62"/>
    <d v="2025-03-05T00:00:00"/>
    <x v="2"/>
    <x v="4"/>
    <x v="0"/>
    <x v="0"/>
    <x v="21"/>
    <x v="3"/>
    <x v="9"/>
    <x v="2"/>
  </r>
  <r>
    <s v="TX501705"/>
    <x v="0"/>
    <x v="0"/>
    <n v="24"/>
    <n v="24"/>
    <x v="62"/>
    <d v="2025-03-05T00:00:00"/>
    <x v="2"/>
    <x v="1"/>
    <x v="0"/>
    <x v="0"/>
    <x v="1"/>
    <x v="3"/>
    <x v="9"/>
    <x v="2"/>
  </r>
  <r>
    <s v="TX501706"/>
    <x v="6"/>
    <x v="9"/>
    <n v="71.3"/>
    <n v="356.5"/>
    <x v="62"/>
    <d v="2025-03-07T00:00:00"/>
    <x v="2"/>
    <x v="2"/>
    <x v="0"/>
    <x v="0"/>
    <x v="2"/>
    <x v="2"/>
    <x v="9"/>
    <x v="2"/>
  </r>
  <r>
    <s v="TX501707"/>
    <x v="5"/>
    <x v="1"/>
    <n v="166.2"/>
    <n v="332.4"/>
    <x v="62"/>
    <d v="2025-03-05T00:00:00"/>
    <x v="1"/>
    <x v="0"/>
    <x v="2"/>
    <x v="0"/>
    <x v="50"/>
    <x v="3"/>
    <x v="9"/>
    <x v="1"/>
  </r>
  <r>
    <s v="TX501708"/>
    <x v="6"/>
    <x v="0"/>
    <n v="81"/>
    <n v="81"/>
    <x v="62"/>
    <d v="2025-03-05T00:00:00"/>
    <x v="2"/>
    <x v="2"/>
    <x v="1"/>
    <x v="0"/>
    <x v="3"/>
    <x v="3"/>
    <x v="9"/>
    <x v="2"/>
  </r>
  <r>
    <s v="TX501709"/>
    <x v="10"/>
    <x v="13"/>
    <n v="38.5"/>
    <n v="231"/>
    <x v="62"/>
    <d v="2025-03-08T00:00:00"/>
    <x v="2"/>
    <x v="0"/>
    <x v="0"/>
    <x v="0"/>
    <x v="3"/>
    <x v="5"/>
    <x v="9"/>
    <x v="2"/>
  </r>
  <r>
    <s v="TX501710"/>
    <x v="6"/>
    <x v="0"/>
    <n v="86.1"/>
    <n v="86.1"/>
    <x v="62"/>
    <d v="2025-03-06T00:00:00"/>
    <x v="2"/>
    <x v="3"/>
    <x v="0"/>
    <x v="0"/>
    <x v="3"/>
    <x v="1"/>
    <x v="9"/>
    <x v="2"/>
  </r>
  <r>
    <s v="TX501711"/>
    <x v="2"/>
    <x v="9"/>
    <n v="51"/>
    <n v="255"/>
    <x v="62"/>
    <d v="2025-03-05T00:00:00"/>
    <x v="1"/>
    <x v="0"/>
    <x v="1"/>
    <x v="0"/>
    <x v="3"/>
    <x v="3"/>
    <x v="9"/>
    <x v="1"/>
  </r>
  <r>
    <s v="TX501712"/>
    <x v="3"/>
    <x v="9"/>
    <n v="115.4"/>
    <n v="577"/>
    <x v="62"/>
    <d v="2025-03-05T00:00:00"/>
    <x v="1"/>
    <x v="0"/>
    <x v="0"/>
    <x v="0"/>
    <x v="3"/>
    <x v="3"/>
    <x v="9"/>
    <x v="1"/>
  </r>
  <r>
    <s v="TX501713"/>
    <x v="6"/>
    <x v="12"/>
    <n v="176.5"/>
    <n v="706"/>
    <x v="62"/>
    <d v="2025-03-05T00:00:00"/>
    <x v="2"/>
    <x v="2"/>
    <x v="2"/>
    <x v="0"/>
    <x v="3"/>
    <x v="3"/>
    <x v="9"/>
    <x v="2"/>
  </r>
  <r>
    <s v="TX501714"/>
    <x v="7"/>
    <x v="2"/>
    <n v="48.9"/>
    <n v="146.69999999999999"/>
    <x v="62"/>
    <d v="2025-03-05T00:00:00"/>
    <x v="1"/>
    <x v="4"/>
    <x v="0"/>
    <x v="0"/>
    <x v="3"/>
    <x v="3"/>
    <x v="9"/>
    <x v="1"/>
  </r>
  <r>
    <s v="TX501715"/>
    <x v="8"/>
    <x v="2"/>
    <n v="18.100000000000001"/>
    <n v="54.300000000000004"/>
    <x v="62"/>
    <d v="2025-03-11T00:00:00"/>
    <x v="2"/>
    <x v="1"/>
    <x v="2"/>
    <x v="0"/>
    <x v="29"/>
    <x v="6"/>
    <x v="9"/>
    <x v="2"/>
  </r>
  <r>
    <s v="TX501716"/>
    <x v="2"/>
    <x v="1"/>
    <n v="118.5"/>
    <n v="237"/>
    <x v="62"/>
    <d v="2025-03-07T00:00:00"/>
    <x v="1"/>
    <x v="1"/>
    <x v="2"/>
    <x v="0"/>
    <x v="16"/>
    <x v="2"/>
    <x v="9"/>
    <x v="1"/>
  </r>
  <r>
    <s v="TX501717"/>
    <x v="15"/>
    <x v="3"/>
    <n v="59.1"/>
    <n v="413.7"/>
    <x v="62"/>
    <d v="2025-03-05T00:00:00"/>
    <x v="2"/>
    <x v="3"/>
    <x v="0"/>
    <x v="0"/>
    <x v="25"/>
    <x v="3"/>
    <x v="9"/>
    <x v="2"/>
  </r>
  <r>
    <s v="TX501718"/>
    <x v="4"/>
    <x v="0"/>
    <n v="21.2"/>
    <n v="21.2"/>
    <x v="62"/>
    <d v="2025-03-05T00:00:00"/>
    <x v="2"/>
    <x v="0"/>
    <x v="1"/>
    <x v="0"/>
    <x v="6"/>
    <x v="3"/>
    <x v="9"/>
    <x v="2"/>
  </r>
  <r>
    <s v="TX501719"/>
    <x v="6"/>
    <x v="1"/>
    <n v="68.8"/>
    <n v="137.6"/>
    <x v="62"/>
    <d v="2025-03-09T00:00:00"/>
    <x v="2"/>
    <x v="3"/>
    <x v="2"/>
    <x v="0"/>
    <x v="6"/>
    <x v="0"/>
    <x v="9"/>
    <x v="2"/>
  </r>
  <r>
    <s v="TX501720"/>
    <x v="6"/>
    <x v="1"/>
    <n v="65.400000000000006"/>
    <n v="130.80000000000001"/>
    <x v="62"/>
    <d v="2025-03-08T00:00:00"/>
    <x v="2"/>
    <x v="0"/>
    <x v="0"/>
    <x v="0"/>
    <x v="6"/>
    <x v="5"/>
    <x v="9"/>
    <x v="2"/>
  </r>
  <r>
    <s v="TX501721"/>
    <x v="12"/>
    <x v="9"/>
    <n v="66.3"/>
    <n v="331.5"/>
    <x v="63"/>
    <d v="2025-03-08T00:00:00"/>
    <x v="2"/>
    <x v="4"/>
    <x v="0"/>
    <x v="0"/>
    <x v="6"/>
    <x v="2"/>
    <x v="9"/>
    <x v="2"/>
  </r>
  <r>
    <s v="TX501722"/>
    <x v="6"/>
    <x v="2"/>
    <n v="97.5"/>
    <n v="292.5"/>
    <x v="63"/>
    <d v="2025-03-05T00:00:00"/>
    <x v="1"/>
    <x v="3"/>
    <x v="0"/>
    <x v="0"/>
    <x v="8"/>
    <x v="7"/>
    <x v="9"/>
    <x v="1"/>
  </r>
  <r>
    <s v="TX501723"/>
    <x v="1"/>
    <x v="1"/>
    <n v="44"/>
    <n v="88"/>
    <x v="63"/>
    <d v="2025-03-08T00:00:00"/>
    <x v="2"/>
    <x v="1"/>
    <x v="2"/>
    <x v="0"/>
    <x v="8"/>
    <x v="2"/>
    <x v="9"/>
    <x v="2"/>
  </r>
  <r>
    <s v="TX501724"/>
    <x v="0"/>
    <x v="0"/>
    <n v="21.9"/>
    <n v="21.9"/>
    <x v="63"/>
    <d v="2025-03-06T00:00:00"/>
    <x v="1"/>
    <x v="0"/>
    <x v="0"/>
    <x v="0"/>
    <x v="8"/>
    <x v="3"/>
    <x v="9"/>
    <x v="1"/>
  </r>
  <r>
    <s v="TX501725"/>
    <x v="4"/>
    <x v="3"/>
    <n v="21.5"/>
    <n v="150.5"/>
    <x v="63"/>
    <d v="2025-03-07T00:00:00"/>
    <x v="2"/>
    <x v="1"/>
    <x v="2"/>
    <x v="0"/>
    <x v="9"/>
    <x v="1"/>
    <x v="9"/>
    <x v="2"/>
  </r>
  <r>
    <s v="TX501726"/>
    <x v="12"/>
    <x v="13"/>
    <n v="133"/>
    <n v="798"/>
    <x v="63"/>
    <d v="2025-03-06T00:00:00"/>
    <x v="3"/>
    <x v="0"/>
    <x v="2"/>
    <x v="0"/>
    <x v="10"/>
    <x v="3"/>
    <x v="9"/>
    <x v="3"/>
  </r>
  <r>
    <s v="TX501727"/>
    <x v="8"/>
    <x v="1"/>
    <n v="47.7"/>
    <n v="95.4"/>
    <x v="63"/>
    <d v="2025-03-09T00:00:00"/>
    <x v="1"/>
    <x v="0"/>
    <x v="2"/>
    <x v="0"/>
    <x v="10"/>
    <x v="5"/>
    <x v="9"/>
    <x v="1"/>
  </r>
  <r>
    <s v="TX501728"/>
    <x v="16"/>
    <x v="2"/>
    <n v="58.1"/>
    <n v="174.3"/>
    <x v="63"/>
    <d v="2025-03-06T00:00:00"/>
    <x v="2"/>
    <x v="0"/>
    <x v="0"/>
    <x v="0"/>
    <x v="11"/>
    <x v="3"/>
    <x v="9"/>
    <x v="2"/>
  </r>
  <r>
    <s v="TX501729"/>
    <x v="12"/>
    <x v="12"/>
    <n v="66.599999999999994"/>
    <n v="266.39999999999998"/>
    <x v="63"/>
    <d v="2025-03-06T00:00:00"/>
    <x v="0"/>
    <x v="0"/>
    <x v="0"/>
    <x v="0"/>
    <x v="11"/>
    <x v="3"/>
    <x v="9"/>
    <x v="0"/>
  </r>
  <r>
    <s v="TX501730"/>
    <x v="9"/>
    <x v="0"/>
    <n v="24.1"/>
    <n v="24.1"/>
    <x v="63"/>
    <d v="2025-03-08T00:00:00"/>
    <x v="1"/>
    <x v="2"/>
    <x v="1"/>
    <x v="0"/>
    <x v="19"/>
    <x v="2"/>
    <x v="9"/>
    <x v="1"/>
  </r>
  <r>
    <s v="TX501731"/>
    <x v="10"/>
    <x v="9"/>
    <n v="51.5"/>
    <n v="257.5"/>
    <x v="63"/>
    <d v="2025-03-10T00:00:00"/>
    <x v="2"/>
    <x v="0"/>
    <x v="0"/>
    <x v="0"/>
    <x v="13"/>
    <x v="0"/>
    <x v="9"/>
    <x v="2"/>
  </r>
  <r>
    <s v="TX501732"/>
    <x v="0"/>
    <x v="5"/>
    <n v="25.8"/>
    <n v="283.8"/>
    <x v="63"/>
    <d v="2025-03-09T00:00:00"/>
    <x v="2"/>
    <x v="3"/>
    <x v="4"/>
    <x v="0"/>
    <x v="21"/>
    <x v="5"/>
    <x v="9"/>
    <x v="2"/>
  </r>
  <r>
    <s v="TX501733"/>
    <x v="9"/>
    <x v="12"/>
    <n v="47.7"/>
    <n v="190.8"/>
    <x v="63"/>
    <d v="2025-03-05T00:00:00"/>
    <x v="2"/>
    <x v="0"/>
    <x v="1"/>
    <x v="0"/>
    <x v="21"/>
    <x v="7"/>
    <x v="9"/>
    <x v="2"/>
  </r>
  <r>
    <s v="TX501734"/>
    <x v="7"/>
    <x v="9"/>
    <n v="73.599999999999994"/>
    <n v="368"/>
    <x v="63"/>
    <d v="2025-03-09T00:00:00"/>
    <x v="1"/>
    <x v="1"/>
    <x v="0"/>
    <x v="0"/>
    <x v="21"/>
    <x v="5"/>
    <x v="9"/>
    <x v="1"/>
  </r>
  <r>
    <s v="TX501735"/>
    <x v="5"/>
    <x v="3"/>
    <n v="91.2"/>
    <n v="638.4"/>
    <x v="63"/>
    <d v="2025-03-06T00:00:00"/>
    <x v="1"/>
    <x v="1"/>
    <x v="2"/>
    <x v="0"/>
    <x v="21"/>
    <x v="3"/>
    <x v="9"/>
    <x v="1"/>
  </r>
  <r>
    <s v="TX501736"/>
    <x v="1"/>
    <x v="8"/>
    <n v="36.200000000000003"/>
    <n v="289.60000000000002"/>
    <x v="63"/>
    <d v="2025-03-05T00:00:00"/>
    <x v="1"/>
    <x v="2"/>
    <x v="2"/>
    <x v="0"/>
    <x v="1"/>
    <x v="7"/>
    <x v="9"/>
    <x v="1"/>
  </r>
  <r>
    <s v="TX501737"/>
    <x v="9"/>
    <x v="8"/>
    <n v="98"/>
    <n v="784"/>
    <x v="63"/>
    <d v="2025-03-09T00:00:00"/>
    <x v="2"/>
    <x v="2"/>
    <x v="0"/>
    <x v="0"/>
    <x v="2"/>
    <x v="5"/>
    <x v="9"/>
    <x v="2"/>
  </r>
  <r>
    <s v="TX501738"/>
    <x v="1"/>
    <x v="8"/>
    <n v="43.6"/>
    <n v="348.8"/>
    <x v="63"/>
    <d v="2025-03-06T00:00:00"/>
    <x v="2"/>
    <x v="2"/>
    <x v="0"/>
    <x v="0"/>
    <x v="22"/>
    <x v="3"/>
    <x v="9"/>
    <x v="2"/>
  </r>
  <r>
    <s v="TX501739"/>
    <x v="8"/>
    <x v="7"/>
    <n v="37.799999999999997"/>
    <n v="378"/>
    <x v="63"/>
    <d v="2025-03-05T00:00:00"/>
    <x v="3"/>
    <x v="0"/>
    <x v="0"/>
    <x v="0"/>
    <x v="50"/>
    <x v="7"/>
    <x v="9"/>
    <x v="3"/>
  </r>
  <r>
    <s v="TX501740"/>
    <x v="17"/>
    <x v="9"/>
    <n v="63.7"/>
    <n v="318.5"/>
    <x v="63"/>
    <d v="2025-03-08T00:00:00"/>
    <x v="2"/>
    <x v="2"/>
    <x v="1"/>
    <x v="0"/>
    <x v="3"/>
    <x v="2"/>
    <x v="9"/>
    <x v="2"/>
  </r>
  <r>
    <s v="TX501741"/>
    <x v="5"/>
    <x v="11"/>
    <n v="62.9"/>
    <n v="566.1"/>
    <x v="63"/>
    <d v="2025-03-10T00:00:00"/>
    <x v="1"/>
    <x v="3"/>
    <x v="2"/>
    <x v="0"/>
    <x v="3"/>
    <x v="0"/>
    <x v="9"/>
    <x v="1"/>
  </r>
  <r>
    <s v="TX501742"/>
    <x v="6"/>
    <x v="3"/>
    <n v="61.7"/>
    <n v="431.90000000000003"/>
    <x v="63"/>
    <d v="2025-03-08T00:00:00"/>
    <x v="2"/>
    <x v="2"/>
    <x v="2"/>
    <x v="0"/>
    <x v="3"/>
    <x v="2"/>
    <x v="9"/>
    <x v="2"/>
  </r>
  <r>
    <s v="TX501743"/>
    <x v="18"/>
    <x v="21"/>
    <n v="36.5"/>
    <n v="511"/>
    <x v="63"/>
    <d v="2025-03-06T00:00:00"/>
    <x v="1"/>
    <x v="0"/>
    <x v="2"/>
    <x v="0"/>
    <x v="3"/>
    <x v="3"/>
    <x v="9"/>
    <x v="1"/>
  </r>
  <r>
    <s v="TX501744"/>
    <x v="11"/>
    <x v="2"/>
    <n v="98.6"/>
    <n v="295.79999999999995"/>
    <x v="63"/>
    <d v="2025-03-08T00:00:00"/>
    <x v="3"/>
    <x v="0"/>
    <x v="4"/>
    <x v="0"/>
    <x v="3"/>
    <x v="2"/>
    <x v="9"/>
    <x v="3"/>
  </r>
  <r>
    <s v="TX501745"/>
    <x v="8"/>
    <x v="1"/>
    <n v="19.2"/>
    <n v="38.4"/>
    <x v="63"/>
    <d v="2025-03-15T00:00:00"/>
    <x v="1"/>
    <x v="0"/>
    <x v="0"/>
    <x v="0"/>
    <x v="3"/>
    <x v="14"/>
    <x v="9"/>
    <x v="1"/>
  </r>
  <r>
    <s v="TX501746"/>
    <x v="3"/>
    <x v="13"/>
    <n v="55.6"/>
    <n v="333.6"/>
    <x v="63"/>
    <d v="2025-03-09T00:00:00"/>
    <x v="2"/>
    <x v="0"/>
    <x v="2"/>
    <x v="0"/>
    <x v="3"/>
    <x v="5"/>
    <x v="9"/>
    <x v="2"/>
  </r>
  <r>
    <s v="TX501747"/>
    <x v="5"/>
    <x v="13"/>
    <n v="56.4"/>
    <n v="338.4"/>
    <x v="63"/>
    <d v="2025-03-06T00:00:00"/>
    <x v="2"/>
    <x v="1"/>
    <x v="0"/>
    <x v="0"/>
    <x v="3"/>
    <x v="3"/>
    <x v="9"/>
    <x v="2"/>
  </r>
  <r>
    <s v="TX501748"/>
    <x v="4"/>
    <x v="8"/>
    <n v="43.1"/>
    <n v="344.8"/>
    <x v="63"/>
    <d v="2025-03-09T00:00:00"/>
    <x v="2"/>
    <x v="4"/>
    <x v="0"/>
    <x v="0"/>
    <x v="3"/>
    <x v="5"/>
    <x v="9"/>
    <x v="2"/>
  </r>
  <r>
    <s v="TX501749"/>
    <x v="1"/>
    <x v="1"/>
    <n v="77.3"/>
    <n v="154.6"/>
    <x v="63"/>
    <d v="2025-03-07T00:00:00"/>
    <x v="1"/>
    <x v="0"/>
    <x v="0"/>
    <x v="0"/>
    <x v="6"/>
    <x v="1"/>
    <x v="9"/>
    <x v="1"/>
  </r>
  <r>
    <s v="TX501750"/>
    <x v="9"/>
    <x v="8"/>
    <n v="38.299999999999997"/>
    <n v="306.39999999999998"/>
    <x v="63"/>
    <d v="2025-03-06T00:00:00"/>
    <x v="1"/>
    <x v="0"/>
    <x v="0"/>
    <x v="0"/>
    <x v="7"/>
    <x v="3"/>
    <x v="9"/>
    <x v="1"/>
  </r>
  <r>
    <s v="TX501751"/>
    <x v="0"/>
    <x v="3"/>
    <n v="16.8"/>
    <n v="117.60000000000001"/>
    <x v="63"/>
    <d v="2025-03-08T00:00:00"/>
    <x v="1"/>
    <x v="2"/>
    <x v="1"/>
    <x v="0"/>
    <x v="8"/>
    <x v="2"/>
    <x v="9"/>
    <x v="1"/>
  </r>
  <r>
    <s v="TX501752"/>
    <x v="2"/>
    <x v="2"/>
    <n v="63.2"/>
    <n v="189.60000000000002"/>
    <x v="63"/>
    <d v="2025-03-06T00:00:00"/>
    <x v="2"/>
    <x v="0"/>
    <x v="2"/>
    <x v="0"/>
    <x v="8"/>
    <x v="3"/>
    <x v="9"/>
    <x v="2"/>
  </r>
  <r>
    <s v="TX501753"/>
    <x v="14"/>
    <x v="44"/>
    <n v="39.700000000000003"/>
    <n v="913.1"/>
    <x v="63"/>
    <d v="2025-03-06T00:00:00"/>
    <x v="1"/>
    <x v="0"/>
    <x v="0"/>
    <x v="0"/>
    <x v="8"/>
    <x v="3"/>
    <x v="9"/>
    <x v="1"/>
  </r>
  <r>
    <s v="TX501754"/>
    <x v="10"/>
    <x v="2"/>
    <n v="45.8"/>
    <n v="137.39999999999998"/>
    <x v="63"/>
    <d v="2025-03-06T00:00:00"/>
    <x v="2"/>
    <x v="1"/>
    <x v="2"/>
    <x v="0"/>
    <x v="8"/>
    <x v="3"/>
    <x v="9"/>
    <x v="2"/>
  </r>
  <r>
    <s v="TX501755"/>
    <x v="0"/>
    <x v="13"/>
    <n v="12.4"/>
    <n v="74.400000000000006"/>
    <x v="63"/>
    <d v="2025-03-08T00:00:00"/>
    <x v="1"/>
    <x v="0"/>
    <x v="0"/>
    <x v="0"/>
    <x v="8"/>
    <x v="2"/>
    <x v="9"/>
    <x v="1"/>
  </r>
  <r>
    <s v="TX501756"/>
    <x v="14"/>
    <x v="2"/>
    <n v="50.8"/>
    <n v="152.39999999999998"/>
    <x v="64"/>
    <d v="2025-03-06T00:00:00"/>
    <x v="2"/>
    <x v="4"/>
    <x v="0"/>
    <x v="0"/>
    <x v="17"/>
    <x v="7"/>
    <x v="9"/>
    <x v="2"/>
  </r>
  <r>
    <s v="TX501757"/>
    <x v="9"/>
    <x v="0"/>
    <n v="76"/>
    <n v="76"/>
    <x v="64"/>
    <d v="2025-03-10T00:00:00"/>
    <x v="3"/>
    <x v="2"/>
    <x v="2"/>
    <x v="0"/>
    <x v="17"/>
    <x v="5"/>
    <x v="9"/>
    <x v="3"/>
  </r>
  <r>
    <s v="TX501758"/>
    <x v="1"/>
    <x v="1"/>
    <n v="51.9"/>
    <n v="103.8"/>
    <x v="64"/>
    <d v="2025-03-07T00:00:00"/>
    <x v="1"/>
    <x v="1"/>
    <x v="2"/>
    <x v="0"/>
    <x v="26"/>
    <x v="3"/>
    <x v="9"/>
    <x v="1"/>
  </r>
  <r>
    <s v="TX501759"/>
    <x v="2"/>
    <x v="1"/>
    <n v="93.4"/>
    <n v="186.8"/>
    <x v="64"/>
    <d v="2025-03-13T00:00:00"/>
    <x v="1"/>
    <x v="0"/>
    <x v="3"/>
    <x v="0"/>
    <x v="11"/>
    <x v="6"/>
    <x v="9"/>
    <x v="1"/>
  </r>
  <r>
    <s v="TX501760"/>
    <x v="7"/>
    <x v="13"/>
    <n v="30.8"/>
    <n v="184.8"/>
    <x v="64"/>
    <d v="2025-03-09T00:00:00"/>
    <x v="2"/>
    <x v="1"/>
    <x v="0"/>
    <x v="0"/>
    <x v="11"/>
    <x v="2"/>
    <x v="9"/>
    <x v="2"/>
  </r>
  <r>
    <s v="TX501761"/>
    <x v="2"/>
    <x v="0"/>
    <n v="143.19999999999999"/>
    <n v="143.19999999999999"/>
    <x v="64"/>
    <d v="2025-03-09T00:00:00"/>
    <x v="1"/>
    <x v="2"/>
    <x v="0"/>
    <x v="0"/>
    <x v="11"/>
    <x v="2"/>
    <x v="9"/>
    <x v="1"/>
  </r>
  <r>
    <s v="TX501762"/>
    <x v="6"/>
    <x v="5"/>
    <n v="40.4"/>
    <n v="444.4"/>
    <x v="64"/>
    <d v="2025-03-08T00:00:00"/>
    <x v="1"/>
    <x v="2"/>
    <x v="2"/>
    <x v="0"/>
    <x v="18"/>
    <x v="1"/>
    <x v="9"/>
    <x v="1"/>
  </r>
  <r>
    <s v="TX501763"/>
    <x v="2"/>
    <x v="10"/>
    <n v="131.5"/>
    <n v="2498.5"/>
    <x v="64"/>
    <d v="2025-03-08T00:00:00"/>
    <x v="1"/>
    <x v="1"/>
    <x v="1"/>
    <x v="0"/>
    <x v="18"/>
    <x v="1"/>
    <x v="9"/>
    <x v="1"/>
  </r>
  <r>
    <s v="TX501764"/>
    <x v="18"/>
    <x v="3"/>
    <n v="61.6"/>
    <n v="431.2"/>
    <x v="64"/>
    <d v="2025-03-07T00:00:00"/>
    <x v="1"/>
    <x v="2"/>
    <x v="0"/>
    <x v="0"/>
    <x v="21"/>
    <x v="3"/>
    <x v="9"/>
    <x v="1"/>
  </r>
  <r>
    <s v="TX501765"/>
    <x v="9"/>
    <x v="9"/>
    <n v="32.700000000000003"/>
    <n v="163.5"/>
    <x v="64"/>
    <d v="2025-03-08T00:00:00"/>
    <x v="1"/>
    <x v="2"/>
    <x v="0"/>
    <x v="0"/>
    <x v="1"/>
    <x v="1"/>
    <x v="9"/>
    <x v="1"/>
  </r>
  <r>
    <s v="TX501766"/>
    <x v="0"/>
    <x v="7"/>
    <n v="13.7"/>
    <n v="137"/>
    <x v="64"/>
    <d v="2025-03-07T00:00:00"/>
    <x v="1"/>
    <x v="0"/>
    <x v="2"/>
    <x v="0"/>
    <x v="3"/>
    <x v="3"/>
    <x v="9"/>
    <x v="1"/>
  </r>
  <r>
    <s v="TX501767"/>
    <x v="0"/>
    <x v="12"/>
    <n v="32.1"/>
    <n v="128.4"/>
    <x v="64"/>
    <d v="2025-03-07T00:00:00"/>
    <x v="1"/>
    <x v="4"/>
    <x v="1"/>
    <x v="0"/>
    <x v="3"/>
    <x v="3"/>
    <x v="9"/>
    <x v="1"/>
  </r>
  <r>
    <s v="TX501768"/>
    <x v="14"/>
    <x v="8"/>
    <n v="12"/>
    <n v="96"/>
    <x v="64"/>
    <d v="2025-03-07T00:00:00"/>
    <x v="1"/>
    <x v="1"/>
    <x v="0"/>
    <x v="0"/>
    <x v="24"/>
    <x v="3"/>
    <x v="9"/>
    <x v="1"/>
  </r>
  <r>
    <s v="TX501769"/>
    <x v="12"/>
    <x v="0"/>
    <n v="64.3"/>
    <n v="64.3"/>
    <x v="64"/>
    <d v="2025-03-08T00:00:00"/>
    <x v="2"/>
    <x v="2"/>
    <x v="2"/>
    <x v="0"/>
    <x v="6"/>
    <x v="1"/>
    <x v="9"/>
    <x v="2"/>
  </r>
  <r>
    <s v="TX501770"/>
    <x v="1"/>
    <x v="2"/>
    <n v="58.2"/>
    <n v="174.60000000000002"/>
    <x v="64"/>
    <d v="2025-03-08T00:00:00"/>
    <x v="2"/>
    <x v="1"/>
    <x v="2"/>
    <x v="0"/>
    <x v="6"/>
    <x v="1"/>
    <x v="9"/>
    <x v="2"/>
  </r>
  <r>
    <s v="TX501771"/>
    <x v="6"/>
    <x v="12"/>
    <n v="59.2"/>
    <n v="236.8"/>
    <x v="64"/>
    <d v="2025-03-06T00:00:00"/>
    <x v="1"/>
    <x v="1"/>
    <x v="2"/>
    <x v="0"/>
    <x v="6"/>
    <x v="7"/>
    <x v="9"/>
    <x v="1"/>
  </r>
  <r>
    <s v="TX501772"/>
    <x v="10"/>
    <x v="5"/>
    <n v="35.6"/>
    <n v="391.6"/>
    <x v="64"/>
    <d v="2025-03-13T00:00:00"/>
    <x v="1"/>
    <x v="0"/>
    <x v="2"/>
    <x v="0"/>
    <x v="8"/>
    <x v="6"/>
    <x v="9"/>
    <x v="1"/>
  </r>
  <r>
    <s v="TX501773"/>
    <x v="16"/>
    <x v="8"/>
    <n v="37"/>
    <n v="296"/>
    <x v="64"/>
    <d v="2025-03-10T00:00:00"/>
    <x v="2"/>
    <x v="2"/>
    <x v="1"/>
    <x v="0"/>
    <x v="8"/>
    <x v="5"/>
    <x v="9"/>
    <x v="2"/>
  </r>
  <r>
    <s v="TX501774"/>
    <x v="1"/>
    <x v="15"/>
    <n v="80.8"/>
    <n v="1050.3999999999999"/>
    <x v="64"/>
    <d v="2025-03-08T00:00:00"/>
    <x v="2"/>
    <x v="0"/>
    <x v="0"/>
    <x v="0"/>
    <x v="8"/>
    <x v="1"/>
    <x v="9"/>
    <x v="2"/>
  </r>
  <r>
    <s v="TX501775"/>
    <x v="8"/>
    <x v="1"/>
    <n v="63.2"/>
    <n v="126.4"/>
    <x v="64"/>
    <d v="2025-03-07T00:00:00"/>
    <x v="1"/>
    <x v="0"/>
    <x v="1"/>
    <x v="0"/>
    <x v="8"/>
    <x v="3"/>
    <x v="9"/>
    <x v="1"/>
  </r>
  <r>
    <s v="TX501776"/>
    <x v="3"/>
    <x v="1"/>
    <n v="40.799999999999997"/>
    <n v="81.599999999999994"/>
    <x v="64"/>
    <d v="2025-03-08T00:00:00"/>
    <x v="1"/>
    <x v="0"/>
    <x v="1"/>
    <x v="0"/>
    <x v="17"/>
    <x v="1"/>
    <x v="9"/>
    <x v="1"/>
  </r>
  <r>
    <s v="TX501777"/>
    <x v="13"/>
    <x v="13"/>
    <n v="25.7"/>
    <n v="154.19999999999999"/>
    <x v="64"/>
    <d v="2025-03-08T00:00:00"/>
    <x v="1"/>
    <x v="4"/>
    <x v="0"/>
    <x v="0"/>
    <x v="18"/>
    <x v="1"/>
    <x v="9"/>
    <x v="1"/>
  </r>
  <r>
    <s v="TX501778"/>
    <x v="16"/>
    <x v="1"/>
    <n v="49.9"/>
    <n v="99.8"/>
    <x v="64"/>
    <d v="2025-03-09T00:00:00"/>
    <x v="1"/>
    <x v="0"/>
    <x v="0"/>
    <x v="0"/>
    <x v="20"/>
    <x v="2"/>
    <x v="9"/>
    <x v="1"/>
  </r>
  <r>
    <s v="TX501779"/>
    <x v="8"/>
    <x v="1"/>
    <n v="20.2"/>
    <n v="40.4"/>
    <x v="64"/>
    <d v="2025-03-08T00:00:00"/>
    <x v="2"/>
    <x v="3"/>
    <x v="0"/>
    <x v="0"/>
    <x v="21"/>
    <x v="1"/>
    <x v="9"/>
    <x v="2"/>
  </r>
  <r>
    <s v="TX501780"/>
    <x v="6"/>
    <x v="2"/>
    <n v="48.4"/>
    <n v="145.19999999999999"/>
    <x v="64"/>
    <d v="2025-03-11T00:00:00"/>
    <x v="2"/>
    <x v="0"/>
    <x v="2"/>
    <x v="0"/>
    <x v="21"/>
    <x v="0"/>
    <x v="9"/>
    <x v="2"/>
  </r>
  <r>
    <s v="TX501781"/>
    <x v="6"/>
    <x v="1"/>
    <n v="81"/>
    <n v="162"/>
    <x v="64"/>
    <d v="2025-03-07T00:00:00"/>
    <x v="2"/>
    <x v="1"/>
    <x v="2"/>
    <x v="0"/>
    <x v="21"/>
    <x v="3"/>
    <x v="9"/>
    <x v="2"/>
  </r>
  <r>
    <s v="TX501782"/>
    <x v="8"/>
    <x v="13"/>
    <n v="19.899999999999999"/>
    <n v="119.39999999999999"/>
    <x v="64"/>
    <d v="2025-03-09T00:00:00"/>
    <x v="2"/>
    <x v="0"/>
    <x v="1"/>
    <x v="0"/>
    <x v="22"/>
    <x v="2"/>
    <x v="9"/>
    <x v="2"/>
  </r>
  <r>
    <s v="TX501783"/>
    <x v="4"/>
    <x v="12"/>
    <n v="32.200000000000003"/>
    <n v="128.80000000000001"/>
    <x v="64"/>
    <d v="2025-03-16T00:00:00"/>
    <x v="1"/>
    <x v="0"/>
    <x v="0"/>
    <x v="0"/>
    <x v="22"/>
    <x v="14"/>
    <x v="9"/>
    <x v="1"/>
  </r>
  <r>
    <s v="TX501784"/>
    <x v="5"/>
    <x v="2"/>
    <n v="76.8"/>
    <n v="230.39999999999998"/>
    <x v="64"/>
    <d v="2025-03-07T00:00:00"/>
    <x v="2"/>
    <x v="0"/>
    <x v="1"/>
    <x v="0"/>
    <x v="3"/>
    <x v="3"/>
    <x v="9"/>
    <x v="2"/>
  </r>
  <r>
    <s v="TX501785"/>
    <x v="6"/>
    <x v="1"/>
    <n v="41.9"/>
    <n v="83.8"/>
    <x v="64"/>
    <d v="2025-03-08T00:00:00"/>
    <x v="2"/>
    <x v="0"/>
    <x v="0"/>
    <x v="0"/>
    <x v="3"/>
    <x v="1"/>
    <x v="9"/>
    <x v="2"/>
  </r>
  <r>
    <s v="TX501786"/>
    <x v="0"/>
    <x v="3"/>
    <n v="34"/>
    <n v="238"/>
    <x v="64"/>
    <d v="2025-03-08T00:00:00"/>
    <x v="2"/>
    <x v="1"/>
    <x v="2"/>
    <x v="0"/>
    <x v="3"/>
    <x v="1"/>
    <x v="9"/>
    <x v="2"/>
  </r>
  <r>
    <s v="TX501787"/>
    <x v="7"/>
    <x v="3"/>
    <n v="61.3"/>
    <n v="429.09999999999997"/>
    <x v="64"/>
    <d v="2025-03-06T00:00:00"/>
    <x v="2"/>
    <x v="4"/>
    <x v="2"/>
    <x v="0"/>
    <x v="3"/>
    <x v="7"/>
    <x v="9"/>
    <x v="2"/>
  </r>
  <r>
    <s v="TX501788"/>
    <x v="9"/>
    <x v="0"/>
    <n v="54.7"/>
    <n v="54.7"/>
    <x v="65"/>
    <d v="2025-03-08T00:00:00"/>
    <x v="1"/>
    <x v="0"/>
    <x v="1"/>
    <x v="0"/>
    <x v="3"/>
    <x v="3"/>
    <x v="9"/>
    <x v="1"/>
  </r>
  <r>
    <s v="TX501789"/>
    <x v="6"/>
    <x v="7"/>
    <n v="84.7"/>
    <n v="847"/>
    <x v="65"/>
    <d v="2025-03-11T00:00:00"/>
    <x v="2"/>
    <x v="0"/>
    <x v="0"/>
    <x v="0"/>
    <x v="3"/>
    <x v="5"/>
    <x v="9"/>
    <x v="2"/>
  </r>
  <r>
    <s v="TX501790"/>
    <x v="1"/>
    <x v="2"/>
    <n v="93.4"/>
    <n v="280.20000000000005"/>
    <x v="65"/>
    <d v="2025-03-11T00:00:00"/>
    <x v="2"/>
    <x v="3"/>
    <x v="0"/>
    <x v="0"/>
    <x v="3"/>
    <x v="5"/>
    <x v="9"/>
    <x v="2"/>
  </r>
  <r>
    <s v="TX501791"/>
    <x v="8"/>
    <x v="9"/>
    <n v="27"/>
    <n v="135"/>
    <x v="65"/>
    <d v="2025-03-10T00:00:00"/>
    <x v="1"/>
    <x v="0"/>
    <x v="1"/>
    <x v="0"/>
    <x v="3"/>
    <x v="2"/>
    <x v="9"/>
    <x v="1"/>
  </r>
  <r>
    <s v="TX501792"/>
    <x v="0"/>
    <x v="12"/>
    <n v="10.9"/>
    <n v="43.6"/>
    <x v="65"/>
    <d v="2025-03-08T00:00:00"/>
    <x v="1"/>
    <x v="2"/>
    <x v="0"/>
    <x v="0"/>
    <x v="3"/>
    <x v="3"/>
    <x v="9"/>
    <x v="1"/>
  </r>
  <r>
    <s v="TX501793"/>
    <x v="16"/>
    <x v="2"/>
    <n v="48"/>
    <n v="144"/>
    <x v="65"/>
    <d v="2025-03-12T00:00:00"/>
    <x v="2"/>
    <x v="4"/>
    <x v="0"/>
    <x v="0"/>
    <x v="3"/>
    <x v="0"/>
    <x v="9"/>
    <x v="2"/>
  </r>
  <r>
    <s v="TX501794"/>
    <x v="5"/>
    <x v="1"/>
    <n v="67.900000000000006"/>
    <n v="135.80000000000001"/>
    <x v="65"/>
    <d v="2025-03-08T00:00:00"/>
    <x v="1"/>
    <x v="0"/>
    <x v="2"/>
    <x v="0"/>
    <x v="23"/>
    <x v="3"/>
    <x v="9"/>
    <x v="1"/>
  </r>
  <r>
    <s v="TX501795"/>
    <x v="4"/>
    <x v="2"/>
    <n v="36"/>
    <n v="108"/>
    <x v="65"/>
    <d v="2025-03-08T00:00:00"/>
    <x v="1"/>
    <x v="1"/>
    <x v="0"/>
    <x v="0"/>
    <x v="6"/>
    <x v="3"/>
    <x v="9"/>
    <x v="1"/>
  </r>
  <r>
    <s v="TX501796"/>
    <x v="2"/>
    <x v="0"/>
    <n v="128.80000000000001"/>
    <n v="128.80000000000001"/>
    <x v="65"/>
    <d v="2025-03-08T00:00:00"/>
    <x v="1"/>
    <x v="4"/>
    <x v="2"/>
    <x v="0"/>
    <x v="6"/>
    <x v="3"/>
    <x v="9"/>
    <x v="1"/>
  </r>
  <r>
    <s v="TX501797"/>
    <x v="18"/>
    <x v="3"/>
    <n v="33.299999999999997"/>
    <n v="233.09999999999997"/>
    <x v="65"/>
    <d v="2025-03-08T00:00:00"/>
    <x v="2"/>
    <x v="3"/>
    <x v="0"/>
    <x v="0"/>
    <x v="8"/>
    <x v="3"/>
    <x v="9"/>
    <x v="2"/>
  </r>
  <r>
    <s v="TX501798"/>
    <x v="10"/>
    <x v="2"/>
    <n v="37.799999999999997"/>
    <n v="113.39999999999999"/>
    <x v="65"/>
    <d v="2025-03-09T00:00:00"/>
    <x v="1"/>
    <x v="1"/>
    <x v="2"/>
    <x v="0"/>
    <x v="8"/>
    <x v="1"/>
    <x v="9"/>
    <x v="1"/>
  </r>
  <r>
    <s v="TX501799"/>
    <x v="5"/>
    <x v="2"/>
    <n v="26"/>
    <n v="78"/>
    <x v="65"/>
    <d v="2025-03-12T00:00:00"/>
    <x v="2"/>
    <x v="0"/>
    <x v="0"/>
    <x v="0"/>
    <x v="8"/>
    <x v="0"/>
    <x v="9"/>
    <x v="2"/>
  </r>
  <r>
    <s v="TX501800"/>
    <x v="8"/>
    <x v="10"/>
    <n v="28.3"/>
    <n v="537.70000000000005"/>
    <x v="65"/>
    <d v="2025-03-08T00:00:00"/>
    <x v="2"/>
    <x v="3"/>
    <x v="4"/>
    <x v="0"/>
    <x v="8"/>
    <x v="3"/>
    <x v="9"/>
    <x v="2"/>
  </r>
  <r>
    <s v="TX501801"/>
    <x v="8"/>
    <x v="12"/>
    <n v="31.3"/>
    <n v="125.2"/>
    <x v="65"/>
    <d v="2025-03-07T00:00:00"/>
    <x v="2"/>
    <x v="0"/>
    <x v="0"/>
    <x v="0"/>
    <x v="8"/>
    <x v="7"/>
    <x v="9"/>
    <x v="2"/>
  </r>
  <r>
    <s v="TX501802"/>
    <x v="7"/>
    <x v="2"/>
    <n v="69.5"/>
    <n v="208.5"/>
    <x v="65"/>
    <d v="2025-03-08T00:00:00"/>
    <x v="2"/>
    <x v="3"/>
    <x v="2"/>
    <x v="0"/>
    <x v="8"/>
    <x v="3"/>
    <x v="9"/>
    <x v="2"/>
  </r>
  <r>
    <s v="TX501803"/>
    <x v="0"/>
    <x v="1"/>
    <n v="16.7"/>
    <n v="33.4"/>
    <x v="65"/>
    <d v="2025-03-08T00:00:00"/>
    <x v="2"/>
    <x v="3"/>
    <x v="1"/>
    <x v="0"/>
    <x v="8"/>
    <x v="3"/>
    <x v="9"/>
    <x v="2"/>
  </r>
  <r>
    <s v="TX501804"/>
    <x v="9"/>
    <x v="1"/>
    <n v="62.6"/>
    <n v="125.2"/>
    <x v="65"/>
    <d v="2025-03-08T00:00:00"/>
    <x v="1"/>
    <x v="2"/>
    <x v="2"/>
    <x v="0"/>
    <x v="9"/>
    <x v="3"/>
    <x v="9"/>
    <x v="1"/>
  </r>
  <r>
    <s v="TX501805"/>
    <x v="7"/>
    <x v="0"/>
    <n v="81.2"/>
    <n v="81.2"/>
    <x v="65"/>
    <d v="2025-03-13T00:00:00"/>
    <x v="1"/>
    <x v="4"/>
    <x v="4"/>
    <x v="0"/>
    <x v="9"/>
    <x v="4"/>
    <x v="9"/>
    <x v="1"/>
  </r>
  <r>
    <s v="TX501806"/>
    <x v="0"/>
    <x v="7"/>
    <n v="12.7"/>
    <n v="127"/>
    <x v="65"/>
    <d v="2025-03-08T00:00:00"/>
    <x v="2"/>
    <x v="0"/>
    <x v="2"/>
    <x v="0"/>
    <x v="9"/>
    <x v="3"/>
    <x v="9"/>
    <x v="2"/>
  </r>
  <r>
    <s v="TX501807"/>
    <x v="7"/>
    <x v="12"/>
    <n v="77.7"/>
    <n v="310.8"/>
    <x v="66"/>
    <d v="2025-03-12T00:00:00"/>
    <x v="1"/>
    <x v="1"/>
    <x v="0"/>
    <x v="0"/>
    <x v="11"/>
    <x v="5"/>
    <x v="9"/>
    <x v="1"/>
  </r>
  <r>
    <s v="TX501808"/>
    <x v="5"/>
    <x v="1"/>
    <n v="37.299999999999997"/>
    <n v="74.599999999999994"/>
    <x v="66"/>
    <d v="2025-03-09T00:00:00"/>
    <x v="2"/>
    <x v="0"/>
    <x v="2"/>
    <x v="0"/>
    <x v="18"/>
    <x v="3"/>
    <x v="9"/>
    <x v="2"/>
  </r>
  <r>
    <s v="TX501809"/>
    <x v="10"/>
    <x v="12"/>
    <n v="35.6"/>
    <n v="142.4"/>
    <x v="66"/>
    <d v="2025-03-10T00:00:00"/>
    <x v="2"/>
    <x v="1"/>
    <x v="1"/>
    <x v="0"/>
    <x v="19"/>
    <x v="1"/>
    <x v="9"/>
    <x v="2"/>
  </r>
  <r>
    <s v="TX501810"/>
    <x v="2"/>
    <x v="2"/>
    <n v="95"/>
    <n v="285"/>
    <x v="66"/>
    <d v="2025-03-12T00:00:00"/>
    <x v="2"/>
    <x v="2"/>
    <x v="2"/>
    <x v="0"/>
    <x v="56"/>
    <x v="5"/>
    <x v="9"/>
    <x v="2"/>
  </r>
  <r>
    <s v="TX501811"/>
    <x v="2"/>
    <x v="12"/>
    <n v="172.1"/>
    <n v="688.4"/>
    <x v="66"/>
    <d v="2025-03-12T00:00:00"/>
    <x v="3"/>
    <x v="2"/>
    <x v="2"/>
    <x v="0"/>
    <x v="21"/>
    <x v="5"/>
    <x v="9"/>
    <x v="3"/>
  </r>
  <r>
    <s v="TX501812"/>
    <x v="2"/>
    <x v="1"/>
    <n v="233"/>
    <n v="466"/>
    <x v="66"/>
    <d v="2025-03-11T00:00:00"/>
    <x v="2"/>
    <x v="1"/>
    <x v="0"/>
    <x v="0"/>
    <x v="21"/>
    <x v="2"/>
    <x v="9"/>
    <x v="2"/>
  </r>
  <r>
    <s v="TX501813"/>
    <x v="0"/>
    <x v="0"/>
    <n v="43.5"/>
    <n v="43.5"/>
    <x v="66"/>
    <d v="2025-03-09T00:00:00"/>
    <x v="2"/>
    <x v="2"/>
    <x v="2"/>
    <x v="0"/>
    <x v="21"/>
    <x v="3"/>
    <x v="9"/>
    <x v="2"/>
  </r>
  <r>
    <s v="TX501814"/>
    <x v="9"/>
    <x v="1"/>
    <n v="47.8"/>
    <n v="95.6"/>
    <x v="66"/>
    <d v="2025-03-11T00:00:00"/>
    <x v="1"/>
    <x v="4"/>
    <x v="2"/>
    <x v="0"/>
    <x v="1"/>
    <x v="2"/>
    <x v="9"/>
    <x v="1"/>
  </r>
  <r>
    <s v="TX501815"/>
    <x v="12"/>
    <x v="1"/>
    <n v="65.8"/>
    <n v="131.6"/>
    <x v="66"/>
    <d v="2025-03-10T00:00:00"/>
    <x v="2"/>
    <x v="0"/>
    <x v="3"/>
    <x v="0"/>
    <x v="33"/>
    <x v="1"/>
    <x v="9"/>
    <x v="2"/>
  </r>
  <r>
    <s v="TX501816"/>
    <x v="15"/>
    <x v="5"/>
    <n v="38.700000000000003"/>
    <n v="425.70000000000005"/>
    <x v="66"/>
    <d v="2025-03-08T00:00:00"/>
    <x v="1"/>
    <x v="0"/>
    <x v="0"/>
    <x v="0"/>
    <x v="22"/>
    <x v="7"/>
    <x v="9"/>
    <x v="1"/>
  </r>
  <r>
    <s v="TX501817"/>
    <x v="3"/>
    <x v="12"/>
    <n v="55.7"/>
    <n v="222.8"/>
    <x v="66"/>
    <d v="2025-03-10T00:00:00"/>
    <x v="3"/>
    <x v="0"/>
    <x v="1"/>
    <x v="0"/>
    <x v="22"/>
    <x v="1"/>
    <x v="9"/>
    <x v="3"/>
  </r>
  <r>
    <s v="TX501818"/>
    <x v="7"/>
    <x v="1"/>
    <n v="102.4"/>
    <n v="204.8"/>
    <x v="66"/>
    <d v="2025-03-08T00:00:00"/>
    <x v="2"/>
    <x v="1"/>
    <x v="0"/>
    <x v="0"/>
    <x v="3"/>
    <x v="7"/>
    <x v="9"/>
    <x v="2"/>
  </r>
  <r>
    <s v="TX501819"/>
    <x v="1"/>
    <x v="0"/>
    <n v="92"/>
    <n v="92"/>
    <x v="66"/>
    <d v="2025-03-12T00:00:00"/>
    <x v="0"/>
    <x v="2"/>
    <x v="0"/>
    <x v="0"/>
    <x v="3"/>
    <x v="5"/>
    <x v="9"/>
    <x v="0"/>
  </r>
  <r>
    <s v="TX501820"/>
    <x v="6"/>
    <x v="12"/>
    <n v="75.900000000000006"/>
    <n v="303.60000000000002"/>
    <x v="66"/>
    <d v="2025-03-10T00:00:00"/>
    <x v="2"/>
    <x v="1"/>
    <x v="0"/>
    <x v="0"/>
    <x v="3"/>
    <x v="1"/>
    <x v="9"/>
    <x v="2"/>
  </r>
  <r>
    <s v="TX501821"/>
    <x v="1"/>
    <x v="12"/>
    <n v="36.200000000000003"/>
    <n v="144.80000000000001"/>
    <x v="66"/>
    <d v="2025-03-09T00:00:00"/>
    <x v="2"/>
    <x v="1"/>
    <x v="0"/>
    <x v="0"/>
    <x v="3"/>
    <x v="3"/>
    <x v="9"/>
    <x v="2"/>
  </r>
  <r>
    <s v="TX501822"/>
    <x v="6"/>
    <x v="45"/>
    <n v="83.5"/>
    <n v="7264.5"/>
    <x v="66"/>
    <d v="2025-03-10T00:00:00"/>
    <x v="0"/>
    <x v="3"/>
    <x v="0"/>
    <x v="0"/>
    <x v="3"/>
    <x v="1"/>
    <x v="9"/>
    <x v="0"/>
  </r>
  <r>
    <s v="TX501823"/>
    <x v="19"/>
    <x v="4"/>
    <n v="52.4"/>
    <n v="628.79999999999995"/>
    <x v="66"/>
    <d v="2025-03-08T00:00:00"/>
    <x v="1"/>
    <x v="2"/>
    <x v="0"/>
    <x v="0"/>
    <x v="3"/>
    <x v="7"/>
    <x v="9"/>
    <x v="1"/>
  </r>
  <r>
    <s v="TX501824"/>
    <x v="12"/>
    <x v="2"/>
    <n v="69.5"/>
    <n v="208.5"/>
    <x v="66"/>
    <d v="2025-03-09T00:00:00"/>
    <x v="3"/>
    <x v="4"/>
    <x v="0"/>
    <x v="0"/>
    <x v="3"/>
    <x v="3"/>
    <x v="9"/>
    <x v="3"/>
  </r>
  <r>
    <s v="TX501825"/>
    <x v="0"/>
    <x v="0"/>
    <n v="15.5"/>
    <n v="15.5"/>
    <x v="66"/>
    <d v="2025-03-10T00:00:00"/>
    <x v="1"/>
    <x v="0"/>
    <x v="0"/>
    <x v="0"/>
    <x v="3"/>
    <x v="1"/>
    <x v="9"/>
    <x v="1"/>
  </r>
  <r>
    <s v="TX501826"/>
    <x v="4"/>
    <x v="12"/>
    <n v="35.200000000000003"/>
    <n v="140.80000000000001"/>
    <x v="66"/>
    <d v="2025-03-09T00:00:00"/>
    <x v="2"/>
    <x v="2"/>
    <x v="2"/>
    <x v="0"/>
    <x v="3"/>
    <x v="3"/>
    <x v="9"/>
    <x v="2"/>
  </r>
  <r>
    <s v="TX501827"/>
    <x v="8"/>
    <x v="13"/>
    <n v="34.6"/>
    <n v="207.60000000000002"/>
    <x v="66"/>
    <d v="2025-03-09T00:00:00"/>
    <x v="0"/>
    <x v="0"/>
    <x v="1"/>
    <x v="0"/>
    <x v="3"/>
    <x v="3"/>
    <x v="9"/>
    <x v="0"/>
  </r>
  <r>
    <s v="TX501828"/>
    <x v="4"/>
    <x v="0"/>
    <n v="21.3"/>
    <n v="21.3"/>
    <x v="67"/>
    <d v="2025-03-10T00:00:00"/>
    <x v="1"/>
    <x v="2"/>
    <x v="1"/>
    <x v="0"/>
    <x v="3"/>
    <x v="3"/>
    <x v="10"/>
    <x v="1"/>
  </r>
  <r>
    <s v="TX501829"/>
    <x v="6"/>
    <x v="1"/>
    <n v="136.5"/>
    <n v="273"/>
    <x v="67"/>
    <d v="2025-03-15T00:00:00"/>
    <x v="2"/>
    <x v="0"/>
    <x v="0"/>
    <x v="0"/>
    <x v="37"/>
    <x v="4"/>
    <x v="10"/>
    <x v="2"/>
  </r>
  <r>
    <s v="TX501830"/>
    <x v="9"/>
    <x v="3"/>
    <n v="30.7"/>
    <n v="214.9"/>
    <x v="67"/>
    <d v="2025-03-10T00:00:00"/>
    <x v="1"/>
    <x v="2"/>
    <x v="2"/>
    <x v="0"/>
    <x v="25"/>
    <x v="3"/>
    <x v="10"/>
    <x v="1"/>
  </r>
  <r>
    <s v="TX501831"/>
    <x v="1"/>
    <x v="1"/>
    <n v="61.6"/>
    <n v="123.2"/>
    <x v="67"/>
    <d v="2025-03-10T00:00:00"/>
    <x v="2"/>
    <x v="2"/>
    <x v="2"/>
    <x v="0"/>
    <x v="23"/>
    <x v="3"/>
    <x v="10"/>
    <x v="2"/>
  </r>
  <r>
    <s v="TX501832"/>
    <x v="6"/>
    <x v="12"/>
    <n v="54.3"/>
    <n v="217.2"/>
    <x v="67"/>
    <d v="2025-03-11T00:00:00"/>
    <x v="0"/>
    <x v="4"/>
    <x v="0"/>
    <x v="0"/>
    <x v="7"/>
    <x v="1"/>
    <x v="10"/>
    <x v="0"/>
  </r>
  <r>
    <s v="TX501833"/>
    <x v="1"/>
    <x v="1"/>
    <n v="44.1"/>
    <n v="88.2"/>
    <x v="67"/>
    <d v="2025-03-21T00:00:00"/>
    <x v="2"/>
    <x v="0"/>
    <x v="2"/>
    <x v="0"/>
    <x v="8"/>
    <x v="13"/>
    <x v="10"/>
    <x v="2"/>
  </r>
  <r>
    <s v="TX501834"/>
    <x v="8"/>
    <x v="12"/>
    <n v="43.5"/>
    <n v="174"/>
    <x v="67"/>
    <d v="2025-03-15T00:00:00"/>
    <x v="1"/>
    <x v="3"/>
    <x v="0"/>
    <x v="0"/>
    <x v="8"/>
    <x v="4"/>
    <x v="10"/>
    <x v="1"/>
  </r>
  <r>
    <s v="TX501835"/>
    <x v="8"/>
    <x v="2"/>
    <n v="48.2"/>
    <n v="144.60000000000002"/>
    <x v="67"/>
    <d v="2025-03-13T00:00:00"/>
    <x v="1"/>
    <x v="3"/>
    <x v="1"/>
    <x v="0"/>
    <x v="8"/>
    <x v="5"/>
    <x v="10"/>
    <x v="1"/>
  </r>
  <r>
    <s v="TX501836"/>
    <x v="19"/>
    <x v="0"/>
    <n v="13.7"/>
    <n v="13.7"/>
    <x v="67"/>
    <d v="2025-03-10T00:00:00"/>
    <x v="2"/>
    <x v="2"/>
    <x v="2"/>
    <x v="0"/>
    <x v="8"/>
    <x v="3"/>
    <x v="10"/>
    <x v="2"/>
  </r>
  <r>
    <s v="TX501837"/>
    <x v="2"/>
    <x v="1"/>
    <n v="110.5"/>
    <n v="221"/>
    <x v="67"/>
    <d v="2025-03-10T00:00:00"/>
    <x v="2"/>
    <x v="0"/>
    <x v="1"/>
    <x v="0"/>
    <x v="8"/>
    <x v="3"/>
    <x v="10"/>
    <x v="2"/>
  </r>
  <r>
    <s v="TX501838"/>
    <x v="8"/>
    <x v="2"/>
    <n v="26"/>
    <n v="78"/>
    <x v="67"/>
    <d v="2025-03-14T00:00:00"/>
    <x v="2"/>
    <x v="1"/>
    <x v="1"/>
    <x v="0"/>
    <x v="8"/>
    <x v="0"/>
    <x v="10"/>
    <x v="2"/>
  </r>
  <r>
    <s v="TX501839"/>
    <x v="2"/>
    <x v="7"/>
    <n v="140.69999999999999"/>
    <n v="1407"/>
    <x v="67"/>
    <d v="2025-03-15T00:00:00"/>
    <x v="1"/>
    <x v="3"/>
    <x v="1"/>
    <x v="0"/>
    <x v="8"/>
    <x v="4"/>
    <x v="10"/>
    <x v="1"/>
  </r>
  <r>
    <s v="TX501840"/>
    <x v="17"/>
    <x v="1"/>
    <n v="41.7"/>
    <n v="83.4"/>
    <x v="67"/>
    <d v="2025-03-17T00:00:00"/>
    <x v="2"/>
    <x v="0"/>
    <x v="4"/>
    <x v="0"/>
    <x v="8"/>
    <x v="9"/>
    <x v="10"/>
    <x v="2"/>
  </r>
  <r>
    <s v="TX501841"/>
    <x v="2"/>
    <x v="1"/>
    <n v="135.1"/>
    <n v="270.2"/>
    <x v="67"/>
    <d v="2025-03-10T00:00:00"/>
    <x v="1"/>
    <x v="0"/>
    <x v="2"/>
    <x v="0"/>
    <x v="17"/>
    <x v="3"/>
    <x v="10"/>
    <x v="1"/>
  </r>
  <r>
    <s v="TX501842"/>
    <x v="12"/>
    <x v="32"/>
    <n v="95.5"/>
    <n v="2101"/>
    <x v="67"/>
    <d v="2025-03-10T00:00:00"/>
    <x v="2"/>
    <x v="4"/>
    <x v="4"/>
    <x v="0"/>
    <x v="26"/>
    <x v="3"/>
    <x v="10"/>
    <x v="2"/>
  </r>
  <r>
    <s v="TX501843"/>
    <x v="15"/>
    <x v="0"/>
    <n v="25.5"/>
    <n v="25.5"/>
    <x v="67"/>
    <d v="2025-03-12T00:00:00"/>
    <x v="0"/>
    <x v="2"/>
    <x v="2"/>
    <x v="0"/>
    <x v="11"/>
    <x v="2"/>
    <x v="10"/>
    <x v="0"/>
  </r>
  <r>
    <s v="TX501844"/>
    <x v="1"/>
    <x v="0"/>
    <n v="42.6"/>
    <n v="42.6"/>
    <x v="67"/>
    <d v="2025-03-13T00:00:00"/>
    <x v="2"/>
    <x v="0"/>
    <x v="0"/>
    <x v="0"/>
    <x v="11"/>
    <x v="5"/>
    <x v="10"/>
    <x v="2"/>
  </r>
  <r>
    <s v="TX501845"/>
    <x v="8"/>
    <x v="20"/>
    <n v="32.4"/>
    <n v="486"/>
    <x v="67"/>
    <d v="2025-03-10T00:00:00"/>
    <x v="1"/>
    <x v="1"/>
    <x v="1"/>
    <x v="0"/>
    <x v="11"/>
    <x v="3"/>
    <x v="10"/>
    <x v="1"/>
  </r>
  <r>
    <s v="TX501846"/>
    <x v="4"/>
    <x v="12"/>
    <n v="20.2"/>
    <n v="80.8"/>
    <x v="67"/>
    <d v="2025-03-10T00:00:00"/>
    <x v="3"/>
    <x v="2"/>
    <x v="0"/>
    <x v="0"/>
    <x v="11"/>
    <x v="3"/>
    <x v="10"/>
    <x v="3"/>
  </r>
  <r>
    <s v="TX501847"/>
    <x v="16"/>
    <x v="2"/>
    <n v="52.5"/>
    <n v="157.5"/>
    <x v="67"/>
    <d v="2025-03-14T00:00:00"/>
    <x v="2"/>
    <x v="4"/>
    <x v="0"/>
    <x v="0"/>
    <x v="18"/>
    <x v="0"/>
    <x v="10"/>
    <x v="2"/>
  </r>
  <r>
    <s v="TX501848"/>
    <x v="2"/>
    <x v="9"/>
    <n v="59.9"/>
    <n v="299.5"/>
    <x v="67"/>
    <d v="2025-03-11T00:00:00"/>
    <x v="2"/>
    <x v="2"/>
    <x v="0"/>
    <x v="0"/>
    <x v="19"/>
    <x v="1"/>
    <x v="10"/>
    <x v="2"/>
  </r>
  <r>
    <s v="TX501849"/>
    <x v="4"/>
    <x v="1"/>
    <n v="53.2"/>
    <n v="106.4"/>
    <x v="67"/>
    <d v="2025-03-10T00:00:00"/>
    <x v="2"/>
    <x v="1"/>
    <x v="3"/>
    <x v="0"/>
    <x v="20"/>
    <x v="3"/>
    <x v="10"/>
    <x v="2"/>
  </r>
  <r>
    <s v="TX501850"/>
    <x v="2"/>
    <x v="1"/>
    <n v="60"/>
    <n v="120"/>
    <x v="67"/>
    <d v="2025-03-15T00:00:00"/>
    <x v="1"/>
    <x v="1"/>
    <x v="2"/>
    <x v="0"/>
    <x v="20"/>
    <x v="4"/>
    <x v="10"/>
    <x v="1"/>
  </r>
  <r>
    <s v="TX501851"/>
    <x v="8"/>
    <x v="2"/>
    <n v="29.3"/>
    <n v="87.9"/>
    <x v="67"/>
    <d v="2025-03-10T00:00:00"/>
    <x v="2"/>
    <x v="4"/>
    <x v="0"/>
    <x v="0"/>
    <x v="13"/>
    <x v="3"/>
    <x v="10"/>
    <x v="2"/>
  </r>
  <r>
    <s v="TX501852"/>
    <x v="12"/>
    <x v="1"/>
    <n v="55.4"/>
    <n v="110.8"/>
    <x v="67"/>
    <d v="2025-03-10T00:00:00"/>
    <x v="2"/>
    <x v="0"/>
    <x v="2"/>
    <x v="0"/>
    <x v="21"/>
    <x v="3"/>
    <x v="10"/>
    <x v="2"/>
  </r>
  <r>
    <s v="TX501853"/>
    <x v="0"/>
    <x v="9"/>
    <n v="20.100000000000001"/>
    <n v="100.5"/>
    <x v="67"/>
    <d v="2025-03-11T00:00:00"/>
    <x v="2"/>
    <x v="1"/>
    <x v="2"/>
    <x v="0"/>
    <x v="21"/>
    <x v="1"/>
    <x v="10"/>
    <x v="2"/>
  </r>
  <r>
    <s v="TX501854"/>
    <x v="14"/>
    <x v="9"/>
    <n v="24"/>
    <n v="120"/>
    <x v="67"/>
    <d v="2025-03-12T00:00:00"/>
    <x v="1"/>
    <x v="2"/>
    <x v="0"/>
    <x v="0"/>
    <x v="1"/>
    <x v="2"/>
    <x v="10"/>
    <x v="1"/>
  </r>
  <r>
    <s v="TX501855"/>
    <x v="8"/>
    <x v="1"/>
    <n v="30.6"/>
    <n v="61.2"/>
    <x v="68"/>
    <d v="2025-03-12T00:00:00"/>
    <x v="2"/>
    <x v="0"/>
    <x v="0"/>
    <x v="0"/>
    <x v="1"/>
    <x v="1"/>
    <x v="10"/>
    <x v="2"/>
  </r>
  <r>
    <s v="TX501856"/>
    <x v="10"/>
    <x v="9"/>
    <n v="33"/>
    <n v="165"/>
    <x v="68"/>
    <d v="2025-03-11T00:00:00"/>
    <x v="1"/>
    <x v="1"/>
    <x v="1"/>
    <x v="0"/>
    <x v="27"/>
    <x v="3"/>
    <x v="10"/>
    <x v="1"/>
  </r>
  <r>
    <s v="TX501857"/>
    <x v="17"/>
    <x v="11"/>
    <n v="42.1"/>
    <n v="378.90000000000003"/>
    <x v="68"/>
    <d v="2025-03-16T00:00:00"/>
    <x v="2"/>
    <x v="2"/>
    <x v="0"/>
    <x v="0"/>
    <x v="44"/>
    <x v="4"/>
    <x v="10"/>
    <x v="2"/>
  </r>
  <r>
    <s v="TX501858"/>
    <x v="6"/>
    <x v="3"/>
    <n v="77.7"/>
    <n v="543.9"/>
    <x v="68"/>
    <d v="2025-03-15T00:00:00"/>
    <x v="2"/>
    <x v="1"/>
    <x v="2"/>
    <x v="0"/>
    <x v="50"/>
    <x v="0"/>
    <x v="10"/>
    <x v="2"/>
  </r>
  <r>
    <s v="TX501859"/>
    <x v="17"/>
    <x v="13"/>
    <n v="22.7"/>
    <n v="136.19999999999999"/>
    <x v="68"/>
    <d v="2025-03-13T00:00:00"/>
    <x v="2"/>
    <x v="2"/>
    <x v="0"/>
    <x v="0"/>
    <x v="3"/>
    <x v="2"/>
    <x v="10"/>
    <x v="2"/>
  </r>
  <r>
    <s v="TX501860"/>
    <x v="2"/>
    <x v="1"/>
    <n v="133"/>
    <n v="266"/>
    <x v="68"/>
    <d v="2025-03-10T00:00:00"/>
    <x v="1"/>
    <x v="2"/>
    <x v="2"/>
    <x v="0"/>
    <x v="3"/>
    <x v="7"/>
    <x v="10"/>
    <x v="1"/>
  </r>
  <r>
    <s v="TX501861"/>
    <x v="0"/>
    <x v="1"/>
    <n v="23.3"/>
    <n v="46.6"/>
    <x v="68"/>
    <d v="2025-03-11T00:00:00"/>
    <x v="1"/>
    <x v="1"/>
    <x v="2"/>
    <x v="0"/>
    <x v="3"/>
    <x v="3"/>
    <x v="10"/>
    <x v="1"/>
  </r>
  <r>
    <s v="TX501862"/>
    <x v="8"/>
    <x v="2"/>
    <n v="20.7"/>
    <n v="62.099999999999994"/>
    <x v="68"/>
    <d v="2025-03-12T00:00:00"/>
    <x v="3"/>
    <x v="0"/>
    <x v="2"/>
    <x v="0"/>
    <x v="3"/>
    <x v="1"/>
    <x v="10"/>
    <x v="3"/>
  </r>
  <r>
    <s v="TX501863"/>
    <x v="12"/>
    <x v="1"/>
    <n v="47"/>
    <n v="94"/>
    <x v="68"/>
    <d v="2025-03-11T00:00:00"/>
    <x v="1"/>
    <x v="1"/>
    <x v="2"/>
    <x v="0"/>
    <x v="3"/>
    <x v="3"/>
    <x v="10"/>
    <x v="1"/>
  </r>
  <r>
    <s v="TX501864"/>
    <x v="12"/>
    <x v="2"/>
    <n v="38.200000000000003"/>
    <n v="114.60000000000001"/>
    <x v="68"/>
    <d v="2025-03-12T00:00:00"/>
    <x v="2"/>
    <x v="2"/>
    <x v="4"/>
    <x v="0"/>
    <x v="3"/>
    <x v="1"/>
    <x v="10"/>
    <x v="2"/>
  </r>
  <r>
    <s v="TX501865"/>
    <x v="9"/>
    <x v="0"/>
    <n v="39.1"/>
    <n v="39.1"/>
    <x v="68"/>
    <d v="2025-03-12T00:00:00"/>
    <x v="2"/>
    <x v="0"/>
    <x v="0"/>
    <x v="0"/>
    <x v="3"/>
    <x v="1"/>
    <x v="10"/>
    <x v="2"/>
  </r>
  <r>
    <s v="TX501866"/>
    <x v="7"/>
    <x v="30"/>
    <n v="55.6"/>
    <n v="1390"/>
    <x v="68"/>
    <d v="2025-03-12T00:00:00"/>
    <x v="1"/>
    <x v="0"/>
    <x v="2"/>
    <x v="0"/>
    <x v="3"/>
    <x v="1"/>
    <x v="10"/>
    <x v="1"/>
  </r>
  <r>
    <s v="TX501867"/>
    <x v="15"/>
    <x v="0"/>
    <n v="43.1"/>
    <n v="43.1"/>
    <x v="68"/>
    <d v="2025-03-10T00:00:00"/>
    <x v="3"/>
    <x v="1"/>
    <x v="2"/>
    <x v="0"/>
    <x v="3"/>
    <x v="7"/>
    <x v="10"/>
    <x v="3"/>
  </r>
  <r>
    <s v="TX501868"/>
    <x v="6"/>
    <x v="12"/>
    <n v="48.1"/>
    <n v="192.4"/>
    <x v="68"/>
    <d v="2025-03-11T00:00:00"/>
    <x v="2"/>
    <x v="4"/>
    <x v="2"/>
    <x v="0"/>
    <x v="3"/>
    <x v="3"/>
    <x v="10"/>
    <x v="2"/>
  </r>
  <r>
    <s v="TX501869"/>
    <x v="4"/>
    <x v="0"/>
    <n v="42"/>
    <n v="42"/>
    <x v="68"/>
    <d v="2025-03-11T00:00:00"/>
    <x v="3"/>
    <x v="0"/>
    <x v="0"/>
    <x v="0"/>
    <x v="3"/>
    <x v="3"/>
    <x v="10"/>
    <x v="3"/>
  </r>
  <r>
    <s v="TX501870"/>
    <x v="8"/>
    <x v="9"/>
    <n v="18.3"/>
    <n v="91.5"/>
    <x v="68"/>
    <d v="2025-03-10T00:00:00"/>
    <x v="2"/>
    <x v="2"/>
    <x v="0"/>
    <x v="0"/>
    <x v="3"/>
    <x v="7"/>
    <x v="10"/>
    <x v="2"/>
  </r>
  <r>
    <s v="TX501871"/>
    <x v="10"/>
    <x v="12"/>
    <n v="45.3"/>
    <n v="181.2"/>
    <x v="68"/>
    <d v="2025-03-13T00:00:00"/>
    <x v="2"/>
    <x v="0"/>
    <x v="2"/>
    <x v="0"/>
    <x v="3"/>
    <x v="2"/>
    <x v="10"/>
    <x v="2"/>
  </r>
  <r>
    <s v="TX501872"/>
    <x v="0"/>
    <x v="1"/>
    <n v="27.6"/>
    <n v="55.2"/>
    <x v="68"/>
    <d v="2025-03-12T00:00:00"/>
    <x v="1"/>
    <x v="0"/>
    <x v="2"/>
    <x v="0"/>
    <x v="37"/>
    <x v="1"/>
    <x v="10"/>
    <x v="1"/>
  </r>
  <r>
    <s v="TX501873"/>
    <x v="4"/>
    <x v="9"/>
    <n v="26.9"/>
    <n v="134.5"/>
    <x v="68"/>
    <d v="2025-03-11T00:00:00"/>
    <x v="2"/>
    <x v="2"/>
    <x v="0"/>
    <x v="0"/>
    <x v="25"/>
    <x v="3"/>
    <x v="10"/>
    <x v="2"/>
  </r>
  <r>
    <s v="TX501874"/>
    <x v="2"/>
    <x v="11"/>
    <n v="82.4"/>
    <n v="741.6"/>
    <x v="68"/>
    <d v="2025-03-12T00:00:00"/>
    <x v="3"/>
    <x v="2"/>
    <x v="0"/>
    <x v="0"/>
    <x v="5"/>
    <x v="1"/>
    <x v="10"/>
    <x v="3"/>
  </r>
  <r>
    <s v="TX501875"/>
    <x v="6"/>
    <x v="0"/>
    <n v="103.7"/>
    <n v="103.7"/>
    <x v="68"/>
    <d v="2025-03-12T00:00:00"/>
    <x v="2"/>
    <x v="1"/>
    <x v="0"/>
    <x v="0"/>
    <x v="5"/>
    <x v="1"/>
    <x v="10"/>
    <x v="2"/>
  </r>
  <r>
    <s v="TX501876"/>
    <x v="2"/>
    <x v="1"/>
    <n v="58.8"/>
    <n v="117.6"/>
    <x v="68"/>
    <d v="2025-03-15T00:00:00"/>
    <x v="2"/>
    <x v="1"/>
    <x v="2"/>
    <x v="0"/>
    <x v="6"/>
    <x v="0"/>
    <x v="10"/>
    <x v="2"/>
  </r>
  <r>
    <s v="TX501877"/>
    <x v="13"/>
    <x v="0"/>
    <n v="31.5"/>
    <n v="31.5"/>
    <x v="68"/>
    <d v="2025-03-11T00:00:00"/>
    <x v="2"/>
    <x v="1"/>
    <x v="1"/>
    <x v="0"/>
    <x v="6"/>
    <x v="3"/>
    <x v="10"/>
    <x v="2"/>
  </r>
  <r>
    <s v="TX501878"/>
    <x v="7"/>
    <x v="9"/>
    <n v="36.799999999999997"/>
    <n v="184"/>
    <x v="68"/>
    <d v="2025-03-12T00:00:00"/>
    <x v="2"/>
    <x v="0"/>
    <x v="0"/>
    <x v="0"/>
    <x v="8"/>
    <x v="1"/>
    <x v="10"/>
    <x v="2"/>
  </r>
  <r>
    <s v="TX501879"/>
    <x v="3"/>
    <x v="0"/>
    <n v="84.4"/>
    <n v="84.4"/>
    <x v="68"/>
    <d v="2025-03-11T00:00:00"/>
    <x v="2"/>
    <x v="0"/>
    <x v="0"/>
    <x v="0"/>
    <x v="8"/>
    <x v="3"/>
    <x v="10"/>
    <x v="2"/>
  </r>
  <r>
    <s v="TX501880"/>
    <x v="14"/>
    <x v="0"/>
    <n v="44.7"/>
    <n v="44.7"/>
    <x v="68"/>
    <d v="2025-03-11T00:00:00"/>
    <x v="1"/>
    <x v="0"/>
    <x v="1"/>
    <x v="0"/>
    <x v="8"/>
    <x v="3"/>
    <x v="10"/>
    <x v="1"/>
  </r>
  <r>
    <s v="TX501881"/>
    <x v="9"/>
    <x v="8"/>
    <n v="39.4"/>
    <n v="315.2"/>
    <x v="68"/>
    <d v="2025-03-11T00:00:00"/>
    <x v="2"/>
    <x v="1"/>
    <x v="2"/>
    <x v="0"/>
    <x v="8"/>
    <x v="3"/>
    <x v="10"/>
    <x v="2"/>
  </r>
  <r>
    <s v="TX501882"/>
    <x v="11"/>
    <x v="12"/>
    <n v="34.9"/>
    <n v="139.6"/>
    <x v="68"/>
    <d v="2025-03-12T00:00:00"/>
    <x v="2"/>
    <x v="0"/>
    <x v="2"/>
    <x v="0"/>
    <x v="8"/>
    <x v="1"/>
    <x v="10"/>
    <x v="2"/>
  </r>
  <r>
    <s v="TX501883"/>
    <x v="1"/>
    <x v="2"/>
    <n v="62.3"/>
    <n v="186.89999999999998"/>
    <x v="68"/>
    <d v="2025-03-12T00:00:00"/>
    <x v="1"/>
    <x v="4"/>
    <x v="2"/>
    <x v="0"/>
    <x v="8"/>
    <x v="1"/>
    <x v="10"/>
    <x v="1"/>
  </r>
  <r>
    <s v="TX501884"/>
    <x v="8"/>
    <x v="12"/>
    <n v="21.1"/>
    <n v="84.4"/>
    <x v="68"/>
    <d v="2025-03-13T00:00:00"/>
    <x v="1"/>
    <x v="3"/>
    <x v="0"/>
    <x v="0"/>
    <x v="8"/>
    <x v="2"/>
    <x v="10"/>
    <x v="1"/>
  </r>
  <r>
    <s v="TX501885"/>
    <x v="8"/>
    <x v="2"/>
    <n v="33.200000000000003"/>
    <n v="99.600000000000009"/>
    <x v="68"/>
    <d v="2025-03-24T00:00:00"/>
    <x v="0"/>
    <x v="0"/>
    <x v="4"/>
    <x v="0"/>
    <x v="8"/>
    <x v="12"/>
    <x v="10"/>
    <x v="0"/>
  </r>
  <r>
    <s v="TX501886"/>
    <x v="1"/>
    <x v="12"/>
    <n v="74.5"/>
    <n v="298"/>
    <x v="68"/>
    <d v="2025-03-11T00:00:00"/>
    <x v="1"/>
    <x v="4"/>
    <x v="0"/>
    <x v="0"/>
    <x v="8"/>
    <x v="3"/>
    <x v="10"/>
    <x v="1"/>
  </r>
  <r>
    <s v="TX501887"/>
    <x v="10"/>
    <x v="4"/>
    <n v="68.599999999999994"/>
    <n v="823.19999999999993"/>
    <x v="68"/>
    <d v="2025-03-13T00:00:00"/>
    <x v="2"/>
    <x v="0"/>
    <x v="2"/>
    <x v="0"/>
    <x v="8"/>
    <x v="2"/>
    <x v="10"/>
    <x v="2"/>
  </r>
  <r>
    <s v="TX501888"/>
    <x v="5"/>
    <x v="21"/>
    <n v="36.4"/>
    <n v="509.59999999999997"/>
    <x v="68"/>
    <d v="2025-03-12T00:00:00"/>
    <x v="2"/>
    <x v="0"/>
    <x v="1"/>
    <x v="0"/>
    <x v="9"/>
    <x v="1"/>
    <x v="10"/>
    <x v="2"/>
  </r>
  <r>
    <s v="TX501889"/>
    <x v="16"/>
    <x v="9"/>
    <n v="67.599999999999994"/>
    <n v="338"/>
    <x v="69"/>
    <d v="2025-03-14T00:00:00"/>
    <x v="2"/>
    <x v="4"/>
    <x v="1"/>
    <x v="0"/>
    <x v="9"/>
    <x v="2"/>
    <x v="10"/>
    <x v="2"/>
  </r>
  <r>
    <s v="TX501890"/>
    <x v="15"/>
    <x v="0"/>
    <n v="46.3"/>
    <n v="46.3"/>
    <x v="69"/>
    <d v="2025-03-12T00:00:00"/>
    <x v="1"/>
    <x v="2"/>
    <x v="0"/>
    <x v="0"/>
    <x v="9"/>
    <x v="3"/>
    <x v="10"/>
    <x v="1"/>
  </r>
  <r>
    <s v="TX501891"/>
    <x v="1"/>
    <x v="2"/>
    <n v="124.2"/>
    <n v="372.6"/>
    <x v="69"/>
    <d v="2025-03-13T00:00:00"/>
    <x v="2"/>
    <x v="1"/>
    <x v="2"/>
    <x v="0"/>
    <x v="11"/>
    <x v="1"/>
    <x v="10"/>
    <x v="2"/>
  </r>
  <r>
    <s v="TX501892"/>
    <x v="10"/>
    <x v="1"/>
    <n v="37"/>
    <n v="74"/>
    <x v="69"/>
    <d v="2025-03-17T00:00:00"/>
    <x v="1"/>
    <x v="0"/>
    <x v="0"/>
    <x v="0"/>
    <x v="11"/>
    <x v="4"/>
    <x v="10"/>
    <x v="1"/>
  </r>
  <r>
    <s v="TX501893"/>
    <x v="5"/>
    <x v="0"/>
    <n v="41.8"/>
    <n v="41.8"/>
    <x v="69"/>
    <d v="2025-03-12T00:00:00"/>
    <x v="1"/>
    <x v="2"/>
    <x v="0"/>
    <x v="0"/>
    <x v="31"/>
    <x v="3"/>
    <x v="10"/>
    <x v="1"/>
  </r>
  <r>
    <s v="TX501894"/>
    <x v="9"/>
    <x v="1"/>
    <n v="57.2"/>
    <n v="114.4"/>
    <x v="69"/>
    <d v="2025-03-13T00:00:00"/>
    <x v="1"/>
    <x v="2"/>
    <x v="1"/>
    <x v="0"/>
    <x v="20"/>
    <x v="1"/>
    <x v="10"/>
    <x v="1"/>
  </r>
  <r>
    <s v="TX501895"/>
    <x v="6"/>
    <x v="1"/>
    <n v="47.1"/>
    <n v="94.2"/>
    <x v="69"/>
    <d v="2025-03-13T00:00:00"/>
    <x v="2"/>
    <x v="0"/>
    <x v="4"/>
    <x v="0"/>
    <x v="20"/>
    <x v="1"/>
    <x v="10"/>
    <x v="2"/>
  </r>
  <r>
    <s v="TX501896"/>
    <x v="5"/>
    <x v="2"/>
    <n v="86.4"/>
    <n v="259.20000000000005"/>
    <x v="69"/>
    <d v="2025-03-12T00:00:00"/>
    <x v="1"/>
    <x v="2"/>
    <x v="1"/>
    <x v="0"/>
    <x v="52"/>
    <x v="3"/>
    <x v="10"/>
    <x v="1"/>
  </r>
  <r>
    <s v="TX501897"/>
    <x v="6"/>
    <x v="9"/>
    <n v="105"/>
    <n v="525"/>
    <x v="69"/>
    <d v="2025-03-14T00:00:00"/>
    <x v="1"/>
    <x v="0"/>
    <x v="0"/>
    <x v="0"/>
    <x v="13"/>
    <x v="2"/>
    <x v="10"/>
    <x v="1"/>
  </r>
  <r>
    <s v="TX501898"/>
    <x v="18"/>
    <x v="0"/>
    <n v="33"/>
    <n v="33"/>
    <x v="69"/>
    <d v="2025-03-14T00:00:00"/>
    <x v="1"/>
    <x v="4"/>
    <x v="0"/>
    <x v="0"/>
    <x v="21"/>
    <x v="2"/>
    <x v="10"/>
    <x v="1"/>
  </r>
  <r>
    <s v="TX501899"/>
    <x v="6"/>
    <x v="9"/>
    <n v="106.6"/>
    <n v="533"/>
    <x v="69"/>
    <d v="2025-03-24T00:00:00"/>
    <x v="2"/>
    <x v="2"/>
    <x v="0"/>
    <x v="0"/>
    <x v="1"/>
    <x v="10"/>
    <x v="10"/>
    <x v="2"/>
  </r>
  <r>
    <s v="TX501900"/>
    <x v="10"/>
    <x v="46"/>
    <n v="26.8"/>
    <n v="857.6"/>
    <x v="69"/>
    <d v="2025-03-12T00:00:00"/>
    <x v="2"/>
    <x v="2"/>
    <x v="0"/>
    <x v="0"/>
    <x v="1"/>
    <x v="3"/>
    <x v="10"/>
    <x v="2"/>
  </r>
  <r>
    <s v="TX501901"/>
    <x v="17"/>
    <x v="9"/>
    <n v="25.8"/>
    <n v="129"/>
    <x v="69"/>
    <d v="2025-03-11T00:00:00"/>
    <x v="2"/>
    <x v="1"/>
    <x v="2"/>
    <x v="0"/>
    <x v="3"/>
    <x v="7"/>
    <x v="10"/>
    <x v="2"/>
  </r>
  <r>
    <s v="TX501902"/>
    <x v="2"/>
    <x v="2"/>
    <n v="217"/>
    <n v="651"/>
    <x v="69"/>
    <d v="2025-03-12T00:00:00"/>
    <x v="2"/>
    <x v="1"/>
    <x v="1"/>
    <x v="0"/>
    <x v="3"/>
    <x v="3"/>
    <x v="10"/>
    <x v="2"/>
  </r>
  <r>
    <s v="TX501903"/>
    <x v="2"/>
    <x v="1"/>
    <n v="97.3"/>
    <n v="194.6"/>
    <x v="69"/>
    <d v="2025-03-12T00:00:00"/>
    <x v="1"/>
    <x v="2"/>
    <x v="4"/>
    <x v="0"/>
    <x v="3"/>
    <x v="3"/>
    <x v="10"/>
    <x v="1"/>
  </r>
  <r>
    <s v="TX501904"/>
    <x v="1"/>
    <x v="0"/>
    <n v="49.8"/>
    <n v="49.8"/>
    <x v="69"/>
    <d v="2025-03-12T00:00:00"/>
    <x v="2"/>
    <x v="0"/>
    <x v="0"/>
    <x v="0"/>
    <x v="3"/>
    <x v="3"/>
    <x v="10"/>
    <x v="2"/>
  </r>
  <r>
    <s v="TX501905"/>
    <x v="12"/>
    <x v="9"/>
    <n v="32.6"/>
    <n v="163"/>
    <x v="69"/>
    <d v="2025-03-12T00:00:00"/>
    <x v="2"/>
    <x v="0"/>
    <x v="0"/>
    <x v="0"/>
    <x v="3"/>
    <x v="3"/>
    <x v="10"/>
    <x v="2"/>
  </r>
  <r>
    <s v="TX501906"/>
    <x v="9"/>
    <x v="1"/>
    <n v="40.1"/>
    <n v="80.2"/>
    <x v="69"/>
    <d v="2025-03-14T00:00:00"/>
    <x v="1"/>
    <x v="1"/>
    <x v="2"/>
    <x v="0"/>
    <x v="3"/>
    <x v="2"/>
    <x v="10"/>
    <x v="1"/>
  </r>
  <r>
    <s v="TX501907"/>
    <x v="10"/>
    <x v="1"/>
    <n v="49.4"/>
    <n v="98.8"/>
    <x v="69"/>
    <d v="2025-03-13T00:00:00"/>
    <x v="1"/>
    <x v="1"/>
    <x v="0"/>
    <x v="0"/>
    <x v="3"/>
    <x v="1"/>
    <x v="10"/>
    <x v="1"/>
  </r>
  <r>
    <s v="TX501908"/>
    <x v="2"/>
    <x v="0"/>
    <n v="67.3"/>
    <n v="67.3"/>
    <x v="69"/>
    <d v="2025-03-12T00:00:00"/>
    <x v="2"/>
    <x v="0"/>
    <x v="2"/>
    <x v="0"/>
    <x v="3"/>
    <x v="3"/>
    <x v="10"/>
    <x v="2"/>
  </r>
  <r>
    <s v="TX501909"/>
    <x v="18"/>
    <x v="12"/>
    <n v="44.5"/>
    <n v="178"/>
    <x v="69"/>
    <d v="2025-03-14T00:00:00"/>
    <x v="0"/>
    <x v="1"/>
    <x v="0"/>
    <x v="0"/>
    <x v="3"/>
    <x v="2"/>
    <x v="10"/>
    <x v="0"/>
  </r>
  <r>
    <s v="TX501910"/>
    <x v="6"/>
    <x v="5"/>
    <n v="111.1"/>
    <n v="1222.0999999999999"/>
    <x v="69"/>
    <d v="2025-03-12T00:00:00"/>
    <x v="2"/>
    <x v="4"/>
    <x v="0"/>
    <x v="0"/>
    <x v="3"/>
    <x v="3"/>
    <x v="10"/>
    <x v="2"/>
  </r>
  <r>
    <s v="TX501911"/>
    <x v="8"/>
    <x v="2"/>
    <n v="19.7"/>
    <n v="59.099999999999994"/>
    <x v="69"/>
    <d v="2025-03-12T00:00:00"/>
    <x v="2"/>
    <x v="4"/>
    <x v="4"/>
    <x v="0"/>
    <x v="3"/>
    <x v="3"/>
    <x v="10"/>
    <x v="2"/>
  </r>
  <r>
    <s v="TX501912"/>
    <x v="1"/>
    <x v="0"/>
    <n v="40.299999999999997"/>
    <n v="40.299999999999997"/>
    <x v="69"/>
    <d v="2025-03-12T00:00:00"/>
    <x v="3"/>
    <x v="1"/>
    <x v="0"/>
    <x v="0"/>
    <x v="3"/>
    <x v="3"/>
    <x v="10"/>
    <x v="3"/>
  </r>
  <r>
    <s v="TX501913"/>
    <x v="6"/>
    <x v="1"/>
    <n v="108.8"/>
    <n v="217.6"/>
    <x v="69"/>
    <d v="2025-03-16T00:00:00"/>
    <x v="1"/>
    <x v="0"/>
    <x v="2"/>
    <x v="0"/>
    <x v="6"/>
    <x v="0"/>
    <x v="10"/>
    <x v="1"/>
  </r>
  <r>
    <s v="TX501914"/>
    <x v="8"/>
    <x v="2"/>
    <n v="48.2"/>
    <n v="144.60000000000002"/>
    <x v="69"/>
    <d v="2025-03-16T00:00:00"/>
    <x v="2"/>
    <x v="4"/>
    <x v="0"/>
    <x v="0"/>
    <x v="7"/>
    <x v="0"/>
    <x v="10"/>
    <x v="2"/>
  </r>
  <r>
    <s v="TX501915"/>
    <x v="2"/>
    <x v="2"/>
    <n v="104.7"/>
    <n v="314.10000000000002"/>
    <x v="69"/>
    <d v="2025-03-13T00:00:00"/>
    <x v="2"/>
    <x v="0"/>
    <x v="1"/>
    <x v="0"/>
    <x v="7"/>
    <x v="1"/>
    <x v="10"/>
    <x v="2"/>
  </r>
  <r>
    <s v="TX501916"/>
    <x v="1"/>
    <x v="1"/>
    <n v="80.599999999999994"/>
    <n v="161.19999999999999"/>
    <x v="69"/>
    <d v="2025-03-11T00:00:00"/>
    <x v="2"/>
    <x v="1"/>
    <x v="0"/>
    <x v="0"/>
    <x v="8"/>
    <x v="7"/>
    <x v="10"/>
    <x v="2"/>
  </r>
  <r>
    <s v="TX501917"/>
    <x v="6"/>
    <x v="0"/>
    <n v="65.5"/>
    <n v="65.5"/>
    <x v="69"/>
    <d v="2025-03-13T00:00:00"/>
    <x v="3"/>
    <x v="1"/>
    <x v="0"/>
    <x v="0"/>
    <x v="8"/>
    <x v="1"/>
    <x v="10"/>
    <x v="3"/>
  </r>
  <r>
    <s v="TX501918"/>
    <x v="9"/>
    <x v="2"/>
    <n v="61.4"/>
    <n v="184.2"/>
    <x v="69"/>
    <d v="2025-03-13T00:00:00"/>
    <x v="2"/>
    <x v="4"/>
    <x v="2"/>
    <x v="0"/>
    <x v="8"/>
    <x v="1"/>
    <x v="10"/>
    <x v="2"/>
  </r>
  <r>
    <s v="TX501919"/>
    <x v="0"/>
    <x v="0"/>
    <n v="12.5"/>
    <n v="12.5"/>
    <x v="70"/>
    <d v="2025-03-15T00:00:00"/>
    <x v="2"/>
    <x v="0"/>
    <x v="1"/>
    <x v="0"/>
    <x v="8"/>
    <x v="2"/>
    <x v="10"/>
    <x v="2"/>
  </r>
  <r>
    <s v="TX501920"/>
    <x v="4"/>
    <x v="12"/>
    <n v="35.1"/>
    <n v="140.4"/>
    <x v="70"/>
    <d v="2025-03-13T00:00:00"/>
    <x v="1"/>
    <x v="2"/>
    <x v="1"/>
    <x v="0"/>
    <x v="17"/>
    <x v="3"/>
    <x v="10"/>
    <x v="1"/>
  </r>
  <r>
    <s v="TX501921"/>
    <x v="5"/>
    <x v="1"/>
    <n v="55.7"/>
    <n v="111.4"/>
    <x v="70"/>
    <d v="2025-03-13T00:00:00"/>
    <x v="1"/>
    <x v="0"/>
    <x v="1"/>
    <x v="0"/>
    <x v="26"/>
    <x v="3"/>
    <x v="10"/>
    <x v="1"/>
  </r>
  <r>
    <s v="TX501922"/>
    <x v="7"/>
    <x v="1"/>
    <n v="57.7"/>
    <n v="115.4"/>
    <x v="70"/>
    <d v="2025-03-14T00:00:00"/>
    <x v="1"/>
    <x v="4"/>
    <x v="1"/>
    <x v="0"/>
    <x v="9"/>
    <x v="1"/>
    <x v="10"/>
    <x v="1"/>
  </r>
  <r>
    <s v="TX501923"/>
    <x v="2"/>
    <x v="13"/>
    <n v="85.7"/>
    <n v="514.20000000000005"/>
    <x v="70"/>
    <d v="2025-03-13T00:00:00"/>
    <x v="1"/>
    <x v="3"/>
    <x v="2"/>
    <x v="0"/>
    <x v="9"/>
    <x v="3"/>
    <x v="10"/>
    <x v="1"/>
  </r>
  <r>
    <s v="TX501924"/>
    <x v="2"/>
    <x v="2"/>
    <n v="86.9"/>
    <n v="260.70000000000005"/>
    <x v="70"/>
    <d v="2025-03-14T00:00:00"/>
    <x v="2"/>
    <x v="1"/>
    <x v="0"/>
    <x v="0"/>
    <x v="11"/>
    <x v="1"/>
    <x v="10"/>
    <x v="2"/>
  </r>
  <r>
    <s v="TX501925"/>
    <x v="18"/>
    <x v="1"/>
    <n v="46.4"/>
    <n v="92.8"/>
    <x v="70"/>
    <d v="2025-03-15T00:00:00"/>
    <x v="2"/>
    <x v="4"/>
    <x v="0"/>
    <x v="0"/>
    <x v="11"/>
    <x v="2"/>
    <x v="10"/>
    <x v="2"/>
  </r>
  <r>
    <s v="TX501926"/>
    <x v="5"/>
    <x v="2"/>
    <n v="25.4"/>
    <n v="76.199999999999989"/>
    <x v="70"/>
    <d v="2025-03-12T00:00:00"/>
    <x v="2"/>
    <x v="2"/>
    <x v="2"/>
    <x v="0"/>
    <x v="18"/>
    <x v="7"/>
    <x v="10"/>
    <x v="2"/>
  </r>
  <r>
    <s v="TX501927"/>
    <x v="10"/>
    <x v="2"/>
    <n v="47.8"/>
    <n v="143.39999999999998"/>
    <x v="70"/>
    <d v="2025-03-12T00:00:00"/>
    <x v="0"/>
    <x v="2"/>
    <x v="2"/>
    <x v="0"/>
    <x v="19"/>
    <x v="7"/>
    <x v="10"/>
    <x v="0"/>
  </r>
  <r>
    <s v="TX501928"/>
    <x v="8"/>
    <x v="10"/>
    <n v="18.399999999999999"/>
    <n v="349.59999999999997"/>
    <x v="70"/>
    <d v="2025-03-14T00:00:00"/>
    <x v="3"/>
    <x v="2"/>
    <x v="0"/>
    <x v="0"/>
    <x v="20"/>
    <x v="1"/>
    <x v="10"/>
    <x v="3"/>
  </r>
  <r>
    <s v="TX501929"/>
    <x v="12"/>
    <x v="2"/>
    <n v="65.5"/>
    <n v="196.5"/>
    <x v="70"/>
    <d v="2025-03-20T00:00:00"/>
    <x v="2"/>
    <x v="0"/>
    <x v="0"/>
    <x v="0"/>
    <x v="21"/>
    <x v="9"/>
    <x v="10"/>
    <x v="2"/>
  </r>
  <r>
    <s v="TX501930"/>
    <x v="10"/>
    <x v="1"/>
    <n v="50.6"/>
    <n v="101.2"/>
    <x v="70"/>
    <d v="2025-03-15T00:00:00"/>
    <x v="1"/>
    <x v="2"/>
    <x v="4"/>
    <x v="0"/>
    <x v="21"/>
    <x v="2"/>
    <x v="10"/>
    <x v="1"/>
  </r>
  <r>
    <s v="TX501931"/>
    <x v="3"/>
    <x v="9"/>
    <n v="69"/>
    <n v="345"/>
    <x v="70"/>
    <d v="2025-03-16T00:00:00"/>
    <x v="1"/>
    <x v="3"/>
    <x v="0"/>
    <x v="0"/>
    <x v="21"/>
    <x v="5"/>
    <x v="10"/>
    <x v="1"/>
  </r>
  <r>
    <s v="TX501932"/>
    <x v="9"/>
    <x v="8"/>
    <n v="51.1"/>
    <n v="408.8"/>
    <x v="70"/>
    <d v="2025-03-14T00:00:00"/>
    <x v="2"/>
    <x v="0"/>
    <x v="0"/>
    <x v="0"/>
    <x v="1"/>
    <x v="1"/>
    <x v="10"/>
    <x v="2"/>
  </r>
  <r>
    <s v="TX501933"/>
    <x v="9"/>
    <x v="0"/>
    <n v="36.1"/>
    <n v="36.1"/>
    <x v="70"/>
    <d v="2025-03-13T00:00:00"/>
    <x v="2"/>
    <x v="0"/>
    <x v="2"/>
    <x v="0"/>
    <x v="34"/>
    <x v="3"/>
    <x v="10"/>
    <x v="2"/>
  </r>
  <r>
    <s v="TX501934"/>
    <x v="14"/>
    <x v="0"/>
    <n v="18.7"/>
    <n v="18.7"/>
    <x v="70"/>
    <d v="2025-03-13T00:00:00"/>
    <x v="1"/>
    <x v="0"/>
    <x v="0"/>
    <x v="0"/>
    <x v="3"/>
    <x v="3"/>
    <x v="10"/>
    <x v="1"/>
  </r>
  <r>
    <s v="TX501935"/>
    <x v="17"/>
    <x v="0"/>
    <n v="30.1"/>
    <n v="30.1"/>
    <x v="70"/>
    <d v="2025-03-15T00:00:00"/>
    <x v="2"/>
    <x v="3"/>
    <x v="1"/>
    <x v="0"/>
    <x v="3"/>
    <x v="2"/>
    <x v="10"/>
    <x v="2"/>
  </r>
  <r>
    <s v="TX501936"/>
    <x v="8"/>
    <x v="0"/>
    <n v="16.3"/>
    <n v="16.3"/>
    <x v="70"/>
    <d v="2025-03-13T00:00:00"/>
    <x v="1"/>
    <x v="3"/>
    <x v="0"/>
    <x v="0"/>
    <x v="3"/>
    <x v="3"/>
    <x v="10"/>
    <x v="1"/>
  </r>
  <r>
    <s v="TX501937"/>
    <x v="1"/>
    <x v="2"/>
    <n v="63.8"/>
    <n v="191.39999999999998"/>
    <x v="70"/>
    <d v="2025-03-17T00:00:00"/>
    <x v="2"/>
    <x v="2"/>
    <x v="1"/>
    <x v="0"/>
    <x v="3"/>
    <x v="0"/>
    <x v="10"/>
    <x v="2"/>
  </r>
  <r>
    <s v="TX501938"/>
    <x v="1"/>
    <x v="3"/>
    <n v="73.900000000000006"/>
    <n v="517.30000000000007"/>
    <x v="70"/>
    <d v="2025-03-12T00:00:00"/>
    <x v="2"/>
    <x v="0"/>
    <x v="1"/>
    <x v="0"/>
    <x v="3"/>
    <x v="7"/>
    <x v="10"/>
    <x v="2"/>
  </r>
  <r>
    <s v="TX501939"/>
    <x v="0"/>
    <x v="1"/>
    <n v="20.2"/>
    <n v="40.4"/>
    <x v="70"/>
    <d v="2025-03-13T00:00:00"/>
    <x v="1"/>
    <x v="0"/>
    <x v="1"/>
    <x v="0"/>
    <x v="3"/>
    <x v="3"/>
    <x v="10"/>
    <x v="1"/>
  </r>
  <r>
    <s v="TX501940"/>
    <x v="11"/>
    <x v="5"/>
    <n v="29.5"/>
    <n v="324.5"/>
    <x v="70"/>
    <d v="2025-03-13T00:00:00"/>
    <x v="1"/>
    <x v="0"/>
    <x v="0"/>
    <x v="0"/>
    <x v="3"/>
    <x v="3"/>
    <x v="10"/>
    <x v="1"/>
  </r>
  <r>
    <s v="TX501941"/>
    <x v="15"/>
    <x v="3"/>
    <n v="37.9"/>
    <n v="265.3"/>
    <x v="70"/>
    <d v="2025-03-13T00:00:00"/>
    <x v="1"/>
    <x v="1"/>
    <x v="0"/>
    <x v="0"/>
    <x v="3"/>
    <x v="3"/>
    <x v="10"/>
    <x v="1"/>
  </r>
  <r>
    <s v="TX501942"/>
    <x v="2"/>
    <x v="0"/>
    <n v="56.5"/>
    <n v="56.5"/>
    <x v="70"/>
    <d v="2025-03-13T00:00:00"/>
    <x v="2"/>
    <x v="2"/>
    <x v="1"/>
    <x v="0"/>
    <x v="3"/>
    <x v="3"/>
    <x v="10"/>
    <x v="2"/>
  </r>
  <r>
    <s v="TX501943"/>
    <x v="2"/>
    <x v="1"/>
    <n v="66.900000000000006"/>
    <n v="133.80000000000001"/>
    <x v="70"/>
    <d v="2025-03-18T00:00:00"/>
    <x v="1"/>
    <x v="1"/>
    <x v="4"/>
    <x v="0"/>
    <x v="25"/>
    <x v="4"/>
    <x v="10"/>
    <x v="1"/>
  </r>
  <r>
    <s v="TX501944"/>
    <x v="2"/>
    <x v="9"/>
    <n v="51.9"/>
    <n v="259.5"/>
    <x v="70"/>
    <d v="2025-03-15T00:00:00"/>
    <x v="1"/>
    <x v="1"/>
    <x v="0"/>
    <x v="0"/>
    <x v="7"/>
    <x v="2"/>
    <x v="10"/>
    <x v="1"/>
  </r>
  <r>
    <s v="TX501945"/>
    <x v="2"/>
    <x v="1"/>
    <n v="75.599999999999994"/>
    <n v="151.19999999999999"/>
    <x v="70"/>
    <d v="2025-03-15T00:00:00"/>
    <x v="1"/>
    <x v="1"/>
    <x v="0"/>
    <x v="0"/>
    <x v="8"/>
    <x v="2"/>
    <x v="10"/>
    <x v="1"/>
  </r>
  <r>
    <s v="TX501946"/>
    <x v="12"/>
    <x v="13"/>
    <n v="47.3"/>
    <n v="283.79999999999995"/>
    <x v="70"/>
    <d v="2025-03-23T00:00:00"/>
    <x v="1"/>
    <x v="0"/>
    <x v="0"/>
    <x v="0"/>
    <x v="8"/>
    <x v="11"/>
    <x v="10"/>
    <x v="1"/>
  </r>
  <r>
    <s v="TX501947"/>
    <x v="4"/>
    <x v="0"/>
    <n v="20.6"/>
    <n v="20.6"/>
    <x v="70"/>
    <d v="2025-03-13T00:00:00"/>
    <x v="0"/>
    <x v="0"/>
    <x v="1"/>
    <x v="0"/>
    <x v="8"/>
    <x v="3"/>
    <x v="10"/>
    <x v="0"/>
  </r>
  <r>
    <s v="TX501948"/>
    <x v="6"/>
    <x v="2"/>
    <n v="49.7"/>
    <n v="149.10000000000002"/>
    <x v="70"/>
    <d v="2025-03-14T00:00:00"/>
    <x v="1"/>
    <x v="0"/>
    <x v="1"/>
    <x v="0"/>
    <x v="8"/>
    <x v="1"/>
    <x v="10"/>
    <x v="1"/>
  </r>
  <r>
    <s v="TX501949"/>
    <x v="3"/>
    <x v="0"/>
    <n v="37.9"/>
    <n v="37.9"/>
    <x v="70"/>
    <d v="2025-03-14T00:00:00"/>
    <x v="2"/>
    <x v="0"/>
    <x v="0"/>
    <x v="0"/>
    <x v="8"/>
    <x v="1"/>
    <x v="10"/>
    <x v="2"/>
  </r>
  <r>
    <s v="TX501950"/>
    <x v="13"/>
    <x v="20"/>
    <n v="32"/>
    <n v="480"/>
    <x v="70"/>
    <d v="2025-03-14T00:00:00"/>
    <x v="2"/>
    <x v="4"/>
    <x v="0"/>
    <x v="0"/>
    <x v="11"/>
    <x v="1"/>
    <x v="10"/>
    <x v="2"/>
  </r>
  <r>
    <s v="TX501951"/>
    <x v="10"/>
    <x v="16"/>
    <n v="38.5"/>
    <n v="693"/>
    <x v="71"/>
    <d v="2025-03-14T00:00:00"/>
    <x v="1"/>
    <x v="0"/>
    <x v="2"/>
    <x v="0"/>
    <x v="11"/>
    <x v="3"/>
    <x v="10"/>
    <x v="1"/>
  </r>
  <r>
    <s v="TX501952"/>
    <x v="0"/>
    <x v="12"/>
    <n v="11.7"/>
    <n v="46.8"/>
    <x v="71"/>
    <d v="2025-03-15T00:00:00"/>
    <x v="2"/>
    <x v="1"/>
    <x v="0"/>
    <x v="0"/>
    <x v="20"/>
    <x v="1"/>
    <x v="10"/>
    <x v="2"/>
  </r>
  <r>
    <s v="TX501953"/>
    <x v="3"/>
    <x v="13"/>
    <n v="83.8"/>
    <n v="502.79999999999995"/>
    <x v="71"/>
    <d v="2025-03-14T00:00:00"/>
    <x v="1"/>
    <x v="0"/>
    <x v="0"/>
    <x v="0"/>
    <x v="21"/>
    <x v="3"/>
    <x v="10"/>
    <x v="1"/>
  </r>
  <r>
    <s v="TX501954"/>
    <x v="0"/>
    <x v="3"/>
    <n v="14"/>
    <n v="98"/>
    <x v="71"/>
    <d v="2025-03-16T00:00:00"/>
    <x v="1"/>
    <x v="0"/>
    <x v="1"/>
    <x v="0"/>
    <x v="22"/>
    <x v="2"/>
    <x v="10"/>
    <x v="1"/>
  </r>
  <r>
    <s v="TX501955"/>
    <x v="16"/>
    <x v="12"/>
    <n v="77.3"/>
    <n v="309.2"/>
    <x v="71"/>
    <d v="2025-03-15T00:00:00"/>
    <x v="2"/>
    <x v="4"/>
    <x v="2"/>
    <x v="0"/>
    <x v="3"/>
    <x v="1"/>
    <x v="10"/>
    <x v="2"/>
  </r>
  <r>
    <s v="TX501956"/>
    <x v="2"/>
    <x v="1"/>
    <n v="76.900000000000006"/>
    <n v="153.80000000000001"/>
    <x v="71"/>
    <d v="2025-03-17T00:00:00"/>
    <x v="2"/>
    <x v="0"/>
    <x v="1"/>
    <x v="0"/>
    <x v="3"/>
    <x v="5"/>
    <x v="10"/>
    <x v="2"/>
  </r>
  <r>
    <s v="TX501957"/>
    <x v="1"/>
    <x v="0"/>
    <n v="48"/>
    <n v="48"/>
    <x v="71"/>
    <d v="2025-03-15T00:00:00"/>
    <x v="2"/>
    <x v="1"/>
    <x v="2"/>
    <x v="0"/>
    <x v="3"/>
    <x v="1"/>
    <x v="10"/>
    <x v="2"/>
  </r>
  <r>
    <s v="TX501958"/>
    <x v="2"/>
    <x v="0"/>
    <n v="94.5"/>
    <n v="94.5"/>
    <x v="71"/>
    <d v="2025-03-16T00:00:00"/>
    <x v="1"/>
    <x v="1"/>
    <x v="1"/>
    <x v="0"/>
    <x v="3"/>
    <x v="2"/>
    <x v="10"/>
    <x v="1"/>
  </r>
  <r>
    <s v="TX501959"/>
    <x v="10"/>
    <x v="2"/>
    <n v="58.4"/>
    <n v="175.2"/>
    <x v="71"/>
    <d v="2025-03-15T00:00:00"/>
    <x v="2"/>
    <x v="1"/>
    <x v="2"/>
    <x v="0"/>
    <x v="3"/>
    <x v="1"/>
    <x v="10"/>
    <x v="2"/>
  </r>
  <r>
    <s v="TX501960"/>
    <x v="7"/>
    <x v="15"/>
    <n v="42.2"/>
    <n v="548.6"/>
    <x v="71"/>
    <d v="2025-03-13T00:00:00"/>
    <x v="1"/>
    <x v="0"/>
    <x v="0"/>
    <x v="0"/>
    <x v="25"/>
    <x v="7"/>
    <x v="10"/>
    <x v="1"/>
  </r>
  <r>
    <s v="TX501961"/>
    <x v="6"/>
    <x v="1"/>
    <n v="152.19999999999999"/>
    <n v="304.39999999999998"/>
    <x v="71"/>
    <d v="2025-03-14T00:00:00"/>
    <x v="1"/>
    <x v="4"/>
    <x v="1"/>
    <x v="0"/>
    <x v="25"/>
    <x v="3"/>
    <x v="10"/>
    <x v="1"/>
  </r>
  <r>
    <s v="TX501962"/>
    <x v="6"/>
    <x v="25"/>
    <n v="72"/>
    <n v="1728"/>
    <x v="71"/>
    <d v="2025-03-14T00:00:00"/>
    <x v="1"/>
    <x v="0"/>
    <x v="1"/>
    <x v="0"/>
    <x v="6"/>
    <x v="3"/>
    <x v="10"/>
    <x v="1"/>
  </r>
  <r>
    <s v="TX501963"/>
    <x v="1"/>
    <x v="44"/>
    <n v="70.900000000000006"/>
    <n v="1630.7"/>
    <x v="71"/>
    <d v="2025-03-14T00:00:00"/>
    <x v="2"/>
    <x v="2"/>
    <x v="0"/>
    <x v="0"/>
    <x v="8"/>
    <x v="3"/>
    <x v="10"/>
    <x v="2"/>
  </r>
  <r>
    <s v="TX501964"/>
    <x v="2"/>
    <x v="1"/>
    <n v="53.7"/>
    <n v="107.4"/>
    <x v="71"/>
    <d v="2025-03-14T00:00:00"/>
    <x v="1"/>
    <x v="2"/>
    <x v="2"/>
    <x v="0"/>
    <x v="8"/>
    <x v="3"/>
    <x v="10"/>
    <x v="1"/>
  </r>
  <r>
    <s v="TX501965"/>
    <x v="9"/>
    <x v="12"/>
    <n v="42.9"/>
    <n v="171.6"/>
    <x v="71"/>
    <d v="2025-03-14T00:00:00"/>
    <x v="2"/>
    <x v="2"/>
    <x v="4"/>
    <x v="0"/>
    <x v="9"/>
    <x v="3"/>
    <x v="10"/>
    <x v="2"/>
  </r>
  <r>
    <s v="TX501966"/>
    <x v="2"/>
    <x v="3"/>
    <n v="107.5"/>
    <n v="752.5"/>
    <x v="71"/>
    <d v="2025-03-14T00:00:00"/>
    <x v="1"/>
    <x v="1"/>
    <x v="0"/>
    <x v="0"/>
    <x v="11"/>
    <x v="3"/>
    <x v="10"/>
    <x v="1"/>
  </r>
  <r>
    <s v="TX501967"/>
    <x v="17"/>
    <x v="27"/>
    <n v="21.5"/>
    <n v="344"/>
    <x v="71"/>
    <d v="2025-03-14T00:00:00"/>
    <x v="1"/>
    <x v="1"/>
    <x v="1"/>
    <x v="0"/>
    <x v="32"/>
    <x v="3"/>
    <x v="10"/>
    <x v="1"/>
  </r>
  <r>
    <s v="TX501968"/>
    <x v="3"/>
    <x v="9"/>
    <n v="85.3"/>
    <n v="426.5"/>
    <x v="71"/>
    <d v="2025-03-15T00:00:00"/>
    <x v="2"/>
    <x v="3"/>
    <x v="0"/>
    <x v="0"/>
    <x v="18"/>
    <x v="1"/>
    <x v="10"/>
    <x v="2"/>
  </r>
  <r>
    <s v="TX501969"/>
    <x v="7"/>
    <x v="9"/>
    <n v="80.8"/>
    <n v="404"/>
    <x v="71"/>
    <d v="2025-03-21T00:00:00"/>
    <x v="3"/>
    <x v="1"/>
    <x v="1"/>
    <x v="0"/>
    <x v="19"/>
    <x v="9"/>
    <x v="10"/>
    <x v="3"/>
  </r>
  <r>
    <s v="TX501970"/>
    <x v="2"/>
    <x v="2"/>
    <n v="123.1"/>
    <n v="369.29999999999995"/>
    <x v="71"/>
    <d v="2025-03-15T00:00:00"/>
    <x v="0"/>
    <x v="2"/>
    <x v="0"/>
    <x v="0"/>
    <x v="21"/>
    <x v="1"/>
    <x v="10"/>
    <x v="0"/>
  </r>
  <r>
    <s v="TX501971"/>
    <x v="8"/>
    <x v="1"/>
    <n v="36.9"/>
    <n v="73.8"/>
    <x v="71"/>
    <d v="2025-03-15T00:00:00"/>
    <x v="2"/>
    <x v="2"/>
    <x v="4"/>
    <x v="0"/>
    <x v="51"/>
    <x v="1"/>
    <x v="10"/>
    <x v="2"/>
  </r>
  <r>
    <s v="TX501972"/>
    <x v="11"/>
    <x v="9"/>
    <n v="40"/>
    <n v="200"/>
    <x v="71"/>
    <d v="2025-03-14T00:00:00"/>
    <x v="1"/>
    <x v="0"/>
    <x v="0"/>
    <x v="0"/>
    <x v="1"/>
    <x v="3"/>
    <x v="10"/>
    <x v="1"/>
  </r>
  <r>
    <s v="TX501973"/>
    <x v="6"/>
    <x v="2"/>
    <n v="55.5"/>
    <n v="166.5"/>
    <x v="71"/>
    <d v="2025-03-14T00:00:00"/>
    <x v="1"/>
    <x v="4"/>
    <x v="2"/>
    <x v="0"/>
    <x v="1"/>
    <x v="3"/>
    <x v="10"/>
    <x v="1"/>
  </r>
  <r>
    <s v="TX501974"/>
    <x v="0"/>
    <x v="12"/>
    <n v="20.5"/>
    <n v="82"/>
    <x v="71"/>
    <d v="2025-03-17T00:00:00"/>
    <x v="2"/>
    <x v="4"/>
    <x v="0"/>
    <x v="0"/>
    <x v="1"/>
    <x v="5"/>
    <x v="10"/>
    <x v="2"/>
  </r>
  <r>
    <s v="TX501975"/>
    <x v="18"/>
    <x v="12"/>
    <n v="50.1"/>
    <n v="200.4"/>
    <x v="71"/>
    <d v="2025-03-14T00:00:00"/>
    <x v="2"/>
    <x v="4"/>
    <x v="0"/>
    <x v="0"/>
    <x v="1"/>
    <x v="3"/>
    <x v="10"/>
    <x v="2"/>
  </r>
  <r>
    <s v="TX501976"/>
    <x v="9"/>
    <x v="0"/>
    <n v="35.9"/>
    <n v="35.9"/>
    <x v="71"/>
    <d v="2025-03-15T00:00:00"/>
    <x v="1"/>
    <x v="1"/>
    <x v="2"/>
    <x v="0"/>
    <x v="1"/>
    <x v="1"/>
    <x v="10"/>
    <x v="1"/>
  </r>
  <r>
    <s v="TX501977"/>
    <x v="13"/>
    <x v="12"/>
    <n v="29.4"/>
    <n v="117.6"/>
    <x v="72"/>
    <d v="2025-03-15T00:00:00"/>
    <x v="1"/>
    <x v="2"/>
    <x v="2"/>
    <x v="0"/>
    <x v="33"/>
    <x v="3"/>
    <x v="10"/>
    <x v="1"/>
  </r>
  <r>
    <s v="TX501978"/>
    <x v="8"/>
    <x v="9"/>
    <n v="29.1"/>
    <n v="145.5"/>
    <x v="72"/>
    <d v="2025-03-22T00:00:00"/>
    <x v="3"/>
    <x v="2"/>
    <x v="1"/>
    <x v="0"/>
    <x v="33"/>
    <x v="9"/>
    <x v="10"/>
    <x v="3"/>
  </r>
  <r>
    <s v="TX501979"/>
    <x v="8"/>
    <x v="2"/>
    <n v="33.5"/>
    <n v="100.5"/>
    <x v="72"/>
    <d v="2025-03-26T00:00:00"/>
    <x v="1"/>
    <x v="0"/>
    <x v="2"/>
    <x v="0"/>
    <x v="22"/>
    <x v="13"/>
    <x v="10"/>
    <x v="1"/>
  </r>
  <r>
    <s v="TX501980"/>
    <x v="4"/>
    <x v="7"/>
    <n v="36"/>
    <n v="360"/>
    <x v="72"/>
    <d v="2025-03-14T00:00:00"/>
    <x v="1"/>
    <x v="3"/>
    <x v="2"/>
    <x v="0"/>
    <x v="3"/>
    <x v="7"/>
    <x v="10"/>
    <x v="1"/>
  </r>
  <r>
    <s v="TX501981"/>
    <x v="16"/>
    <x v="2"/>
    <n v="57.3"/>
    <n v="171.89999999999998"/>
    <x v="72"/>
    <d v="2025-03-18T00:00:00"/>
    <x v="2"/>
    <x v="0"/>
    <x v="2"/>
    <x v="0"/>
    <x v="3"/>
    <x v="5"/>
    <x v="10"/>
    <x v="2"/>
  </r>
  <r>
    <s v="TX501982"/>
    <x v="1"/>
    <x v="0"/>
    <n v="81.400000000000006"/>
    <n v="81.400000000000006"/>
    <x v="72"/>
    <d v="2025-03-15T00:00:00"/>
    <x v="2"/>
    <x v="2"/>
    <x v="2"/>
    <x v="0"/>
    <x v="3"/>
    <x v="3"/>
    <x v="10"/>
    <x v="2"/>
  </r>
  <r>
    <s v="TX501983"/>
    <x v="10"/>
    <x v="1"/>
    <n v="35.299999999999997"/>
    <n v="70.599999999999994"/>
    <x v="72"/>
    <d v="2025-03-18T00:00:00"/>
    <x v="1"/>
    <x v="0"/>
    <x v="2"/>
    <x v="0"/>
    <x v="3"/>
    <x v="5"/>
    <x v="10"/>
    <x v="1"/>
  </r>
  <r>
    <s v="TX501984"/>
    <x v="3"/>
    <x v="0"/>
    <n v="36.1"/>
    <n v="36.1"/>
    <x v="72"/>
    <d v="2025-03-15T00:00:00"/>
    <x v="2"/>
    <x v="4"/>
    <x v="0"/>
    <x v="0"/>
    <x v="3"/>
    <x v="3"/>
    <x v="10"/>
    <x v="2"/>
  </r>
  <r>
    <s v="TX501985"/>
    <x v="1"/>
    <x v="1"/>
    <n v="36.700000000000003"/>
    <n v="73.400000000000006"/>
    <x v="72"/>
    <d v="2025-03-16T00:00:00"/>
    <x v="2"/>
    <x v="0"/>
    <x v="2"/>
    <x v="0"/>
    <x v="3"/>
    <x v="1"/>
    <x v="10"/>
    <x v="2"/>
  </r>
  <r>
    <s v="TX501986"/>
    <x v="10"/>
    <x v="0"/>
    <n v="20.9"/>
    <n v="20.9"/>
    <x v="72"/>
    <d v="2025-03-16T00:00:00"/>
    <x v="2"/>
    <x v="0"/>
    <x v="4"/>
    <x v="0"/>
    <x v="3"/>
    <x v="1"/>
    <x v="10"/>
    <x v="2"/>
  </r>
  <r>
    <s v="TX501987"/>
    <x v="12"/>
    <x v="2"/>
    <n v="58.8"/>
    <n v="176.39999999999998"/>
    <x v="72"/>
    <d v="2025-03-18T00:00:00"/>
    <x v="1"/>
    <x v="0"/>
    <x v="2"/>
    <x v="0"/>
    <x v="25"/>
    <x v="5"/>
    <x v="10"/>
    <x v="1"/>
  </r>
  <r>
    <s v="TX501988"/>
    <x v="2"/>
    <x v="2"/>
    <n v="97.6"/>
    <n v="292.79999999999995"/>
    <x v="73"/>
    <d v="2025-03-17T00:00:00"/>
    <x v="0"/>
    <x v="0"/>
    <x v="0"/>
    <x v="0"/>
    <x v="6"/>
    <x v="1"/>
    <x v="10"/>
    <x v="0"/>
  </r>
  <r>
    <s v="TX501989"/>
    <x v="1"/>
    <x v="1"/>
    <n v="58.7"/>
    <n v="117.4"/>
    <x v="73"/>
    <d v="2025-03-18T00:00:00"/>
    <x v="2"/>
    <x v="0"/>
    <x v="1"/>
    <x v="0"/>
    <x v="6"/>
    <x v="2"/>
    <x v="10"/>
    <x v="2"/>
  </r>
  <r>
    <s v="TX501990"/>
    <x v="6"/>
    <x v="9"/>
    <n v="71.900000000000006"/>
    <n v="359.5"/>
    <x v="73"/>
    <d v="2025-03-16T00:00:00"/>
    <x v="0"/>
    <x v="0"/>
    <x v="1"/>
    <x v="0"/>
    <x v="6"/>
    <x v="3"/>
    <x v="10"/>
    <x v="0"/>
  </r>
  <r>
    <s v="TX501991"/>
    <x v="1"/>
    <x v="1"/>
    <n v="62.4"/>
    <n v="124.8"/>
    <x v="73"/>
    <d v="2025-03-17T00:00:00"/>
    <x v="0"/>
    <x v="0"/>
    <x v="1"/>
    <x v="0"/>
    <x v="8"/>
    <x v="1"/>
    <x v="10"/>
    <x v="0"/>
  </r>
  <r>
    <s v="TX501992"/>
    <x v="6"/>
    <x v="27"/>
    <n v="53.8"/>
    <n v="860.8"/>
    <x v="73"/>
    <d v="2025-03-16T00:00:00"/>
    <x v="2"/>
    <x v="1"/>
    <x v="0"/>
    <x v="0"/>
    <x v="8"/>
    <x v="3"/>
    <x v="10"/>
    <x v="2"/>
  </r>
  <r>
    <s v="TX501993"/>
    <x v="9"/>
    <x v="0"/>
    <n v="43.8"/>
    <n v="43.8"/>
    <x v="73"/>
    <d v="2025-03-22T00:00:00"/>
    <x v="2"/>
    <x v="0"/>
    <x v="2"/>
    <x v="0"/>
    <x v="8"/>
    <x v="6"/>
    <x v="10"/>
    <x v="2"/>
  </r>
  <r>
    <s v="TX501994"/>
    <x v="5"/>
    <x v="2"/>
    <n v="53.6"/>
    <n v="160.80000000000001"/>
    <x v="73"/>
    <d v="2025-03-16T00:00:00"/>
    <x v="1"/>
    <x v="3"/>
    <x v="0"/>
    <x v="0"/>
    <x v="8"/>
    <x v="3"/>
    <x v="10"/>
    <x v="1"/>
  </r>
  <r>
    <s v="TX501995"/>
    <x v="12"/>
    <x v="1"/>
    <n v="84.3"/>
    <n v="168.6"/>
    <x v="73"/>
    <d v="2025-03-18T00:00:00"/>
    <x v="1"/>
    <x v="4"/>
    <x v="1"/>
    <x v="0"/>
    <x v="8"/>
    <x v="2"/>
    <x v="10"/>
    <x v="1"/>
  </r>
  <r>
    <s v="TX501996"/>
    <x v="6"/>
    <x v="11"/>
    <n v="117.9"/>
    <n v="1061.1000000000001"/>
    <x v="73"/>
    <d v="2025-03-16T00:00:00"/>
    <x v="2"/>
    <x v="1"/>
    <x v="2"/>
    <x v="0"/>
    <x v="8"/>
    <x v="3"/>
    <x v="10"/>
    <x v="2"/>
  </r>
  <r>
    <s v="TX501997"/>
    <x v="4"/>
    <x v="8"/>
    <n v="30"/>
    <n v="240"/>
    <x v="73"/>
    <d v="2025-03-16T00:00:00"/>
    <x v="2"/>
    <x v="1"/>
    <x v="0"/>
    <x v="0"/>
    <x v="26"/>
    <x v="3"/>
    <x v="10"/>
    <x v="2"/>
  </r>
  <r>
    <s v="TX501998"/>
    <x v="14"/>
    <x v="2"/>
    <n v="37.299999999999997"/>
    <n v="111.89999999999999"/>
    <x v="73"/>
    <d v="2025-03-16T00:00:00"/>
    <x v="1"/>
    <x v="2"/>
    <x v="0"/>
    <x v="0"/>
    <x v="9"/>
    <x v="3"/>
    <x v="10"/>
    <x v="1"/>
  </r>
  <r>
    <s v="TX501999"/>
    <x v="4"/>
    <x v="11"/>
    <n v="25.1"/>
    <n v="225.9"/>
    <x v="73"/>
    <d v="2025-03-17T00:00:00"/>
    <x v="1"/>
    <x v="1"/>
    <x v="2"/>
    <x v="0"/>
    <x v="11"/>
    <x v="1"/>
    <x v="10"/>
    <x v="1"/>
  </r>
  <r>
    <s v="TX502000"/>
    <x v="8"/>
    <x v="5"/>
    <n v="36"/>
    <n v="396"/>
    <x v="73"/>
    <d v="2025-03-25T00:00:00"/>
    <x v="1"/>
    <x v="1"/>
    <x v="0"/>
    <x v="0"/>
    <x v="18"/>
    <x v="14"/>
    <x v="10"/>
    <x v="1"/>
  </r>
  <r>
    <s v="TX502001"/>
    <x v="16"/>
    <x v="2"/>
    <n v="48.5"/>
    <n v="145.5"/>
    <x v="73"/>
    <d v="2025-03-19T00:00:00"/>
    <x v="2"/>
    <x v="1"/>
    <x v="0"/>
    <x v="0"/>
    <x v="19"/>
    <x v="5"/>
    <x v="10"/>
    <x v="2"/>
  </r>
  <r>
    <s v="TX502002"/>
    <x v="17"/>
    <x v="13"/>
    <n v="21.1"/>
    <n v="126.60000000000001"/>
    <x v="73"/>
    <d v="2025-03-16T00:00:00"/>
    <x v="1"/>
    <x v="1"/>
    <x v="2"/>
    <x v="0"/>
    <x v="21"/>
    <x v="3"/>
    <x v="10"/>
    <x v="1"/>
  </r>
  <r>
    <s v="TX502003"/>
    <x v="15"/>
    <x v="21"/>
    <n v="43.2"/>
    <n v="604.80000000000007"/>
    <x v="73"/>
    <d v="2025-03-16T00:00:00"/>
    <x v="3"/>
    <x v="0"/>
    <x v="1"/>
    <x v="0"/>
    <x v="21"/>
    <x v="3"/>
    <x v="10"/>
    <x v="3"/>
  </r>
  <r>
    <s v="TX502004"/>
    <x v="9"/>
    <x v="1"/>
    <n v="21.1"/>
    <n v="42.2"/>
    <x v="73"/>
    <d v="2025-03-16T00:00:00"/>
    <x v="0"/>
    <x v="3"/>
    <x v="1"/>
    <x v="0"/>
    <x v="21"/>
    <x v="3"/>
    <x v="10"/>
    <x v="0"/>
  </r>
  <r>
    <s v="TX502005"/>
    <x v="6"/>
    <x v="12"/>
    <n v="41.3"/>
    <n v="165.2"/>
    <x v="73"/>
    <d v="2025-03-17T00:00:00"/>
    <x v="2"/>
    <x v="3"/>
    <x v="2"/>
    <x v="0"/>
    <x v="1"/>
    <x v="1"/>
    <x v="10"/>
    <x v="2"/>
  </r>
  <r>
    <s v="TX502006"/>
    <x v="8"/>
    <x v="1"/>
    <n v="15.3"/>
    <n v="30.6"/>
    <x v="73"/>
    <d v="2025-03-18T00:00:00"/>
    <x v="0"/>
    <x v="2"/>
    <x v="2"/>
    <x v="0"/>
    <x v="1"/>
    <x v="2"/>
    <x v="10"/>
    <x v="0"/>
  </r>
  <r>
    <s v="TX502007"/>
    <x v="1"/>
    <x v="0"/>
    <n v="54.6"/>
    <n v="54.6"/>
    <x v="73"/>
    <d v="2025-03-17T00:00:00"/>
    <x v="1"/>
    <x v="1"/>
    <x v="1"/>
    <x v="0"/>
    <x v="2"/>
    <x v="1"/>
    <x v="10"/>
    <x v="1"/>
  </r>
  <r>
    <s v="TX502008"/>
    <x v="8"/>
    <x v="0"/>
    <n v="15.9"/>
    <n v="15.9"/>
    <x v="73"/>
    <d v="2025-03-16T00:00:00"/>
    <x v="1"/>
    <x v="0"/>
    <x v="1"/>
    <x v="0"/>
    <x v="22"/>
    <x v="3"/>
    <x v="10"/>
    <x v="1"/>
  </r>
  <r>
    <s v="TX502009"/>
    <x v="9"/>
    <x v="0"/>
    <n v="50.2"/>
    <n v="50.2"/>
    <x v="73"/>
    <d v="2025-03-17T00:00:00"/>
    <x v="2"/>
    <x v="3"/>
    <x v="2"/>
    <x v="0"/>
    <x v="34"/>
    <x v="1"/>
    <x v="10"/>
    <x v="2"/>
  </r>
  <r>
    <s v="TX502010"/>
    <x v="11"/>
    <x v="12"/>
    <n v="85.1"/>
    <n v="340.4"/>
    <x v="73"/>
    <d v="2025-03-16T00:00:00"/>
    <x v="2"/>
    <x v="3"/>
    <x v="4"/>
    <x v="0"/>
    <x v="34"/>
    <x v="3"/>
    <x v="10"/>
    <x v="2"/>
  </r>
  <r>
    <s v="TX502011"/>
    <x v="11"/>
    <x v="1"/>
    <n v="41.4"/>
    <n v="82.8"/>
    <x v="73"/>
    <d v="2025-03-16T00:00:00"/>
    <x v="2"/>
    <x v="0"/>
    <x v="2"/>
    <x v="0"/>
    <x v="3"/>
    <x v="3"/>
    <x v="10"/>
    <x v="2"/>
  </r>
  <r>
    <s v="TX502012"/>
    <x v="4"/>
    <x v="3"/>
    <n v="32.700000000000003"/>
    <n v="228.90000000000003"/>
    <x v="73"/>
    <d v="2025-03-16T00:00:00"/>
    <x v="2"/>
    <x v="2"/>
    <x v="1"/>
    <x v="0"/>
    <x v="3"/>
    <x v="3"/>
    <x v="10"/>
    <x v="2"/>
  </r>
  <r>
    <s v="TX502013"/>
    <x v="4"/>
    <x v="1"/>
    <n v="41.6"/>
    <n v="83.2"/>
    <x v="73"/>
    <d v="2025-03-17T00:00:00"/>
    <x v="1"/>
    <x v="4"/>
    <x v="1"/>
    <x v="0"/>
    <x v="3"/>
    <x v="1"/>
    <x v="10"/>
    <x v="1"/>
  </r>
  <r>
    <s v="TX502014"/>
    <x v="5"/>
    <x v="12"/>
    <n v="64.8"/>
    <n v="259.2"/>
    <x v="73"/>
    <d v="2025-03-16T00:00:00"/>
    <x v="0"/>
    <x v="2"/>
    <x v="0"/>
    <x v="0"/>
    <x v="3"/>
    <x v="3"/>
    <x v="10"/>
    <x v="0"/>
  </r>
  <r>
    <s v="TX502015"/>
    <x v="15"/>
    <x v="1"/>
    <n v="33.6"/>
    <n v="67.2"/>
    <x v="73"/>
    <d v="2025-03-16T00:00:00"/>
    <x v="1"/>
    <x v="0"/>
    <x v="2"/>
    <x v="0"/>
    <x v="3"/>
    <x v="3"/>
    <x v="10"/>
    <x v="1"/>
  </r>
  <r>
    <s v="TX502016"/>
    <x v="6"/>
    <x v="2"/>
    <n v="100.7"/>
    <n v="302.10000000000002"/>
    <x v="73"/>
    <d v="2025-03-16T00:00:00"/>
    <x v="0"/>
    <x v="1"/>
    <x v="0"/>
    <x v="0"/>
    <x v="3"/>
    <x v="3"/>
    <x v="10"/>
    <x v="0"/>
  </r>
  <r>
    <s v="TX502017"/>
    <x v="4"/>
    <x v="1"/>
    <n v="49.3"/>
    <n v="98.6"/>
    <x v="74"/>
    <d v="2025-03-18T00:00:00"/>
    <x v="2"/>
    <x v="4"/>
    <x v="2"/>
    <x v="0"/>
    <x v="3"/>
    <x v="1"/>
    <x v="11"/>
    <x v="2"/>
  </r>
  <r>
    <s v="TX502018"/>
    <x v="2"/>
    <x v="13"/>
    <n v="97"/>
    <n v="582"/>
    <x v="74"/>
    <d v="2025-03-19T00:00:00"/>
    <x v="1"/>
    <x v="2"/>
    <x v="2"/>
    <x v="0"/>
    <x v="3"/>
    <x v="2"/>
    <x v="11"/>
    <x v="1"/>
  </r>
  <r>
    <s v="TX502019"/>
    <x v="0"/>
    <x v="13"/>
    <n v="25.2"/>
    <n v="151.19999999999999"/>
    <x v="74"/>
    <d v="2025-03-19T00:00:00"/>
    <x v="2"/>
    <x v="4"/>
    <x v="2"/>
    <x v="0"/>
    <x v="3"/>
    <x v="2"/>
    <x v="11"/>
    <x v="2"/>
  </r>
  <r>
    <s v="TX502020"/>
    <x v="0"/>
    <x v="5"/>
    <n v="12.2"/>
    <n v="134.19999999999999"/>
    <x v="74"/>
    <d v="2025-03-17T00:00:00"/>
    <x v="0"/>
    <x v="0"/>
    <x v="1"/>
    <x v="0"/>
    <x v="3"/>
    <x v="3"/>
    <x v="11"/>
    <x v="0"/>
  </r>
  <r>
    <s v="TX502021"/>
    <x v="8"/>
    <x v="3"/>
    <n v="38.799999999999997"/>
    <n v="271.59999999999997"/>
    <x v="74"/>
    <d v="2025-03-18T00:00:00"/>
    <x v="2"/>
    <x v="1"/>
    <x v="1"/>
    <x v="0"/>
    <x v="23"/>
    <x v="1"/>
    <x v="11"/>
    <x v="2"/>
  </r>
  <r>
    <s v="TX502022"/>
    <x v="2"/>
    <x v="12"/>
    <n v="53.2"/>
    <n v="212.8"/>
    <x v="74"/>
    <d v="2025-03-17T00:00:00"/>
    <x v="1"/>
    <x v="0"/>
    <x v="2"/>
    <x v="0"/>
    <x v="8"/>
    <x v="3"/>
    <x v="11"/>
    <x v="1"/>
  </r>
  <r>
    <s v="TX502023"/>
    <x v="6"/>
    <x v="3"/>
    <n v="151"/>
    <n v="1057"/>
    <x v="74"/>
    <d v="2025-03-17T00:00:00"/>
    <x v="3"/>
    <x v="1"/>
    <x v="1"/>
    <x v="0"/>
    <x v="8"/>
    <x v="3"/>
    <x v="11"/>
    <x v="3"/>
  </r>
  <r>
    <s v="TX502024"/>
    <x v="1"/>
    <x v="1"/>
    <n v="37.1"/>
    <n v="74.2"/>
    <x v="74"/>
    <d v="2025-03-17T00:00:00"/>
    <x v="2"/>
    <x v="4"/>
    <x v="0"/>
    <x v="0"/>
    <x v="8"/>
    <x v="3"/>
    <x v="11"/>
    <x v="2"/>
  </r>
  <r>
    <s v="TX502025"/>
    <x v="5"/>
    <x v="1"/>
    <n v="38.9"/>
    <n v="77.8"/>
    <x v="74"/>
    <d v="2025-03-17T00:00:00"/>
    <x v="1"/>
    <x v="4"/>
    <x v="0"/>
    <x v="0"/>
    <x v="8"/>
    <x v="3"/>
    <x v="11"/>
    <x v="1"/>
  </r>
  <r>
    <s v="TX502026"/>
    <x v="10"/>
    <x v="1"/>
    <n v="35.200000000000003"/>
    <n v="70.400000000000006"/>
    <x v="74"/>
    <d v="2025-03-17T00:00:00"/>
    <x v="1"/>
    <x v="0"/>
    <x v="2"/>
    <x v="0"/>
    <x v="17"/>
    <x v="3"/>
    <x v="11"/>
    <x v="1"/>
  </r>
  <r>
    <s v="TX502027"/>
    <x v="0"/>
    <x v="1"/>
    <n v="22.3"/>
    <n v="44.6"/>
    <x v="74"/>
    <d v="2025-03-18T00:00:00"/>
    <x v="2"/>
    <x v="1"/>
    <x v="0"/>
    <x v="0"/>
    <x v="9"/>
    <x v="1"/>
    <x v="11"/>
    <x v="2"/>
  </r>
  <r>
    <s v="TX502028"/>
    <x v="9"/>
    <x v="0"/>
    <n v="43.3"/>
    <n v="43.3"/>
    <x v="74"/>
    <d v="2025-03-19T00:00:00"/>
    <x v="2"/>
    <x v="0"/>
    <x v="2"/>
    <x v="0"/>
    <x v="11"/>
    <x v="2"/>
    <x v="11"/>
    <x v="2"/>
  </r>
  <r>
    <s v="TX502029"/>
    <x v="6"/>
    <x v="13"/>
    <n v="75.900000000000006"/>
    <n v="455.40000000000003"/>
    <x v="74"/>
    <d v="2025-03-22T00:00:00"/>
    <x v="1"/>
    <x v="0"/>
    <x v="0"/>
    <x v="0"/>
    <x v="11"/>
    <x v="4"/>
    <x v="11"/>
    <x v="1"/>
  </r>
  <r>
    <s v="TX502030"/>
    <x v="6"/>
    <x v="2"/>
    <n v="78.7"/>
    <n v="236.10000000000002"/>
    <x v="74"/>
    <d v="2025-03-20T00:00:00"/>
    <x v="2"/>
    <x v="2"/>
    <x v="1"/>
    <x v="0"/>
    <x v="11"/>
    <x v="5"/>
    <x v="11"/>
    <x v="2"/>
  </r>
  <r>
    <s v="TX502031"/>
    <x v="1"/>
    <x v="0"/>
    <n v="66.3"/>
    <n v="66.3"/>
    <x v="74"/>
    <d v="2025-03-20T00:00:00"/>
    <x v="2"/>
    <x v="0"/>
    <x v="2"/>
    <x v="0"/>
    <x v="19"/>
    <x v="5"/>
    <x v="11"/>
    <x v="2"/>
  </r>
  <r>
    <s v="TX502032"/>
    <x v="8"/>
    <x v="1"/>
    <n v="33.6"/>
    <n v="67.2"/>
    <x v="74"/>
    <d v="2025-03-16T00:00:00"/>
    <x v="1"/>
    <x v="0"/>
    <x v="1"/>
    <x v="0"/>
    <x v="19"/>
    <x v="7"/>
    <x v="11"/>
    <x v="1"/>
  </r>
  <r>
    <s v="TX502033"/>
    <x v="2"/>
    <x v="3"/>
    <n v="61.4"/>
    <n v="429.8"/>
    <x v="74"/>
    <d v="2025-03-17T00:00:00"/>
    <x v="1"/>
    <x v="4"/>
    <x v="0"/>
    <x v="0"/>
    <x v="19"/>
    <x v="3"/>
    <x v="11"/>
    <x v="1"/>
  </r>
  <r>
    <s v="TX502034"/>
    <x v="8"/>
    <x v="1"/>
    <n v="17.5"/>
    <n v="35"/>
    <x v="74"/>
    <d v="2025-03-19T00:00:00"/>
    <x v="2"/>
    <x v="0"/>
    <x v="0"/>
    <x v="0"/>
    <x v="21"/>
    <x v="2"/>
    <x v="11"/>
    <x v="2"/>
  </r>
  <r>
    <s v="TX502035"/>
    <x v="8"/>
    <x v="1"/>
    <n v="32.5"/>
    <n v="65"/>
    <x v="74"/>
    <d v="2025-03-19T00:00:00"/>
    <x v="2"/>
    <x v="1"/>
    <x v="0"/>
    <x v="0"/>
    <x v="21"/>
    <x v="2"/>
    <x v="11"/>
    <x v="2"/>
  </r>
  <r>
    <s v="TX502036"/>
    <x v="4"/>
    <x v="0"/>
    <n v="34.6"/>
    <n v="34.6"/>
    <x v="74"/>
    <d v="2025-03-17T00:00:00"/>
    <x v="2"/>
    <x v="4"/>
    <x v="0"/>
    <x v="0"/>
    <x v="21"/>
    <x v="3"/>
    <x v="11"/>
    <x v="2"/>
  </r>
  <r>
    <s v="TX502037"/>
    <x v="2"/>
    <x v="0"/>
    <n v="75.900000000000006"/>
    <n v="75.900000000000006"/>
    <x v="74"/>
    <d v="2025-03-16T00:00:00"/>
    <x v="1"/>
    <x v="1"/>
    <x v="2"/>
    <x v="0"/>
    <x v="21"/>
    <x v="7"/>
    <x v="11"/>
    <x v="1"/>
  </r>
  <r>
    <s v="TX502038"/>
    <x v="1"/>
    <x v="2"/>
    <n v="42.1"/>
    <n v="126.30000000000001"/>
    <x v="74"/>
    <d v="2025-03-19T00:00:00"/>
    <x v="1"/>
    <x v="1"/>
    <x v="1"/>
    <x v="0"/>
    <x v="21"/>
    <x v="2"/>
    <x v="11"/>
    <x v="1"/>
  </r>
  <r>
    <s v="TX502039"/>
    <x v="7"/>
    <x v="2"/>
    <n v="65.3"/>
    <n v="195.89999999999998"/>
    <x v="74"/>
    <d v="2025-03-23T00:00:00"/>
    <x v="1"/>
    <x v="0"/>
    <x v="0"/>
    <x v="0"/>
    <x v="1"/>
    <x v="6"/>
    <x v="11"/>
    <x v="1"/>
  </r>
  <r>
    <s v="TX502040"/>
    <x v="15"/>
    <x v="0"/>
    <n v="20.6"/>
    <n v="20.6"/>
    <x v="74"/>
    <d v="2025-03-19T00:00:00"/>
    <x v="1"/>
    <x v="3"/>
    <x v="0"/>
    <x v="0"/>
    <x v="42"/>
    <x v="2"/>
    <x v="11"/>
    <x v="1"/>
  </r>
  <r>
    <s v="TX502041"/>
    <x v="8"/>
    <x v="3"/>
    <n v="16.5"/>
    <n v="115.5"/>
    <x v="74"/>
    <d v="2025-03-17T00:00:00"/>
    <x v="1"/>
    <x v="1"/>
    <x v="1"/>
    <x v="0"/>
    <x v="2"/>
    <x v="3"/>
    <x v="11"/>
    <x v="1"/>
  </r>
  <r>
    <s v="TX502042"/>
    <x v="16"/>
    <x v="7"/>
    <n v="36.200000000000003"/>
    <n v="362"/>
    <x v="74"/>
    <d v="2025-03-18T00:00:00"/>
    <x v="1"/>
    <x v="0"/>
    <x v="2"/>
    <x v="0"/>
    <x v="2"/>
    <x v="1"/>
    <x v="11"/>
    <x v="1"/>
  </r>
  <r>
    <s v="TX502043"/>
    <x v="6"/>
    <x v="0"/>
    <n v="53.2"/>
    <n v="53.2"/>
    <x v="74"/>
    <d v="2025-03-17T00:00:00"/>
    <x v="2"/>
    <x v="0"/>
    <x v="1"/>
    <x v="0"/>
    <x v="22"/>
    <x v="3"/>
    <x v="11"/>
    <x v="2"/>
  </r>
  <r>
    <s v="TX502044"/>
    <x v="2"/>
    <x v="21"/>
    <n v="176"/>
    <n v="2464"/>
    <x v="74"/>
    <d v="2025-03-17T00:00:00"/>
    <x v="2"/>
    <x v="0"/>
    <x v="1"/>
    <x v="0"/>
    <x v="3"/>
    <x v="3"/>
    <x v="11"/>
    <x v="2"/>
  </r>
  <r>
    <s v="TX502045"/>
    <x v="1"/>
    <x v="0"/>
    <n v="52.4"/>
    <n v="52.4"/>
    <x v="74"/>
    <d v="2025-03-17T00:00:00"/>
    <x v="1"/>
    <x v="1"/>
    <x v="0"/>
    <x v="0"/>
    <x v="3"/>
    <x v="3"/>
    <x v="11"/>
    <x v="1"/>
  </r>
  <r>
    <s v="TX502046"/>
    <x v="10"/>
    <x v="2"/>
    <n v="48.2"/>
    <n v="144.60000000000002"/>
    <x v="74"/>
    <d v="2025-03-17T00:00:00"/>
    <x v="2"/>
    <x v="1"/>
    <x v="2"/>
    <x v="0"/>
    <x v="3"/>
    <x v="3"/>
    <x v="11"/>
    <x v="2"/>
  </r>
  <r>
    <s v="TX502047"/>
    <x v="15"/>
    <x v="0"/>
    <n v="51.6"/>
    <n v="51.6"/>
    <x v="74"/>
    <d v="2025-03-20T00:00:00"/>
    <x v="2"/>
    <x v="2"/>
    <x v="1"/>
    <x v="0"/>
    <x v="3"/>
    <x v="5"/>
    <x v="11"/>
    <x v="2"/>
  </r>
  <r>
    <s v="TX502048"/>
    <x v="0"/>
    <x v="12"/>
    <n v="33.700000000000003"/>
    <n v="134.80000000000001"/>
    <x v="75"/>
    <d v="2025-03-18T00:00:00"/>
    <x v="1"/>
    <x v="0"/>
    <x v="0"/>
    <x v="0"/>
    <x v="3"/>
    <x v="3"/>
    <x v="11"/>
    <x v="1"/>
  </r>
  <r>
    <s v="TX502049"/>
    <x v="4"/>
    <x v="7"/>
    <n v="36.299999999999997"/>
    <n v="363"/>
    <x v="75"/>
    <d v="2025-03-19T00:00:00"/>
    <x v="2"/>
    <x v="4"/>
    <x v="1"/>
    <x v="0"/>
    <x v="3"/>
    <x v="1"/>
    <x v="11"/>
    <x v="2"/>
  </r>
  <r>
    <s v="TX502050"/>
    <x v="8"/>
    <x v="0"/>
    <n v="23.4"/>
    <n v="23.4"/>
    <x v="75"/>
    <d v="2025-03-22T00:00:00"/>
    <x v="2"/>
    <x v="1"/>
    <x v="2"/>
    <x v="0"/>
    <x v="3"/>
    <x v="0"/>
    <x v="11"/>
    <x v="2"/>
  </r>
  <r>
    <s v="TX502051"/>
    <x v="15"/>
    <x v="8"/>
    <n v="56.6"/>
    <n v="452.8"/>
    <x v="75"/>
    <d v="2025-03-19T00:00:00"/>
    <x v="2"/>
    <x v="1"/>
    <x v="0"/>
    <x v="0"/>
    <x v="3"/>
    <x v="1"/>
    <x v="11"/>
    <x v="2"/>
  </r>
  <r>
    <s v="TX502052"/>
    <x v="15"/>
    <x v="1"/>
    <n v="26.8"/>
    <n v="53.6"/>
    <x v="75"/>
    <d v="2025-03-18T00:00:00"/>
    <x v="1"/>
    <x v="0"/>
    <x v="0"/>
    <x v="0"/>
    <x v="4"/>
    <x v="3"/>
    <x v="11"/>
    <x v="1"/>
  </r>
  <r>
    <s v="TX502053"/>
    <x v="0"/>
    <x v="2"/>
    <n v="11.3"/>
    <n v="33.900000000000006"/>
    <x v="75"/>
    <d v="2025-03-19T00:00:00"/>
    <x v="1"/>
    <x v="2"/>
    <x v="0"/>
    <x v="0"/>
    <x v="25"/>
    <x v="1"/>
    <x v="11"/>
    <x v="1"/>
  </r>
  <r>
    <s v="TX502054"/>
    <x v="6"/>
    <x v="2"/>
    <n v="60.1"/>
    <n v="180.3"/>
    <x v="75"/>
    <d v="2025-03-20T00:00:00"/>
    <x v="2"/>
    <x v="0"/>
    <x v="0"/>
    <x v="0"/>
    <x v="7"/>
    <x v="2"/>
    <x v="11"/>
    <x v="2"/>
  </r>
  <r>
    <s v="TX502055"/>
    <x v="0"/>
    <x v="5"/>
    <n v="27.7"/>
    <n v="304.7"/>
    <x v="75"/>
    <d v="2025-03-22T00:00:00"/>
    <x v="2"/>
    <x v="0"/>
    <x v="0"/>
    <x v="0"/>
    <x v="8"/>
    <x v="0"/>
    <x v="11"/>
    <x v="2"/>
  </r>
  <r>
    <s v="TX502056"/>
    <x v="15"/>
    <x v="0"/>
    <n v="71.400000000000006"/>
    <n v="71.400000000000006"/>
    <x v="75"/>
    <d v="2025-03-20T00:00:00"/>
    <x v="1"/>
    <x v="0"/>
    <x v="2"/>
    <x v="0"/>
    <x v="8"/>
    <x v="2"/>
    <x v="11"/>
    <x v="1"/>
  </r>
  <r>
    <s v="TX502057"/>
    <x v="2"/>
    <x v="1"/>
    <n v="66.7"/>
    <n v="133.4"/>
    <x v="75"/>
    <d v="2025-03-18T00:00:00"/>
    <x v="2"/>
    <x v="0"/>
    <x v="2"/>
    <x v="0"/>
    <x v="8"/>
    <x v="3"/>
    <x v="11"/>
    <x v="2"/>
  </r>
  <r>
    <s v="TX502058"/>
    <x v="13"/>
    <x v="9"/>
    <n v="39.1"/>
    <n v="195.5"/>
    <x v="75"/>
    <d v="2025-03-18T00:00:00"/>
    <x v="2"/>
    <x v="0"/>
    <x v="0"/>
    <x v="0"/>
    <x v="8"/>
    <x v="3"/>
    <x v="11"/>
    <x v="2"/>
  </r>
  <r>
    <s v="TX502059"/>
    <x v="8"/>
    <x v="12"/>
    <n v="24.9"/>
    <n v="99.6"/>
    <x v="75"/>
    <d v="2025-03-22T00:00:00"/>
    <x v="1"/>
    <x v="1"/>
    <x v="2"/>
    <x v="0"/>
    <x v="8"/>
    <x v="0"/>
    <x v="11"/>
    <x v="1"/>
  </r>
  <r>
    <s v="TX502060"/>
    <x v="5"/>
    <x v="9"/>
    <n v="29.2"/>
    <n v="146"/>
    <x v="75"/>
    <d v="2025-03-18T00:00:00"/>
    <x v="1"/>
    <x v="0"/>
    <x v="2"/>
    <x v="0"/>
    <x v="17"/>
    <x v="3"/>
    <x v="11"/>
    <x v="1"/>
  </r>
  <r>
    <s v="TX502061"/>
    <x v="13"/>
    <x v="21"/>
    <n v="28.3"/>
    <n v="396.2"/>
    <x v="75"/>
    <d v="2025-03-19T00:00:00"/>
    <x v="2"/>
    <x v="1"/>
    <x v="0"/>
    <x v="0"/>
    <x v="11"/>
    <x v="1"/>
    <x v="11"/>
    <x v="2"/>
  </r>
  <r>
    <s v="TX502062"/>
    <x v="9"/>
    <x v="2"/>
    <n v="37.799999999999997"/>
    <n v="113.39999999999999"/>
    <x v="75"/>
    <d v="2025-03-18T00:00:00"/>
    <x v="2"/>
    <x v="0"/>
    <x v="1"/>
    <x v="0"/>
    <x v="11"/>
    <x v="3"/>
    <x v="11"/>
    <x v="2"/>
  </r>
  <r>
    <s v="TX502063"/>
    <x v="14"/>
    <x v="3"/>
    <n v="28.1"/>
    <n v="196.70000000000002"/>
    <x v="75"/>
    <d v="2025-03-23T00:00:00"/>
    <x v="2"/>
    <x v="2"/>
    <x v="0"/>
    <x v="0"/>
    <x v="11"/>
    <x v="4"/>
    <x v="11"/>
    <x v="2"/>
  </r>
  <r>
    <s v="TX502064"/>
    <x v="1"/>
    <x v="2"/>
    <n v="59.7"/>
    <n v="179.10000000000002"/>
    <x v="75"/>
    <d v="2025-03-19T00:00:00"/>
    <x v="2"/>
    <x v="2"/>
    <x v="0"/>
    <x v="0"/>
    <x v="11"/>
    <x v="1"/>
    <x v="11"/>
    <x v="2"/>
  </r>
  <r>
    <s v="TX502065"/>
    <x v="16"/>
    <x v="0"/>
    <n v="71.900000000000006"/>
    <n v="71.900000000000006"/>
    <x v="75"/>
    <d v="2025-03-18T00:00:00"/>
    <x v="1"/>
    <x v="1"/>
    <x v="1"/>
    <x v="0"/>
    <x v="11"/>
    <x v="3"/>
    <x v="11"/>
    <x v="1"/>
  </r>
  <r>
    <s v="TX502066"/>
    <x v="1"/>
    <x v="1"/>
    <n v="56.9"/>
    <n v="113.8"/>
    <x v="75"/>
    <d v="2025-03-18T00:00:00"/>
    <x v="1"/>
    <x v="2"/>
    <x v="0"/>
    <x v="0"/>
    <x v="13"/>
    <x v="3"/>
    <x v="11"/>
    <x v="1"/>
  </r>
  <r>
    <s v="TX502067"/>
    <x v="8"/>
    <x v="1"/>
    <n v="15.8"/>
    <n v="31.6"/>
    <x v="75"/>
    <d v="2025-03-20T00:00:00"/>
    <x v="2"/>
    <x v="2"/>
    <x v="1"/>
    <x v="0"/>
    <x v="1"/>
    <x v="2"/>
    <x v="11"/>
    <x v="2"/>
  </r>
  <r>
    <s v="TX502068"/>
    <x v="11"/>
    <x v="12"/>
    <n v="61.7"/>
    <n v="246.8"/>
    <x v="75"/>
    <d v="2025-03-19T00:00:00"/>
    <x v="2"/>
    <x v="2"/>
    <x v="0"/>
    <x v="0"/>
    <x v="22"/>
    <x v="1"/>
    <x v="11"/>
    <x v="2"/>
  </r>
  <r>
    <s v="TX502069"/>
    <x v="2"/>
    <x v="7"/>
    <n v="105.2"/>
    <n v="1052"/>
    <x v="75"/>
    <d v="2025-03-19T00:00:00"/>
    <x v="1"/>
    <x v="1"/>
    <x v="4"/>
    <x v="0"/>
    <x v="3"/>
    <x v="1"/>
    <x v="11"/>
    <x v="1"/>
  </r>
  <r>
    <s v="TX502070"/>
    <x v="0"/>
    <x v="1"/>
    <n v="17"/>
    <n v="34"/>
    <x v="75"/>
    <d v="2025-03-19T00:00:00"/>
    <x v="2"/>
    <x v="2"/>
    <x v="0"/>
    <x v="0"/>
    <x v="3"/>
    <x v="1"/>
    <x v="11"/>
    <x v="2"/>
  </r>
  <r>
    <s v="TX502071"/>
    <x v="6"/>
    <x v="2"/>
    <n v="84.1"/>
    <n v="252.29999999999998"/>
    <x v="75"/>
    <d v="2025-03-18T00:00:00"/>
    <x v="1"/>
    <x v="2"/>
    <x v="0"/>
    <x v="0"/>
    <x v="3"/>
    <x v="3"/>
    <x v="11"/>
    <x v="1"/>
  </r>
  <r>
    <s v="TX502072"/>
    <x v="3"/>
    <x v="12"/>
    <n v="59.5"/>
    <n v="238"/>
    <x v="75"/>
    <d v="2025-03-22T00:00:00"/>
    <x v="1"/>
    <x v="0"/>
    <x v="2"/>
    <x v="0"/>
    <x v="3"/>
    <x v="0"/>
    <x v="11"/>
    <x v="1"/>
  </r>
  <r>
    <s v="TX502073"/>
    <x v="8"/>
    <x v="1"/>
    <n v="57.5"/>
    <n v="115"/>
    <x v="75"/>
    <d v="2025-03-19T00:00:00"/>
    <x v="1"/>
    <x v="1"/>
    <x v="2"/>
    <x v="0"/>
    <x v="3"/>
    <x v="1"/>
    <x v="11"/>
    <x v="1"/>
  </r>
  <r>
    <s v="TX502074"/>
    <x v="8"/>
    <x v="0"/>
    <n v="34.299999999999997"/>
    <n v="34.299999999999997"/>
    <x v="75"/>
    <d v="2025-03-18T00:00:00"/>
    <x v="2"/>
    <x v="4"/>
    <x v="2"/>
    <x v="0"/>
    <x v="3"/>
    <x v="3"/>
    <x v="11"/>
    <x v="2"/>
  </r>
  <r>
    <s v="TX502075"/>
    <x v="5"/>
    <x v="1"/>
    <n v="27.8"/>
    <n v="55.6"/>
    <x v="76"/>
    <d v="2025-03-20T00:00:00"/>
    <x v="2"/>
    <x v="0"/>
    <x v="0"/>
    <x v="0"/>
    <x v="3"/>
    <x v="1"/>
    <x v="11"/>
    <x v="2"/>
  </r>
  <r>
    <s v="TX502076"/>
    <x v="12"/>
    <x v="1"/>
    <n v="85"/>
    <n v="170"/>
    <x v="76"/>
    <d v="2025-03-18T00:00:00"/>
    <x v="1"/>
    <x v="2"/>
    <x v="2"/>
    <x v="0"/>
    <x v="3"/>
    <x v="7"/>
    <x v="11"/>
    <x v="1"/>
  </r>
  <r>
    <s v="TX502077"/>
    <x v="6"/>
    <x v="1"/>
    <n v="95"/>
    <n v="190"/>
    <x v="76"/>
    <d v="2025-03-20T00:00:00"/>
    <x v="2"/>
    <x v="0"/>
    <x v="0"/>
    <x v="0"/>
    <x v="3"/>
    <x v="1"/>
    <x v="11"/>
    <x v="2"/>
  </r>
  <r>
    <s v="TX502078"/>
    <x v="16"/>
    <x v="1"/>
    <n v="32"/>
    <n v="64"/>
    <x v="76"/>
    <d v="2025-03-20T00:00:00"/>
    <x v="1"/>
    <x v="0"/>
    <x v="1"/>
    <x v="0"/>
    <x v="3"/>
    <x v="1"/>
    <x v="11"/>
    <x v="1"/>
  </r>
  <r>
    <s v="TX502079"/>
    <x v="2"/>
    <x v="1"/>
    <n v="65.2"/>
    <n v="130.4"/>
    <x v="76"/>
    <d v="2025-03-19T00:00:00"/>
    <x v="2"/>
    <x v="1"/>
    <x v="0"/>
    <x v="0"/>
    <x v="3"/>
    <x v="3"/>
    <x v="11"/>
    <x v="2"/>
  </r>
  <r>
    <s v="TX502080"/>
    <x v="17"/>
    <x v="12"/>
    <n v="22"/>
    <n v="88"/>
    <x v="76"/>
    <d v="2025-03-19T00:00:00"/>
    <x v="1"/>
    <x v="1"/>
    <x v="2"/>
    <x v="0"/>
    <x v="3"/>
    <x v="3"/>
    <x v="11"/>
    <x v="1"/>
  </r>
  <r>
    <s v="TX502081"/>
    <x v="15"/>
    <x v="2"/>
    <n v="69.400000000000006"/>
    <n v="208.20000000000002"/>
    <x v="76"/>
    <d v="2025-03-21T00:00:00"/>
    <x v="1"/>
    <x v="1"/>
    <x v="2"/>
    <x v="0"/>
    <x v="3"/>
    <x v="2"/>
    <x v="11"/>
    <x v="1"/>
  </r>
  <r>
    <s v="TX502082"/>
    <x v="10"/>
    <x v="13"/>
    <n v="31.5"/>
    <n v="189"/>
    <x v="76"/>
    <d v="2025-03-20T00:00:00"/>
    <x v="2"/>
    <x v="0"/>
    <x v="2"/>
    <x v="0"/>
    <x v="3"/>
    <x v="1"/>
    <x v="11"/>
    <x v="2"/>
  </r>
  <r>
    <s v="TX502083"/>
    <x v="6"/>
    <x v="0"/>
    <n v="45.8"/>
    <n v="45.8"/>
    <x v="76"/>
    <d v="2025-03-22T00:00:00"/>
    <x v="3"/>
    <x v="0"/>
    <x v="0"/>
    <x v="0"/>
    <x v="3"/>
    <x v="5"/>
    <x v="11"/>
    <x v="3"/>
  </r>
  <r>
    <s v="TX502084"/>
    <x v="19"/>
    <x v="12"/>
    <n v="12.8"/>
    <n v="51.2"/>
    <x v="76"/>
    <d v="2025-03-25T00:00:00"/>
    <x v="2"/>
    <x v="1"/>
    <x v="1"/>
    <x v="0"/>
    <x v="5"/>
    <x v="6"/>
    <x v="11"/>
    <x v="2"/>
  </r>
  <r>
    <s v="TX502085"/>
    <x v="5"/>
    <x v="2"/>
    <n v="115.3"/>
    <n v="345.9"/>
    <x v="76"/>
    <d v="2025-03-19T00:00:00"/>
    <x v="2"/>
    <x v="2"/>
    <x v="2"/>
    <x v="0"/>
    <x v="6"/>
    <x v="3"/>
    <x v="11"/>
    <x v="2"/>
  </r>
  <r>
    <s v="TX502086"/>
    <x v="5"/>
    <x v="1"/>
    <n v="85"/>
    <n v="170"/>
    <x v="76"/>
    <d v="2025-03-20T00:00:00"/>
    <x v="2"/>
    <x v="1"/>
    <x v="0"/>
    <x v="0"/>
    <x v="7"/>
    <x v="1"/>
    <x v="11"/>
    <x v="2"/>
  </r>
  <r>
    <s v="TX502087"/>
    <x v="8"/>
    <x v="2"/>
    <n v="56.6"/>
    <n v="169.8"/>
    <x v="76"/>
    <d v="2025-03-19T00:00:00"/>
    <x v="2"/>
    <x v="1"/>
    <x v="2"/>
    <x v="0"/>
    <x v="7"/>
    <x v="3"/>
    <x v="11"/>
    <x v="2"/>
  </r>
  <r>
    <s v="TX502088"/>
    <x v="15"/>
    <x v="6"/>
    <n v="46.3"/>
    <n v="1250.0999999999999"/>
    <x v="76"/>
    <d v="2025-03-21T00:00:00"/>
    <x v="1"/>
    <x v="0"/>
    <x v="0"/>
    <x v="0"/>
    <x v="7"/>
    <x v="2"/>
    <x v="11"/>
    <x v="1"/>
  </r>
  <r>
    <s v="TX502089"/>
    <x v="14"/>
    <x v="12"/>
    <n v="23"/>
    <n v="92"/>
    <x v="76"/>
    <d v="2025-03-22T00:00:00"/>
    <x v="1"/>
    <x v="3"/>
    <x v="2"/>
    <x v="0"/>
    <x v="7"/>
    <x v="5"/>
    <x v="11"/>
    <x v="1"/>
  </r>
  <r>
    <s v="TX502090"/>
    <x v="8"/>
    <x v="13"/>
    <n v="42.1"/>
    <n v="252.60000000000002"/>
    <x v="76"/>
    <d v="2025-03-20T00:00:00"/>
    <x v="1"/>
    <x v="4"/>
    <x v="0"/>
    <x v="0"/>
    <x v="8"/>
    <x v="1"/>
    <x v="11"/>
    <x v="1"/>
  </r>
  <r>
    <s v="TX502091"/>
    <x v="5"/>
    <x v="3"/>
    <n v="57.4"/>
    <n v="401.8"/>
    <x v="76"/>
    <d v="2025-03-22T00:00:00"/>
    <x v="2"/>
    <x v="1"/>
    <x v="4"/>
    <x v="0"/>
    <x v="8"/>
    <x v="5"/>
    <x v="11"/>
    <x v="2"/>
  </r>
  <r>
    <s v="TX502092"/>
    <x v="0"/>
    <x v="13"/>
    <n v="13.2"/>
    <n v="79.199999999999989"/>
    <x v="76"/>
    <d v="2025-03-22T00:00:00"/>
    <x v="1"/>
    <x v="2"/>
    <x v="0"/>
    <x v="0"/>
    <x v="8"/>
    <x v="5"/>
    <x v="11"/>
    <x v="1"/>
  </r>
  <r>
    <s v="TX502093"/>
    <x v="6"/>
    <x v="2"/>
    <n v="52.3"/>
    <n v="156.89999999999998"/>
    <x v="76"/>
    <d v="2025-03-19T00:00:00"/>
    <x v="1"/>
    <x v="1"/>
    <x v="0"/>
    <x v="0"/>
    <x v="8"/>
    <x v="3"/>
    <x v="11"/>
    <x v="1"/>
  </r>
  <r>
    <s v="TX502094"/>
    <x v="8"/>
    <x v="1"/>
    <n v="15.7"/>
    <n v="31.4"/>
    <x v="76"/>
    <d v="2025-03-21T00:00:00"/>
    <x v="1"/>
    <x v="1"/>
    <x v="2"/>
    <x v="0"/>
    <x v="8"/>
    <x v="2"/>
    <x v="11"/>
    <x v="1"/>
  </r>
  <r>
    <s v="TX502095"/>
    <x v="7"/>
    <x v="2"/>
    <n v="35"/>
    <n v="105"/>
    <x v="76"/>
    <d v="2025-03-21T00:00:00"/>
    <x v="2"/>
    <x v="1"/>
    <x v="2"/>
    <x v="0"/>
    <x v="9"/>
    <x v="2"/>
    <x v="11"/>
    <x v="2"/>
  </r>
  <r>
    <s v="TX502096"/>
    <x v="4"/>
    <x v="2"/>
    <n v="26.6"/>
    <n v="79.800000000000011"/>
    <x v="76"/>
    <d v="2025-03-18T00:00:00"/>
    <x v="1"/>
    <x v="1"/>
    <x v="2"/>
    <x v="0"/>
    <x v="11"/>
    <x v="7"/>
    <x v="11"/>
    <x v="1"/>
  </r>
  <r>
    <s v="TX502097"/>
    <x v="4"/>
    <x v="8"/>
    <n v="47.9"/>
    <n v="383.2"/>
    <x v="77"/>
    <d v="2025-03-20T00:00:00"/>
    <x v="2"/>
    <x v="3"/>
    <x v="2"/>
    <x v="0"/>
    <x v="20"/>
    <x v="3"/>
    <x v="11"/>
    <x v="2"/>
  </r>
  <r>
    <s v="TX502098"/>
    <x v="5"/>
    <x v="0"/>
    <n v="80.099999999999994"/>
    <n v="80.099999999999994"/>
    <x v="77"/>
    <d v="2025-03-20T00:00:00"/>
    <x v="1"/>
    <x v="2"/>
    <x v="0"/>
    <x v="0"/>
    <x v="21"/>
    <x v="3"/>
    <x v="11"/>
    <x v="1"/>
  </r>
  <r>
    <s v="TX502099"/>
    <x v="6"/>
    <x v="9"/>
    <n v="50.4"/>
    <n v="252"/>
    <x v="77"/>
    <d v="2025-03-20T00:00:00"/>
    <x v="1"/>
    <x v="1"/>
    <x v="2"/>
    <x v="0"/>
    <x v="21"/>
    <x v="3"/>
    <x v="11"/>
    <x v="1"/>
  </r>
  <r>
    <s v="TX502100"/>
    <x v="10"/>
    <x v="3"/>
    <n v="43.3"/>
    <n v="303.09999999999997"/>
    <x v="77"/>
    <d v="2025-03-20T00:00:00"/>
    <x v="1"/>
    <x v="2"/>
    <x v="0"/>
    <x v="0"/>
    <x v="21"/>
    <x v="3"/>
    <x v="11"/>
    <x v="1"/>
  </r>
  <r>
    <s v="TX502101"/>
    <x v="10"/>
    <x v="12"/>
    <n v="57.5"/>
    <n v="230"/>
    <x v="77"/>
    <d v="2025-03-20T00:00:00"/>
    <x v="2"/>
    <x v="1"/>
    <x v="2"/>
    <x v="0"/>
    <x v="1"/>
    <x v="3"/>
    <x v="11"/>
    <x v="2"/>
  </r>
  <r>
    <s v="TX502102"/>
    <x v="9"/>
    <x v="15"/>
    <n v="24.8"/>
    <n v="322.40000000000003"/>
    <x v="77"/>
    <d v="2025-03-20T00:00:00"/>
    <x v="1"/>
    <x v="0"/>
    <x v="0"/>
    <x v="0"/>
    <x v="57"/>
    <x v="3"/>
    <x v="11"/>
    <x v="1"/>
  </r>
  <r>
    <s v="TX502103"/>
    <x v="2"/>
    <x v="11"/>
    <n v="85.7"/>
    <n v="771.30000000000007"/>
    <x v="77"/>
    <d v="2025-03-20T00:00:00"/>
    <x v="2"/>
    <x v="0"/>
    <x v="0"/>
    <x v="0"/>
    <x v="42"/>
    <x v="3"/>
    <x v="11"/>
    <x v="2"/>
  </r>
  <r>
    <s v="TX502104"/>
    <x v="7"/>
    <x v="0"/>
    <n v="47.1"/>
    <n v="47.1"/>
    <x v="77"/>
    <d v="2025-03-21T00:00:00"/>
    <x v="2"/>
    <x v="0"/>
    <x v="0"/>
    <x v="0"/>
    <x v="2"/>
    <x v="1"/>
    <x v="11"/>
    <x v="2"/>
  </r>
  <r>
    <s v="TX502105"/>
    <x v="5"/>
    <x v="7"/>
    <n v="83.2"/>
    <n v="832"/>
    <x v="77"/>
    <d v="2025-03-23T00:00:00"/>
    <x v="2"/>
    <x v="0"/>
    <x v="0"/>
    <x v="0"/>
    <x v="33"/>
    <x v="5"/>
    <x v="11"/>
    <x v="2"/>
  </r>
  <r>
    <s v="TX502106"/>
    <x v="2"/>
    <x v="2"/>
    <n v="157"/>
    <n v="471"/>
    <x v="77"/>
    <d v="2025-03-21T00:00:00"/>
    <x v="2"/>
    <x v="0"/>
    <x v="2"/>
    <x v="0"/>
    <x v="22"/>
    <x v="1"/>
    <x v="11"/>
    <x v="2"/>
  </r>
  <r>
    <s v="TX502107"/>
    <x v="16"/>
    <x v="12"/>
    <n v="33.700000000000003"/>
    <n v="134.80000000000001"/>
    <x v="77"/>
    <d v="2025-03-20T00:00:00"/>
    <x v="1"/>
    <x v="2"/>
    <x v="2"/>
    <x v="0"/>
    <x v="22"/>
    <x v="3"/>
    <x v="11"/>
    <x v="1"/>
  </r>
  <r>
    <s v="TX502108"/>
    <x v="2"/>
    <x v="2"/>
    <n v="60.8"/>
    <n v="182.39999999999998"/>
    <x v="77"/>
    <d v="2025-03-23T00:00:00"/>
    <x v="2"/>
    <x v="1"/>
    <x v="1"/>
    <x v="0"/>
    <x v="3"/>
    <x v="5"/>
    <x v="11"/>
    <x v="2"/>
  </r>
  <r>
    <s v="TX502109"/>
    <x v="7"/>
    <x v="0"/>
    <n v="57.6"/>
    <n v="57.6"/>
    <x v="77"/>
    <d v="2025-03-20T00:00:00"/>
    <x v="1"/>
    <x v="1"/>
    <x v="4"/>
    <x v="0"/>
    <x v="3"/>
    <x v="3"/>
    <x v="11"/>
    <x v="1"/>
  </r>
  <r>
    <s v="TX502110"/>
    <x v="10"/>
    <x v="0"/>
    <n v="32"/>
    <n v="32"/>
    <x v="77"/>
    <d v="2025-03-21T00:00:00"/>
    <x v="1"/>
    <x v="0"/>
    <x v="0"/>
    <x v="0"/>
    <x v="3"/>
    <x v="1"/>
    <x v="11"/>
    <x v="1"/>
  </r>
  <r>
    <s v="TX502111"/>
    <x v="10"/>
    <x v="12"/>
    <n v="23.5"/>
    <n v="94"/>
    <x v="77"/>
    <d v="2025-03-20T00:00:00"/>
    <x v="2"/>
    <x v="0"/>
    <x v="2"/>
    <x v="0"/>
    <x v="3"/>
    <x v="3"/>
    <x v="11"/>
    <x v="2"/>
  </r>
  <r>
    <s v="TX502112"/>
    <x v="12"/>
    <x v="2"/>
    <n v="44.8"/>
    <n v="134.39999999999998"/>
    <x v="77"/>
    <d v="2025-03-20T00:00:00"/>
    <x v="3"/>
    <x v="4"/>
    <x v="0"/>
    <x v="0"/>
    <x v="3"/>
    <x v="3"/>
    <x v="11"/>
    <x v="3"/>
  </r>
  <r>
    <s v="TX502113"/>
    <x v="0"/>
    <x v="8"/>
    <n v="11.7"/>
    <n v="93.6"/>
    <x v="77"/>
    <d v="2025-03-20T00:00:00"/>
    <x v="1"/>
    <x v="2"/>
    <x v="2"/>
    <x v="0"/>
    <x v="3"/>
    <x v="3"/>
    <x v="11"/>
    <x v="1"/>
  </r>
  <r>
    <s v="TX502114"/>
    <x v="7"/>
    <x v="1"/>
    <n v="38.799999999999997"/>
    <n v="77.599999999999994"/>
    <x v="77"/>
    <d v="2025-03-22T00:00:00"/>
    <x v="2"/>
    <x v="2"/>
    <x v="0"/>
    <x v="0"/>
    <x v="3"/>
    <x v="2"/>
    <x v="11"/>
    <x v="2"/>
  </r>
  <r>
    <s v="TX502115"/>
    <x v="5"/>
    <x v="21"/>
    <n v="86.9"/>
    <n v="1216.6000000000001"/>
    <x v="77"/>
    <d v="2025-03-24T00:00:00"/>
    <x v="2"/>
    <x v="1"/>
    <x v="0"/>
    <x v="0"/>
    <x v="3"/>
    <x v="0"/>
    <x v="11"/>
    <x v="2"/>
  </r>
  <r>
    <s v="TX502116"/>
    <x v="8"/>
    <x v="0"/>
    <n v="18.3"/>
    <n v="18.3"/>
    <x v="77"/>
    <d v="2025-03-20T00:00:00"/>
    <x v="2"/>
    <x v="0"/>
    <x v="0"/>
    <x v="0"/>
    <x v="3"/>
    <x v="3"/>
    <x v="11"/>
    <x v="2"/>
  </r>
  <r>
    <s v="TX502117"/>
    <x v="5"/>
    <x v="0"/>
    <n v="47.5"/>
    <n v="47.5"/>
    <x v="77"/>
    <d v="2025-03-23T00:00:00"/>
    <x v="1"/>
    <x v="4"/>
    <x v="2"/>
    <x v="0"/>
    <x v="3"/>
    <x v="5"/>
    <x v="11"/>
    <x v="1"/>
  </r>
  <r>
    <s v="TX502118"/>
    <x v="1"/>
    <x v="1"/>
    <n v="78.599999999999994"/>
    <n v="157.19999999999999"/>
    <x v="77"/>
    <d v="2025-03-20T00:00:00"/>
    <x v="1"/>
    <x v="2"/>
    <x v="2"/>
    <x v="0"/>
    <x v="3"/>
    <x v="3"/>
    <x v="11"/>
    <x v="1"/>
  </r>
  <r>
    <s v="TX502119"/>
    <x v="6"/>
    <x v="12"/>
    <n v="87.3"/>
    <n v="349.2"/>
    <x v="77"/>
    <d v="2025-03-20T00:00:00"/>
    <x v="1"/>
    <x v="0"/>
    <x v="0"/>
    <x v="0"/>
    <x v="3"/>
    <x v="3"/>
    <x v="11"/>
    <x v="1"/>
  </r>
  <r>
    <s v="TX502120"/>
    <x v="9"/>
    <x v="1"/>
    <n v="63.2"/>
    <n v="126.4"/>
    <x v="77"/>
    <d v="2025-03-19T00:00:00"/>
    <x v="1"/>
    <x v="4"/>
    <x v="1"/>
    <x v="0"/>
    <x v="3"/>
    <x v="7"/>
    <x v="11"/>
    <x v="1"/>
  </r>
  <r>
    <s v="TX502121"/>
    <x v="5"/>
    <x v="9"/>
    <n v="33.700000000000003"/>
    <n v="168.5"/>
    <x v="77"/>
    <d v="2025-03-20T00:00:00"/>
    <x v="2"/>
    <x v="0"/>
    <x v="0"/>
    <x v="0"/>
    <x v="3"/>
    <x v="3"/>
    <x v="11"/>
    <x v="2"/>
  </r>
  <r>
    <s v="TX502122"/>
    <x v="2"/>
    <x v="2"/>
    <n v="107.4"/>
    <n v="322.20000000000005"/>
    <x v="77"/>
    <d v="2025-04-01T00:00:00"/>
    <x v="2"/>
    <x v="1"/>
    <x v="2"/>
    <x v="0"/>
    <x v="3"/>
    <x v="10"/>
    <x v="11"/>
    <x v="2"/>
  </r>
  <r>
    <s v="TX502123"/>
    <x v="4"/>
    <x v="12"/>
    <n v="22.2"/>
    <n v="88.8"/>
    <x v="77"/>
    <d v="2025-03-20T00:00:00"/>
    <x v="0"/>
    <x v="1"/>
    <x v="2"/>
    <x v="0"/>
    <x v="24"/>
    <x v="3"/>
    <x v="11"/>
    <x v="0"/>
  </r>
  <r>
    <s v="TX502124"/>
    <x v="18"/>
    <x v="2"/>
    <n v="52.8"/>
    <n v="158.39999999999998"/>
    <x v="77"/>
    <d v="2025-03-20T00:00:00"/>
    <x v="1"/>
    <x v="3"/>
    <x v="2"/>
    <x v="0"/>
    <x v="24"/>
    <x v="3"/>
    <x v="11"/>
    <x v="1"/>
  </r>
  <r>
    <s v="TX502125"/>
    <x v="8"/>
    <x v="2"/>
    <n v="41.5"/>
    <n v="124.5"/>
    <x v="77"/>
    <d v="2025-03-22T00:00:00"/>
    <x v="2"/>
    <x v="0"/>
    <x v="0"/>
    <x v="0"/>
    <x v="25"/>
    <x v="2"/>
    <x v="11"/>
    <x v="2"/>
  </r>
  <r>
    <s v="TX502126"/>
    <x v="12"/>
    <x v="8"/>
    <n v="103.5"/>
    <n v="828"/>
    <x v="77"/>
    <d v="2025-03-22T00:00:00"/>
    <x v="2"/>
    <x v="0"/>
    <x v="2"/>
    <x v="0"/>
    <x v="23"/>
    <x v="2"/>
    <x v="11"/>
    <x v="2"/>
  </r>
  <r>
    <s v="TX502127"/>
    <x v="4"/>
    <x v="21"/>
    <n v="37.5"/>
    <n v="525"/>
    <x v="77"/>
    <d v="2025-03-19T00:00:00"/>
    <x v="2"/>
    <x v="1"/>
    <x v="2"/>
    <x v="0"/>
    <x v="6"/>
    <x v="7"/>
    <x v="11"/>
    <x v="2"/>
  </r>
  <r>
    <s v="TX502128"/>
    <x v="15"/>
    <x v="8"/>
    <n v="44.4"/>
    <n v="355.2"/>
    <x v="77"/>
    <d v="2025-03-25T00:00:00"/>
    <x v="2"/>
    <x v="3"/>
    <x v="2"/>
    <x v="0"/>
    <x v="7"/>
    <x v="4"/>
    <x v="11"/>
    <x v="2"/>
  </r>
  <r>
    <s v="TX502129"/>
    <x v="8"/>
    <x v="2"/>
    <n v="26.2"/>
    <n v="78.599999999999994"/>
    <x v="77"/>
    <d v="2025-03-20T00:00:00"/>
    <x v="1"/>
    <x v="0"/>
    <x v="0"/>
    <x v="0"/>
    <x v="8"/>
    <x v="3"/>
    <x v="11"/>
    <x v="1"/>
  </r>
  <r>
    <s v="TX502130"/>
    <x v="1"/>
    <x v="3"/>
    <n v="32.200000000000003"/>
    <n v="225.40000000000003"/>
    <x v="77"/>
    <d v="2025-03-20T00:00:00"/>
    <x v="2"/>
    <x v="1"/>
    <x v="2"/>
    <x v="0"/>
    <x v="8"/>
    <x v="3"/>
    <x v="11"/>
    <x v="2"/>
  </r>
  <r>
    <s v="TX502131"/>
    <x v="8"/>
    <x v="0"/>
    <n v="17.399999999999999"/>
    <n v="17.399999999999999"/>
    <x v="77"/>
    <d v="2025-03-23T00:00:00"/>
    <x v="0"/>
    <x v="2"/>
    <x v="1"/>
    <x v="0"/>
    <x v="8"/>
    <x v="5"/>
    <x v="11"/>
    <x v="0"/>
  </r>
  <r>
    <s v="TX502132"/>
    <x v="8"/>
    <x v="13"/>
    <n v="72.3"/>
    <n v="433.79999999999995"/>
    <x v="77"/>
    <d v="2025-03-22T00:00:00"/>
    <x v="2"/>
    <x v="0"/>
    <x v="0"/>
    <x v="0"/>
    <x v="8"/>
    <x v="2"/>
    <x v="11"/>
    <x v="2"/>
  </r>
  <r>
    <s v="TX502133"/>
    <x v="8"/>
    <x v="5"/>
    <n v="24.3"/>
    <n v="267.3"/>
    <x v="77"/>
    <d v="2025-03-20T00:00:00"/>
    <x v="1"/>
    <x v="0"/>
    <x v="0"/>
    <x v="0"/>
    <x v="8"/>
    <x v="3"/>
    <x v="11"/>
    <x v="1"/>
  </r>
  <r>
    <s v="TX502134"/>
    <x v="13"/>
    <x v="2"/>
    <n v="49.1"/>
    <n v="147.30000000000001"/>
    <x v="77"/>
    <d v="2025-03-25T00:00:00"/>
    <x v="1"/>
    <x v="2"/>
    <x v="4"/>
    <x v="0"/>
    <x v="8"/>
    <x v="4"/>
    <x v="11"/>
    <x v="1"/>
  </r>
  <r>
    <s v="TX502135"/>
    <x v="2"/>
    <x v="7"/>
    <n v="234.7"/>
    <n v="2347"/>
    <x v="77"/>
    <d v="2025-03-20T00:00:00"/>
    <x v="1"/>
    <x v="3"/>
    <x v="1"/>
    <x v="0"/>
    <x v="8"/>
    <x v="3"/>
    <x v="11"/>
    <x v="1"/>
  </r>
  <r>
    <s v="TX502136"/>
    <x v="3"/>
    <x v="9"/>
    <n v="76.099999999999994"/>
    <n v="380.5"/>
    <x v="77"/>
    <d v="2025-03-21T00:00:00"/>
    <x v="1"/>
    <x v="1"/>
    <x v="1"/>
    <x v="0"/>
    <x v="17"/>
    <x v="1"/>
    <x v="11"/>
    <x v="1"/>
  </r>
  <r>
    <s v="TX502137"/>
    <x v="1"/>
    <x v="2"/>
    <n v="93.9"/>
    <n v="281.70000000000005"/>
    <x v="77"/>
    <d v="2025-03-20T00:00:00"/>
    <x v="1"/>
    <x v="1"/>
    <x v="4"/>
    <x v="0"/>
    <x v="11"/>
    <x v="3"/>
    <x v="11"/>
    <x v="1"/>
  </r>
  <r>
    <s v="TX502138"/>
    <x v="2"/>
    <x v="12"/>
    <n v="187"/>
    <n v="748"/>
    <x v="78"/>
    <d v="2025-03-23T00:00:00"/>
    <x v="1"/>
    <x v="0"/>
    <x v="0"/>
    <x v="0"/>
    <x v="11"/>
    <x v="2"/>
    <x v="11"/>
    <x v="1"/>
  </r>
  <r>
    <s v="TX502139"/>
    <x v="8"/>
    <x v="1"/>
    <n v="18"/>
    <n v="36"/>
    <x v="78"/>
    <d v="2025-03-21T00:00:00"/>
    <x v="2"/>
    <x v="1"/>
    <x v="2"/>
    <x v="0"/>
    <x v="53"/>
    <x v="3"/>
    <x v="11"/>
    <x v="2"/>
  </r>
  <r>
    <s v="TX502140"/>
    <x v="4"/>
    <x v="0"/>
    <n v="24.4"/>
    <n v="24.4"/>
    <x v="78"/>
    <d v="2025-03-21T00:00:00"/>
    <x v="2"/>
    <x v="4"/>
    <x v="2"/>
    <x v="0"/>
    <x v="21"/>
    <x v="3"/>
    <x v="11"/>
    <x v="2"/>
  </r>
  <r>
    <s v="TX502141"/>
    <x v="10"/>
    <x v="1"/>
    <n v="38.799999999999997"/>
    <n v="77.599999999999994"/>
    <x v="78"/>
    <d v="2025-03-21T00:00:00"/>
    <x v="1"/>
    <x v="4"/>
    <x v="1"/>
    <x v="0"/>
    <x v="3"/>
    <x v="3"/>
    <x v="11"/>
    <x v="1"/>
  </r>
  <r>
    <s v="TX502142"/>
    <x v="3"/>
    <x v="0"/>
    <n v="59.7"/>
    <n v="59.7"/>
    <x v="78"/>
    <d v="2025-03-23T00:00:00"/>
    <x v="1"/>
    <x v="3"/>
    <x v="0"/>
    <x v="0"/>
    <x v="3"/>
    <x v="2"/>
    <x v="11"/>
    <x v="1"/>
  </r>
  <r>
    <s v="TX502143"/>
    <x v="7"/>
    <x v="0"/>
    <n v="31.2"/>
    <n v="31.2"/>
    <x v="78"/>
    <d v="2025-03-21T00:00:00"/>
    <x v="1"/>
    <x v="1"/>
    <x v="2"/>
    <x v="0"/>
    <x v="3"/>
    <x v="3"/>
    <x v="11"/>
    <x v="1"/>
  </r>
  <r>
    <s v="TX502144"/>
    <x v="0"/>
    <x v="0"/>
    <n v="16.8"/>
    <n v="16.8"/>
    <x v="78"/>
    <d v="2025-03-21T00:00:00"/>
    <x v="2"/>
    <x v="2"/>
    <x v="1"/>
    <x v="0"/>
    <x v="3"/>
    <x v="3"/>
    <x v="11"/>
    <x v="2"/>
  </r>
  <r>
    <s v="TX502145"/>
    <x v="8"/>
    <x v="0"/>
    <n v="46"/>
    <n v="46"/>
    <x v="78"/>
    <d v="2025-03-21T00:00:00"/>
    <x v="1"/>
    <x v="0"/>
    <x v="0"/>
    <x v="0"/>
    <x v="3"/>
    <x v="3"/>
    <x v="11"/>
    <x v="1"/>
  </r>
  <r>
    <s v="TX502146"/>
    <x v="9"/>
    <x v="8"/>
    <n v="42.2"/>
    <n v="337.6"/>
    <x v="78"/>
    <d v="2025-03-23T00:00:00"/>
    <x v="2"/>
    <x v="3"/>
    <x v="2"/>
    <x v="0"/>
    <x v="3"/>
    <x v="2"/>
    <x v="11"/>
    <x v="2"/>
  </r>
  <r>
    <s v="TX502147"/>
    <x v="1"/>
    <x v="2"/>
    <n v="71.5"/>
    <n v="214.5"/>
    <x v="78"/>
    <d v="2025-04-03T00:00:00"/>
    <x v="2"/>
    <x v="0"/>
    <x v="0"/>
    <x v="0"/>
    <x v="3"/>
    <x v="12"/>
    <x v="11"/>
    <x v="2"/>
  </r>
  <r>
    <s v="TX502148"/>
    <x v="1"/>
    <x v="1"/>
    <n v="76.599999999999994"/>
    <n v="153.19999999999999"/>
    <x v="78"/>
    <d v="2025-03-20T00:00:00"/>
    <x v="1"/>
    <x v="0"/>
    <x v="2"/>
    <x v="0"/>
    <x v="3"/>
    <x v="7"/>
    <x v="11"/>
    <x v="1"/>
  </r>
  <r>
    <s v="TX502149"/>
    <x v="12"/>
    <x v="1"/>
    <n v="87.3"/>
    <n v="174.6"/>
    <x v="78"/>
    <d v="2025-03-28T00:00:00"/>
    <x v="2"/>
    <x v="3"/>
    <x v="2"/>
    <x v="0"/>
    <x v="3"/>
    <x v="9"/>
    <x v="11"/>
    <x v="2"/>
  </r>
  <r>
    <s v="TX502150"/>
    <x v="1"/>
    <x v="0"/>
    <n v="63"/>
    <n v="63"/>
    <x v="78"/>
    <d v="2025-03-23T00:00:00"/>
    <x v="1"/>
    <x v="3"/>
    <x v="0"/>
    <x v="0"/>
    <x v="3"/>
    <x v="2"/>
    <x v="11"/>
    <x v="1"/>
  </r>
  <r>
    <s v="TX502151"/>
    <x v="8"/>
    <x v="1"/>
    <n v="41.7"/>
    <n v="83.4"/>
    <x v="78"/>
    <d v="2025-03-21T00:00:00"/>
    <x v="2"/>
    <x v="4"/>
    <x v="1"/>
    <x v="0"/>
    <x v="43"/>
    <x v="3"/>
    <x v="11"/>
    <x v="2"/>
  </r>
  <r>
    <s v="TX502152"/>
    <x v="6"/>
    <x v="1"/>
    <n v="76.099999999999994"/>
    <n v="152.19999999999999"/>
    <x v="78"/>
    <d v="2025-03-20T00:00:00"/>
    <x v="2"/>
    <x v="4"/>
    <x v="2"/>
    <x v="0"/>
    <x v="16"/>
    <x v="7"/>
    <x v="11"/>
    <x v="2"/>
  </r>
  <r>
    <s v="TX502153"/>
    <x v="13"/>
    <x v="1"/>
    <n v="28.5"/>
    <n v="57"/>
    <x v="78"/>
    <d v="2025-03-21T00:00:00"/>
    <x v="2"/>
    <x v="0"/>
    <x v="2"/>
    <x v="0"/>
    <x v="4"/>
    <x v="3"/>
    <x v="11"/>
    <x v="2"/>
  </r>
  <r>
    <s v="TX502154"/>
    <x v="0"/>
    <x v="12"/>
    <n v="32.1"/>
    <n v="128.4"/>
    <x v="78"/>
    <d v="2025-03-21T00:00:00"/>
    <x v="2"/>
    <x v="1"/>
    <x v="2"/>
    <x v="0"/>
    <x v="25"/>
    <x v="3"/>
    <x v="11"/>
    <x v="2"/>
  </r>
  <r>
    <s v="TX502155"/>
    <x v="4"/>
    <x v="2"/>
    <n v="39"/>
    <n v="117"/>
    <x v="78"/>
    <d v="2025-03-23T00:00:00"/>
    <x v="1"/>
    <x v="1"/>
    <x v="2"/>
    <x v="0"/>
    <x v="25"/>
    <x v="2"/>
    <x v="11"/>
    <x v="1"/>
  </r>
  <r>
    <s v="TX502156"/>
    <x v="6"/>
    <x v="0"/>
    <n v="78.5"/>
    <n v="78.5"/>
    <x v="78"/>
    <d v="2025-03-21T00:00:00"/>
    <x v="1"/>
    <x v="1"/>
    <x v="0"/>
    <x v="0"/>
    <x v="6"/>
    <x v="3"/>
    <x v="11"/>
    <x v="1"/>
  </r>
  <r>
    <s v="TX502157"/>
    <x v="4"/>
    <x v="9"/>
    <n v="49.7"/>
    <n v="248.5"/>
    <x v="78"/>
    <d v="2025-03-22T00:00:00"/>
    <x v="2"/>
    <x v="0"/>
    <x v="0"/>
    <x v="0"/>
    <x v="6"/>
    <x v="1"/>
    <x v="11"/>
    <x v="2"/>
  </r>
  <r>
    <s v="TX502158"/>
    <x v="1"/>
    <x v="12"/>
    <n v="68.400000000000006"/>
    <n v="273.60000000000002"/>
    <x v="78"/>
    <d v="2025-03-21T00:00:00"/>
    <x v="2"/>
    <x v="2"/>
    <x v="2"/>
    <x v="0"/>
    <x v="7"/>
    <x v="3"/>
    <x v="11"/>
    <x v="2"/>
  </r>
  <r>
    <s v="TX502159"/>
    <x v="3"/>
    <x v="1"/>
    <n v="72.900000000000006"/>
    <n v="145.80000000000001"/>
    <x v="78"/>
    <d v="2025-03-23T00:00:00"/>
    <x v="0"/>
    <x v="0"/>
    <x v="2"/>
    <x v="0"/>
    <x v="7"/>
    <x v="2"/>
    <x v="11"/>
    <x v="0"/>
  </r>
  <r>
    <s v="TX502160"/>
    <x v="5"/>
    <x v="15"/>
    <n v="30.3"/>
    <n v="393.90000000000003"/>
    <x v="78"/>
    <d v="2025-03-21T00:00:00"/>
    <x v="1"/>
    <x v="4"/>
    <x v="0"/>
    <x v="0"/>
    <x v="7"/>
    <x v="3"/>
    <x v="11"/>
    <x v="1"/>
  </r>
  <r>
    <s v="TX502161"/>
    <x v="6"/>
    <x v="5"/>
    <n v="57.9"/>
    <n v="636.9"/>
    <x v="78"/>
    <d v="2025-03-21T00:00:00"/>
    <x v="2"/>
    <x v="0"/>
    <x v="0"/>
    <x v="0"/>
    <x v="8"/>
    <x v="3"/>
    <x v="11"/>
    <x v="2"/>
  </r>
  <r>
    <s v="TX502162"/>
    <x v="1"/>
    <x v="0"/>
    <n v="96.7"/>
    <n v="96.7"/>
    <x v="78"/>
    <d v="2025-03-21T00:00:00"/>
    <x v="1"/>
    <x v="0"/>
    <x v="0"/>
    <x v="0"/>
    <x v="8"/>
    <x v="3"/>
    <x v="11"/>
    <x v="1"/>
  </r>
  <r>
    <s v="TX502163"/>
    <x v="8"/>
    <x v="4"/>
    <n v="27.6"/>
    <n v="331.20000000000005"/>
    <x v="78"/>
    <d v="2025-03-22T00:00:00"/>
    <x v="1"/>
    <x v="2"/>
    <x v="2"/>
    <x v="0"/>
    <x v="8"/>
    <x v="1"/>
    <x v="11"/>
    <x v="1"/>
  </r>
  <r>
    <s v="TX502164"/>
    <x v="6"/>
    <x v="12"/>
    <n v="64.7"/>
    <n v="258.8"/>
    <x v="78"/>
    <d v="2025-03-20T00:00:00"/>
    <x v="1"/>
    <x v="3"/>
    <x v="2"/>
    <x v="0"/>
    <x v="8"/>
    <x v="7"/>
    <x v="11"/>
    <x v="1"/>
  </r>
  <r>
    <s v="TX502165"/>
    <x v="10"/>
    <x v="13"/>
    <n v="30.5"/>
    <n v="183"/>
    <x v="78"/>
    <d v="2025-03-21T00:00:00"/>
    <x v="1"/>
    <x v="4"/>
    <x v="0"/>
    <x v="0"/>
    <x v="8"/>
    <x v="3"/>
    <x v="11"/>
    <x v="1"/>
  </r>
  <r>
    <s v="TX502166"/>
    <x v="6"/>
    <x v="47"/>
    <n v="106"/>
    <n v="7420"/>
    <x v="79"/>
    <d v="2025-03-23T00:00:00"/>
    <x v="1"/>
    <x v="4"/>
    <x v="2"/>
    <x v="0"/>
    <x v="8"/>
    <x v="1"/>
    <x v="11"/>
    <x v="1"/>
  </r>
  <r>
    <s v="TX502167"/>
    <x v="12"/>
    <x v="9"/>
    <n v="76.8"/>
    <n v="384"/>
    <x v="79"/>
    <d v="2025-03-27T00:00:00"/>
    <x v="0"/>
    <x v="1"/>
    <x v="1"/>
    <x v="0"/>
    <x v="18"/>
    <x v="4"/>
    <x v="11"/>
    <x v="0"/>
  </r>
  <r>
    <s v="TX502168"/>
    <x v="6"/>
    <x v="1"/>
    <n v="80.400000000000006"/>
    <n v="160.80000000000001"/>
    <x v="79"/>
    <d v="2025-03-22T00:00:00"/>
    <x v="2"/>
    <x v="2"/>
    <x v="0"/>
    <x v="0"/>
    <x v="13"/>
    <x v="3"/>
    <x v="11"/>
    <x v="2"/>
  </r>
  <r>
    <s v="TX502169"/>
    <x v="6"/>
    <x v="12"/>
    <n v="69.099999999999994"/>
    <n v="276.39999999999998"/>
    <x v="79"/>
    <d v="2025-03-22T00:00:00"/>
    <x v="1"/>
    <x v="1"/>
    <x v="2"/>
    <x v="0"/>
    <x v="21"/>
    <x v="3"/>
    <x v="11"/>
    <x v="1"/>
  </r>
  <r>
    <s v="TX502170"/>
    <x v="18"/>
    <x v="1"/>
    <n v="76.400000000000006"/>
    <n v="152.80000000000001"/>
    <x v="79"/>
    <d v="2025-03-21T00:00:00"/>
    <x v="1"/>
    <x v="3"/>
    <x v="0"/>
    <x v="0"/>
    <x v="21"/>
    <x v="7"/>
    <x v="11"/>
    <x v="1"/>
  </r>
  <r>
    <s v="TX502171"/>
    <x v="2"/>
    <x v="1"/>
    <n v="61.3"/>
    <n v="122.6"/>
    <x v="79"/>
    <d v="2025-03-22T00:00:00"/>
    <x v="2"/>
    <x v="1"/>
    <x v="1"/>
    <x v="0"/>
    <x v="21"/>
    <x v="3"/>
    <x v="11"/>
    <x v="2"/>
  </r>
  <r>
    <s v="TX502172"/>
    <x v="7"/>
    <x v="0"/>
    <n v="58"/>
    <n v="58"/>
    <x v="79"/>
    <d v="2025-03-22T00:00:00"/>
    <x v="1"/>
    <x v="3"/>
    <x v="1"/>
    <x v="0"/>
    <x v="1"/>
    <x v="3"/>
    <x v="11"/>
    <x v="1"/>
  </r>
  <r>
    <s v="TX502173"/>
    <x v="2"/>
    <x v="8"/>
    <n v="102.3"/>
    <n v="818.4"/>
    <x v="79"/>
    <d v="2025-03-23T00:00:00"/>
    <x v="1"/>
    <x v="2"/>
    <x v="0"/>
    <x v="0"/>
    <x v="42"/>
    <x v="1"/>
    <x v="11"/>
    <x v="1"/>
  </r>
  <r>
    <s v="TX502174"/>
    <x v="19"/>
    <x v="1"/>
    <n v="13.8"/>
    <n v="27.6"/>
    <x v="79"/>
    <d v="2025-03-22T00:00:00"/>
    <x v="2"/>
    <x v="4"/>
    <x v="2"/>
    <x v="0"/>
    <x v="2"/>
    <x v="3"/>
    <x v="11"/>
    <x v="2"/>
  </r>
  <r>
    <s v="TX502175"/>
    <x v="8"/>
    <x v="2"/>
    <n v="33.299999999999997"/>
    <n v="99.899999999999991"/>
    <x v="79"/>
    <d v="2025-03-24T00:00:00"/>
    <x v="2"/>
    <x v="2"/>
    <x v="0"/>
    <x v="0"/>
    <x v="22"/>
    <x v="2"/>
    <x v="11"/>
    <x v="2"/>
  </r>
  <r>
    <s v="TX502176"/>
    <x v="10"/>
    <x v="0"/>
    <n v="27.4"/>
    <n v="27.4"/>
    <x v="79"/>
    <d v="2025-03-24T00:00:00"/>
    <x v="1"/>
    <x v="0"/>
    <x v="2"/>
    <x v="0"/>
    <x v="22"/>
    <x v="2"/>
    <x v="11"/>
    <x v="1"/>
  </r>
  <r>
    <s v="TX502177"/>
    <x v="14"/>
    <x v="1"/>
    <n v="25.6"/>
    <n v="51.2"/>
    <x v="79"/>
    <d v="2025-03-22T00:00:00"/>
    <x v="2"/>
    <x v="1"/>
    <x v="1"/>
    <x v="0"/>
    <x v="3"/>
    <x v="3"/>
    <x v="11"/>
    <x v="2"/>
  </r>
  <r>
    <s v="TX502178"/>
    <x v="13"/>
    <x v="0"/>
    <n v="58.4"/>
    <n v="58.4"/>
    <x v="79"/>
    <d v="2025-03-22T00:00:00"/>
    <x v="2"/>
    <x v="2"/>
    <x v="2"/>
    <x v="0"/>
    <x v="3"/>
    <x v="3"/>
    <x v="11"/>
    <x v="2"/>
  </r>
  <r>
    <s v="TX502179"/>
    <x v="11"/>
    <x v="17"/>
    <n v="27"/>
    <n v="810"/>
    <x v="79"/>
    <d v="2025-03-22T00:00:00"/>
    <x v="2"/>
    <x v="4"/>
    <x v="0"/>
    <x v="0"/>
    <x v="3"/>
    <x v="3"/>
    <x v="11"/>
    <x v="2"/>
  </r>
  <r>
    <s v="TX502180"/>
    <x v="0"/>
    <x v="12"/>
    <n v="14.2"/>
    <n v="56.8"/>
    <x v="79"/>
    <d v="2025-03-22T00:00:00"/>
    <x v="1"/>
    <x v="0"/>
    <x v="2"/>
    <x v="0"/>
    <x v="3"/>
    <x v="3"/>
    <x v="11"/>
    <x v="1"/>
  </r>
  <r>
    <s v="TX502181"/>
    <x v="7"/>
    <x v="1"/>
    <n v="68"/>
    <n v="136"/>
    <x v="79"/>
    <d v="2025-03-31T00:00:00"/>
    <x v="1"/>
    <x v="2"/>
    <x v="1"/>
    <x v="0"/>
    <x v="3"/>
    <x v="14"/>
    <x v="11"/>
    <x v="1"/>
  </r>
  <r>
    <s v="TX502182"/>
    <x v="8"/>
    <x v="0"/>
    <n v="30.7"/>
    <n v="30.7"/>
    <x v="79"/>
    <d v="2025-03-22T00:00:00"/>
    <x v="1"/>
    <x v="0"/>
    <x v="0"/>
    <x v="0"/>
    <x v="3"/>
    <x v="3"/>
    <x v="11"/>
    <x v="1"/>
  </r>
  <r>
    <s v="TX502183"/>
    <x v="17"/>
    <x v="15"/>
    <n v="51.6"/>
    <n v="670.80000000000007"/>
    <x v="79"/>
    <d v="2025-03-24T00:00:00"/>
    <x v="3"/>
    <x v="1"/>
    <x v="2"/>
    <x v="0"/>
    <x v="3"/>
    <x v="2"/>
    <x v="11"/>
    <x v="3"/>
  </r>
  <r>
    <s v="TX502184"/>
    <x v="8"/>
    <x v="2"/>
    <n v="20.6"/>
    <n v="61.800000000000004"/>
    <x v="79"/>
    <d v="2025-03-25T00:00:00"/>
    <x v="2"/>
    <x v="4"/>
    <x v="2"/>
    <x v="0"/>
    <x v="3"/>
    <x v="5"/>
    <x v="11"/>
    <x v="2"/>
  </r>
  <r>
    <s v="TX502185"/>
    <x v="8"/>
    <x v="0"/>
    <n v="24.8"/>
    <n v="24.8"/>
    <x v="79"/>
    <d v="2025-03-22T00:00:00"/>
    <x v="1"/>
    <x v="4"/>
    <x v="0"/>
    <x v="0"/>
    <x v="3"/>
    <x v="3"/>
    <x v="11"/>
    <x v="1"/>
  </r>
  <r>
    <s v="TX502186"/>
    <x v="0"/>
    <x v="3"/>
    <n v="11.2"/>
    <n v="78.399999999999991"/>
    <x v="79"/>
    <d v="2025-03-24T00:00:00"/>
    <x v="1"/>
    <x v="1"/>
    <x v="0"/>
    <x v="0"/>
    <x v="3"/>
    <x v="2"/>
    <x v="11"/>
    <x v="1"/>
  </r>
  <r>
    <s v="TX502187"/>
    <x v="11"/>
    <x v="1"/>
    <n v="51.2"/>
    <n v="102.4"/>
    <x v="79"/>
    <d v="2025-03-22T00:00:00"/>
    <x v="2"/>
    <x v="1"/>
    <x v="2"/>
    <x v="0"/>
    <x v="3"/>
    <x v="3"/>
    <x v="11"/>
    <x v="2"/>
  </r>
  <r>
    <s v="TX502188"/>
    <x v="7"/>
    <x v="13"/>
    <n v="90.5"/>
    <n v="543"/>
    <x v="79"/>
    <d v="2025-03-22T00:00:00"/>
    <x v="2"/>
    <x v="1"/>
    <x v="4"/>
    <x v="0"/>
    <x v="3"/>
    <x v="3"/>
    <x v="11"/>
    <x v="2"/>
  </r>
  <r>
    <s v="TX502189"/>
    <x v="1"/>
    <x v="1"/>
    <n v="42.4"/>
    <n v="84.8"/>
    <x v="79"/>
    <d v="2025-03-22T00:00:00"/>
    <x v="1"/>
    <x v="1"/>
    <x v="2"/>
    <x v="0"/>
    <x v="4"/>
    <x v="3"/>
    <x v="11"/>
    <x v="1"/>
  </r>
  <r>
    <s v="TX502190"/>
    <x v="1"/>
    <x v="1"/>
    <n v="38.200000000000003"/>
    <n v="76.400000000000006"/>
    <x v="79"/>
    <d v="2025-03-22T00:00:00"/>
    <x v="1"/>
    <x v="0"/>
    <x v="0"/>
    <x v="0"/>
    <x v="5"/>
    <x v="3"/>
    <x v="11"/>
    <x v="1"/>
  </r>
  <r>
    <s v="TX502191"/>
    <x v="2"/>
    <x v="11"/>
    <n v="121.3"/>
    <n v="1091.7"/>
    <x v="79"/>
    <d v="2025-03-26T00:00:00"/>
    <x v="1"/>
    <x v="0"/>
    <x v="0"/>
    <x v="0"/>
    <x v="6"/>
    <x v="0"/>
    <x v="11"/>
    <x v="1"/>
  </r>
  <r>
    <s v="TX502192"/>
    <x v="6"/>
    <x v="1"/>
    <n v="46.9"/>
    <n v="93.8"/>
    <x v="79"/>
    <d v="2025-03-28T00:00:00"/>
    <x v="1"/>
    <x v="0"/>
    <x v="0"/>
    <x v="0"/>
    <x v="8"/>
    <x v="6"/>
    <x v="11"/>
    <x v="1"/>
  </r>
  <r>
    <s v="TX502193"/>
    <x v="10"/>
    <x v="0"/>
    <n v="55.3"/>
    <n v="55.3"/>
    <x v="79"/>
    <d v="2025-03-23T00:00:00"/>
    <x v="1"/>
    <x v="0"/>
    <x v="0"/>
    <x v="0"/>
    <x v="8"/>
    <x v="1"/>
    <x v="11"/>
    <x v="1"/>
  </r>
  <r>
    <s v="TX502194"/>
    <x v="2"/>
    <x v="2"/>
    <n v="70.599999999999994"/>
    <n v="211.79999999999998"/>
    <x v="80"/>
    <d v="2025-03-22T00:00:00"/>
    <x v="2"/>
    <x v="0"/>
    <x v="1"/>
    <x v="0"/>
    <x v="8"/>
    <x v="7"/>
    <x v="11"/>
    <x v="2"/>
  </r>
  <r>
    <s v="TX502195"/>
    <x v="14"/>
    <x v="12"/>
    <n v="26.1"/>
    <n v="104.4"/>
    <x v="80"/>
    <d v="2025-03-24T00:00:00"/>
    <x v="1"/>
    <x v="0"/>
    <x v="0"/>
    <x v="0"/>
    <x v="8"/>
    <x v="1"/>
    <x v="11"/>
    <x v="1"/>
  </r>
  <r>
    <s v="TX502196"/>
    <x v="9"/>
    <x v="5"/>
    <n v="34.5"/>
    <n v="379.5"/>
    <x v="80"/>
    <d v="2025-03-26T00:00:00"/>
    <x v="1"/>
    <x v="2"/>
    <x v="0"/>
    <x v="0"/>
    <x v="17"/>
    <x v="5"/>
    <x v="11"/>
    <x v="1"/>
  </r>
  <r>
    <s v="TX502197"/>
    <x v="1"/>
    <x v="1"/>
    <n v="64.2"/>
    <n v="128.4"/>
    <x v="80"/>
    <d v="2025-03-23T00:00:00"/>
    <x v="2"/>
    <x v="0"/>
    <x v="1"/>
    <x v="0"/>
    <x v="17"/>
    <x v="3"/>
    <x v="11"/>
    <x v="2"/>
  </r>
  <r>
    <s v="TX502198"/>
    <x v="2"/>
    <x v="12"/>
    <n v="145.69999999999999"/>
    <n v="582.79999999999995"/>
    <x v="80"/>
    <d v="2025-03-23T00:00:00"/>
    <x v="2"/>
    <x v="0"/>
    <x v="4"/>
    <x v="0"/>
    <x v="17"/>
    <x v="3"/>
    <x v="11"/>
    <x v="2"/>
  </r>
  <r>
    <s v="TX502199"/>
    <x v="12"/>
    <x v="1"/>
    <n v="78.5"/>
    <n v="157"/>
    <x v="80"/>
    <d v="2025-03-23T00:00:00"/>
    <x v="1"/>
    <x v="2"/>
    <x v="0"/>
    <x v="0"/>
    <x v="26"/>
    <x v="3"/>
    <x v="11"/>
    <x v="1"/>
  </r>
  <r>
    <s v="TX502200"/>
    <x v="1"/>
    <x v="0"/>
    <n v="34.200000000000003"/>
    <n v="34.200000000000003"/>
    <x v="80"/>
    <d v="2025-03-24T00:00:00"/>
    <x v="1"/>
    <x v="0"/>
    <x v="0"/>
    <x v="0"/>
    <x v="9"/>
    <x v="1"/>
    <x v="11"/>
    <x v="1"/>
  </r>
  <r>
    <s v="TX502201"/>
    <x v="19"/>
    <x v="0"/>
    <n v="26.2"/>
    <n v="26.2"/>
    <x v="80"/>
    <d v="2025-03-23T00:00:00"/>
    <x v="1"/>
    <x v="2"/>
    <x v="0"/>
    <x v="0"/>
    <x v="9"/>
    <x v="3"/>
    <x v="11"/>
    <x v="1"/>
  </r>
  <r>
    <s v="TX502202"/>
    <x v="6"/>
    <x v="12"/>
    <n v="53.2"/>
    <n v="212.8"/>
    <x v="80"/>
    <d v="2025-03-23T00:00:00"/>
    <x v="1"/>
    <x v="1"/>
    <x v="1"/>
    <x v="0"/>
    <x v="11"/>
    <x v="3"/>
    <x v="11"/>
    <x v="1"/>
  </r>
  <r>
    <s v="TX502203"/>
    <x v="1"/>
    <x v="0"/>
    <n v="35.4"/>
    <n v="35.4"/>
    <x v="80"/>
    <d v="2025-03-26T00:00:00"/>
    <x v="1"/>
    <x v="1"/>
    <x v="4"/>
    <x v="0"/>
    <x v="18"/>
    <x v="5"/>
    <x v="11"/>
    <x v="1"/>
  </r>
  <r>
    <s v="TX502204"/>
    <x v="14"/>
    <x v="1"/>
    <n v="21.3"/>
    <n v="42.6"/>
    <x v="80"/>
    <d v="2025-03-23T00:00:00"/>
    <x v="1"/>
    <x v="2"/>
    <x v="0"/>
    <x v="0"/>
    <x v="20"/>
    <x v="3"/>
    <x v="11"/>
    <x v="1"/>
  </r>
  <r>
    <s v="TX502205"/>
    <x v="8"/>
    <x v="12"/>
    <n v="32.9"/>
    <n v="131.6"/>
    <x v="80"/>
    <d v="2025-03-25T00:00:00"/>
    <x v="2"/>
    <x v="4"/>
    <x v="2"/>
    <x v="0"/>
    <x v="21"/>
    <x v="2"/>
    <x v="11"/>
    <x v="2"/>
  </r>
  <r>
    <s v="TX502206"/>
    <x v="5"/>
    <x v="20"/>
    <n v="85.5"/>
    <n v="1282.5"/>
    <x v="80"/>
    <d v="2025-03-24T00:00:00"/>
    <x v="2"/>
    <x v="3"/>
    <x v="1"/>
    <x v="0"/>
    <x v="21"/>
    <x v="1"/>
    <x v="11"/>
    <x v="2"/>
  </r>
  <r>
    <s v="TX502207"/>
    <x v="4"/>
    <x v="0"/>
    <n v="26.8"/>
    <n v="26.8"/>
    <x v="80"/>
    <d v="2025-03-23T00:00:00"/>
    <x v="2"/>
    <x v="0"/>
    <x v="1"/>
    <x v="0"/>
    <x v="2"/>
    <x v="3"/>
    <x v="11"/>
    <x v="2"/>
  </r>
  <r>
    <s v="TX502208"/>
    <x v="9"/>
    <x v="18"/>
    <n v="31.7"/>
    <n v="824.19999999999993"/>
    <x v="80"/>
    <d v="2025-03-22T00:00:00"/>
    <x v="2"/>
    <x v="3"/>
    <x v="0"/>
    <x v="0"/>
    <x v="2"/>
    <x v="7"/>
    <x v="11"/>
    <x v="2"/>
  </r>
  <r>
    <s v="TX502209"/>
    <x v="1"/>
    <x v="1"/>
    <n v="78.3"/>
    <n v="156.6"/>
    <x v="80"/>
    <d v="2025-03-24T00:00:00"/>
    <x v="2"/>
    <x v="1"/>
    <x v="1"/>
    <x v="0"/>
    <x v="3"/>
    <x v="1"/>
    <x v="11"/>
    <x v="2"/>
  </r>
  <r>
    <s v="TX502210"/>
    <x v="6"/>
    <x v="0"/>
    <n v="43.9"/>
    <n v="43.9"/>
    <x v="80"/>
    <d v="2025-03-23T00:00:00"/>
    <x v="1"/>
    <x v="0"/>
    <x v="0"/>
    <x v="0"/>
    <x v="3"/>
    <x v="3"/>
    <x v="11"/>
    <x v="1"/>
  </r>
  <r>
    <s v="TX502211"/>
    <x v="18"/>
    <x v="2"/>
    <n v="84"/>
    <n v="252"/>
    <x v="80"/>
    <d v="2025-03-24T00:00:00"/>
    <x v="0"/>
    <x v="3"/>
    <x v="2"/>
    <x v="0"/>
    <x v="3"/>
    <x v="1"/>
    <x v="11"/>
    <x v="0"/>
  </r>
  <r>
    <s v="TX502212"/>
    <x v="0"/>
    <x v="2"/>
    <n v="11.4"/>
    <n v="34.200000000000003"/>
    <x v="80"/>
    <d v="2025-03-23T00:00:00"/>
    <x v="1"/>
    <x v="4"/>
    <x v="0"/>
    <x v="0"/>
    <x v="3"/>
    <x v="3"/>
    <x v="11"/>
    <x v="1"/>
  </r>
  <r>
    <s v="TX502213"/>
    <x v="12"/>
    <x v="8"/>
    <n v="47.5"/>
    <n v="380"/>
    <x v="80"/>
    <d v="2025-03-30T00:00:00"/>
    <x v="2"/>
    <x v="0"/>
    <x v="0"/>
    <x v="0"/>
    <x v="3"/>
    <x v="9"/>
    <x v="11"/>
    <x v="2"/>
  </r>
  <r>
    <s v="TX502214"/>
    <x v="9"/>
    <x v="5"/>
    <n v="50.5"/>
    <n v="555.5"/>
    <x v="80"/>
    <d v="2025-03-24T00:00:00"/>
    <x v="1"/>
    <x v="2"/>
    <x v="0"/>
    <x v="0"/>
    <x v="3"/>
    <x v="1"/>
    <x v="11"/>
    <x v="1"/>
  </r>
  <r>
    <s v="TX502215"/>
    <x v="15"/>
    <x v="0"/>
    <n v="36.299999999999997"/>
    <n v="36.299999999999997"/>
    <x v="80"/>
    <d v="2025-03-25T00:00:00"/>
    <x v="3"/>
    <x v="0"/>
    <x v="1"/>
    <x v="0"/>
    <x v="8"/>
    <x v="2"/>
    <x v="11"/>
    <x v="3"/>
  </r>
  <r>
    <s v="TX502216"/>
    <x v="8"/>
    <x v="1"/>
    <n v="35.4"/>
    <n v="70.8"/>
    <x v="80"/>
    <d v="2025-03-23T00:00:00"/>
    <x v="2"/>
    <x v="0"/>
    <x v="0"/>
    <x v="0"/>
    <x v="17"/>
    <x v="3"/>
    <x v="11"/>
    <x v="2"/>
  </r>
  <r>
    <s v="TX502217"/>
    <x v="1"/>
    <x v="2"/>
    <n v="45.9"/>
    <n v="137.69999999999999"/>
    <x v="81"/>
    <d v="2025-03-24T00:00:00"/>
    <x v="1"/>
    <x v="3"/>
    <x v="0"/>
    <x v="0"/>
    <x v="9"/>
    <x v="3"/>
    <x v="12"/>
    <x v="1"/>
  </r>
  <r>
    <s v="TX502218"/>
    <x v="6"/>
    <x v="7"/>
    <n v="41.2"/>
    <n v="412"/>
    <x v="81"/>
    <d v="2025-03-27T00:00:00"/>
    <x v="1"/>
    <x v="0"/>
    <x v="0"/>
    <x v="0"/>
    <x v="11"/>
    <x v="5"/>
    <x v="12"/>
    <x v="1"/>
  </r>
  <r>
    <s v="TX502219"/>
    <x v="17"/>
    <x v="1"/>
    <n v="45.1"/>
    <n v="90.2"/>
    <x v="81"/>
    <d v="2025-03-24T00:00:00"/>
    <x v="1"/>
    <x v="1"/>
    <x v="1"/>
    <x v="0"/>
    <x v="21"/>
    <x v="3"/>
    <x v="12"/>
    <x v="1"/>
  </r>
  <r>
    <s v="TX502220"/>
    <x v="6"/>
    <x v="7"/>
    <n v="63.6"/>
    <n v="636"/>
    <x v="81"/>
    <d v="2025-03-23T00:00:00"/>
    <x v="1"/>
    <x v="2"/>
    <x v="0"/>
    <x v="0"/>
    <x v="1"/>
    <x v="7"/>
    <x v="12"/>
    <x v="1"/>
  </r>
  <r>
    <s v="TX502221"/>
    <x v="8"/>
    <x v="0"/>
    <n v="70.5"/>
    <n v="70.5"/>
    <x v="81"/>
    <d v="2025-03-24T00:00:00"/>
    <x v="1"/>
    <x v="0"/>
    <x v="0"/>
    <x v="0"/>
    <x v="3"/>
    <x v="3"/>
    <x v="12"/>
    <x v="1"/>
  </r>
  <r>
    <s v="TX502222"/>
    <x v="6"/>
    <x v="0"/>
    <n v="41.3"/>
    <n v="41.3"/>
    <x v="81"/>
    <d v="2025-03-23T00:00:00"/>
    <x v="1"/>
    <x v="4"/>
    <x v="0"/>
    <x v="0"/>
    <x v="3"/>
    <x v="7"/>
    <x v="12"/>
    <x v="1"/>
  </r>
  <r>
    <s v="TX502223"/>
    <x v="4"/>
    <x v="0"/>
    <n v="35.299999999999997"/>
    <n v="35.299999999999997"/>
    <x v="81"/>
    <d v="2025-03-26T00:00:00"/>
    <x v="2"/>
    <x v="4"/>
    <x v="2"/>
    <x v="0"/>
    <x v="3"/>
    <x v="2"/>
    <x v="12"/>
    <x v="2"/>
  </r>
  <r>
    <s v="TX502224"/>
    <x v="8"/>
    <x v="9"/>
    <n v="34.700000000000003"/>
    <n v="173.5"/>
    <x v="81"/>
    <d v="2025-03-24T00:00:00"/>
    <x v="2"/>
    <x v="0"/>
    <x v="2"/>
    <x v="0"/>
    <x v="3"/>
    <x v="3"/>
    <x v="12"/>
    <x v="2"/>
  </r>
  <r>
    <s v="TX502225"/>
    <x v="8"/>
    <x v="2"/>
    <n v="26.1"/>
    <n v="78.300000000000011"/>
    <x v="81"/>
    <d v="2025-03-24T00:00:00"/>
    <x v="2"/>
    <x v="0"/>
    <x v="0"/>
    <x v="0"/>
    <x v="3"/>
    <x v="3"/>
    <x v="12"/>
    <x v="2"/>
  </r>
  <r>
    <s v="TX502226"/>
    <x v="9"/>
    <x v="9"/>
    <n v="22.6"/>
    <n v="113"/>
    <x v="81"/>
    <d v="2025-03-23T00:00:00"/>
    <x v="2"/>
    <x v="1"/>
    <x v="2"/>
    <x v="0"/>
    <x v="3"/>
    <x v="7"/>
    <x v="12"/>
    <x v="2"/>
  </r>
  <r>
    <s v="TX502227"/>
    <x v="2"/>
    <x v="1"/>
    <n v="154.4"/>
    <n v="308.8"/>
    <x v="81"/>
    <d v="2025-03-26T00:00:00"/>
    <x v="1"/>
    <x v="1"/>
    <x v="1"/>
    <x v="0"/>
    <x v="3"/>
    <x v="2"/>
    <x v="12"/>
    <x v="1"/>
  </r>
  <r>
    <s v="TX502228"/>
    <x v="8"/>
    <x v="1"/>
    <n v="18.399999999999999"/>
    <n v="36.799999999999997"/>
    <x v="81"/>
    <d v="2025-03-24T00:00:00"/>
    <x v="1"/>
    <x v="0"/>
    <x v="0"/>
    <x v="0"/>
    <x v="3"/>
    <x v="3"/>
    <x v="12"/>
    <x v="1"/>
  </r>
  <r>
    <s v="TX502229"/>
    <x v="14"/>
    <x v="0"/>
    <n v="25"/>
    <n v="25"/>
    <x v="81"/>
    <d v="2025-03-26T00:00:00"/>
    <x v="2"/>
    <x v="0"/>
    <x v="0"/>
    <x v="0"/>
    <x v="3"/>
    <x v="2"/>
    <x v="12"/>
    <x v="2"/>
  </r>
  <r>
    <s v="TX502230"/>
    <x v="2"/>
    <x v="13"/>
    <n v="105.6"/>
    <n v="633.59999999999991"/>
    <x v="81"/>
    <d v="2025-03-23T00:00:00"/>
    <x v="2"/>
    <x v="0"/>
    <x v="0"/>
    <x v="0"/>
    <x v="3"/>
    <x v="7"/>
    <x v="12"/>
    <x v="2"/>
  </r>
  <r>
    <s v="TX502231"/>
    <x v="18"/>
    <x v="8"/>
    <n v="59.6"/>
    <n v="476.8"/>
    <x v="81"/>
    <d v="2025-03-23T00:00:00"/>
    <x v="2"/>
    <x v="0"/>
    <x v="2"/>
    <x v="0"/>
    <x v="23"/>
    <x v="7"/>
    <x v="12"/>
    <x v="2"/>
  </r>
  <r>
    <s v="TX502232"/>
    <x v="15"/>
    <x v="2"/>
    <n v="75.400000000000006"/>
    <n v="226.20000000000002"/>
    <x v="81"/>
    <d v="2025-03-28T00:00:00"/>
    <x v="1"/>
    <x v="0"/>
    <x v="1"/>
    <x v="0"/>
    <x v="7"/>
    <x v="0"/>
    <x v="12"/>
    <x v="1"/>
  </r>
  <r>
    <s v="TX502233"/>
    <x v="7"/>
    <x v="0"/>
    <n v="104.4"/>
    <n v="104.4"/>
    <x v="81"/>
    <d v="2025-03-24T00:00:00"/>
    <x v="2"/>
    <x v="0"/>
    <x v="0"/>
    <x v="0"/>
    <x v="8"/>
    <x v="3"/>
    <x v="12"/>
    <x v="2"/>
  </r>
  <r>
    <s v="TX502234"/>
    <x v="2"/>
    <x v="7"/>
    <n v="208.2"/>
    <n v="2082"/>
    <x v="81"/>
    <d v="2025-03-24T00:00:00"/>
    <x v="1"/>
    <x v="0"/>
    <x v="2"/>
    <x v="0"/>
    <x v="8"/>
    <x v="3"/>
    <x v="12"/>
    <x v="1"/>
  </r>
  <r>
    <s v="TX502235"/>
    <x v="6"/>
    <x v="1"/>
    <n v="45"/>
    <n v="90"/>
    <x v="81"/>
    <d v="2025-03-26T00:00:00"/>
    <x v="2"/>
    <x v="0"/>
    <x v="0"/>
    <x v="0"/>
    <x v="10"/>
    <x v="2"/>
    <x v="12"/>
    <x v="2"/>
  </r>
  <r>
    <s v="TX502236"/>
    <x v="15"/>
    <x v="1"/>
    <n v="20.3"/>
    <n v="40.6"/>
    <x v="82"/>
    <d v="2025-03-26T00:00:00"/>
    <x v="0"/>
    <x v="1"/>
    <x v="0"/>
    <x v="0"/>
    <x v="11"/>
    <x v="1"/>
    <x v="12"/>
    <x v="0"/>
  </r>
  <r>
    <s v="TX502237"/>
    <x v="2"/>
    <x v="2"/>
    <n v="94.4"/>
    <n v="283.20000000000005"/>
    <x v="82"/>
    <d v="2025-03-25T00:00:00"/>
    <x v="2"/>
    <x v="0"/>
    <x v="2"/>
    <x v="0"/>
    <x v="11"/>
    <x v="3"/>
    <x v="12"/>
    <x v="2"/>
  </r>
  <r>
    <s v="TX502238"/>
    <x v="9"/>
    <x v="0"/>
    <n v="49"/>
    <n v="49"/>
    <x v="82"/>
    <d v="2025-03-26T00:00:00"/>
    <x v="2"/>
    <x v="0"/>
    <x v="2"/>
    <x v="0"/>
    <x v="20"/>
    <x v="1"/>
    <x v="12"/>
    <x v="2"/>
  </r>
  <r>
    <s v="TX502239"/>
    <x v="4"/>
    <x v="1"/>
    <n v="27.2"/>
    <n v="54.4"/>
    <x v="82"/>
    <d v="2025-03-26T00:00:00"/>
    <x v="1"/>
    <x v="0"/>
    <x v="2"/>
    <x v="0"/>
    <x v="1"/>
    <x v="1"/>
    <x v="12"/>
    <x v="1"/>
  </r>
  <r>
    <s v="TX502240"/>
    <x v="2"/>
    <x v="13"/>
    <n v="72.599999999999994"/>
    <n v="435.59999999999997"/>
    <x v="82"/>
    <d v="2025-03-25T00:00:00"/>
    <x v="2"/>
    <x v="0"/>
    <x v="2"/>
    <x v="0"/>
    <x v="2"/>
    <x v="3"/>
    <x v="12"/>
    <x v="2"/>
  </r>
  <r>
    <s v="TX502241"/>
    <x v="15"/>
    <x v="12"/>
    <n v="62.4"/>
    <n v="249.6"/>
    <x v="82"/>
    <d v="2025-03-25T00:00:00"/>
    <x v="2"/>
    <x v="0"/>
    <x v="0"/>
    <x v="0"/>
    <x v="3"/>
    <x v="3"/>
    <x v="12"/>
    <x v="2"/>
  </r>
  <r>
    <s v="TX502242"/>
    <x v="8"/>
    <x v="2"/>
    <n v="19.100000000000001"/>
    <n v="57.300000000000004"/>
    <x v="82"/>
    <d v="2025-03-26T00:00:00"/>
    <x v="1"/>
    <x v="0"/>
    <x v="1"/>
    <x v="0"/>
    <x v="3"/>
    <x v="1"/>
    <x v="12"/>
    <x v="1"/>
  </r>
  <r>
    <s v="TX502243"/>
    <x v="10"/>
    <x v="0"/>
    <n v="29.6"/>
    <n v="29.6"/>
    <x v="82"/>
    <d v="2025-03-28T00:00:00"/>
    <x v="1"/>
    <x v="0"/>
    <x v="4"/>
    <x v="0"/>
    <x v="3"/>
    <x v="5"/>
    <x v="12"/>
    <x v="1"/>
  </r>
  <r>
    <s v="TX502244"/>
    <x v="8"/>
    <x v="1"/>
    <n v="18.899999999999999"/>
    <n v="37.799999999999997"/>
    <x v="82"/>
    <d v="2025-03-26T00:00:00"/>
    <x v="2"/>
    <x v="4"/>
    <x v="2"/>
    <x v="0"/>
    <x v="3"/>
    <x v="1"/>
    <x v="12"/>
    <x v="2"/>
  </r>
  <r>
    <s v="TX502245"/>
    <x v="10"/>
    <x v="9"/>
    <n v="41.4"/>
    <n v="207"/>
    <x v="82"/>
    <d v="2025-03-25T00:00:00"/>
    <x v="1"/>
    <x v="3"/>
    <x v="0"/>
    <x v="0"/>
    <x v="3"/>
    <x v="3"/>
    <x v="12"/>
    <x v="1"/>
  </r>
  <r>
    <s v="TX502246"/>
    <x v="2"/>
    <x v="0"/>
    <n v="118.4"/>
    <n v="118.4"/>
    <x v="82"/>
    <d v="2025-03-25T00:00:00"/>
    <x v="2"/>
    <x v="0"/>
    <x v="2"/>
    <x v="0"/>
    <x v="3"/>
    <x v="3"/>
    <x v="12"/>
    <x v="2"/>
  </r>
  <r>
    <s v="TX502247"/>
    <x v="2"/>
    <x v="1"/>
    <n v="125.3"/>
    <n v="250.6"/>
    <x v="82"/>
    <d v="2025-03-27T00:00:00"/>
    <x v="2"/>
    <x v="0"/>
    <x v="2"/>
    <x v="0"/>
    <x v="3"/>
    <x v="2"/>
    <x v="12"/>
    <x v="2"/>
  </r>
  <r>
    <s v="TX502248"/>
    <x v="3"/>
    <x v="1"/>
    <n v="85.8"/>
    <n v="171.6"/>
    <x v="82"/>
    <d v="2025-03-25T00:00:00"/>
    <x v="2"/>
    <x v="1"/>
    <x v="4"/>
    <x v="0"/>
    <x v="3"/>
    <x v="3"/>
    <x v="12"/>
    <x v="2"/>
  </r>
  <r>
    <s v="TX502249"/>
    <x v="6"/>
    <x v="0"/>
    <n v="44.2"/>
    <n v="44.2"/>
    <x v="82"/>
    <d v="2025-03-27T00:00:00"/>
    <x v="1"/>
    <x v="1"/>
    <x v="0"/>
    <x v="0"/>
    <x v="3"/>
    <x v="2"/>
    <x v="12"/>
    <x v="1"/>
  </r>
  <r>
    <s v="TX502250"/>
    <x v="5"/>
    <x v="12"/>
    <n v="74.099999999999994"/>
    <n v="296.39999999999998"/>
    <x v="82"/>
    <d v="2025-03-26T00:00:00"/>
    <x v="2"/>
    <x v="0"/>
    <x v="0"/>
    <x v="0"/>
    <x v="3"/>
    <x v="1"/>
    <x v="12"/>
    <x v="2"/>
  </r>
  <r>
    <s v="TX502251"/>
    <x v="8"/>
    <x v="0"/>
    <n v="33.799999999999997"/>
    <n v="33.799999999999997"/>
    <x v="82"/>
    <d v="2025-03-25T00:00:00"/>
    <x v="2"/>
    <x v="2"/>
    <x v="2"/>
    <x v="0"/>
    <x v="24"/>
    <x v="3"/>
    <x v="12"/>
    <x v="2"/>
  </r>
  <r>
    <s v="TX502252"/>
    <x v="1"/>
    <x v="1"/>
    <n v="39.1"/>
    <n v="78.2"/>
    <x v="82"/>
    <d v="2025-03-25T00:00:00"/>
    <x v="1"/>
    <x v="0"/>
    <x v="1"/>
    <x v="0"/>
    <x v="24"/>
    <x v="3"/>
    <x v="12"/>
    <x v="1"/>
  </r>
  <r>
    <s v="TX502253"/>
    <x v="0"/>
    <x v="0"/>
    <n v="37.200000000000003"/>
    <n v="37.200000000000003"/>
    <x v="82"/>
    <d v="2025-03-25T00:00:00"/>
    <x v="1"/>
    <x v="0"/>
    <x v="1"/>
    <x v="0"/>
    <x v="16"/>
    <x v="3"/>
    <x v="12"/>
    <x v="1"/>
  </r>
  <r>
    <s v="TX502254"/>
    <x v="15"/>
    <x v="2"/>
    <n v="33.9"/>
    <n v="101.69999999999999"/>
    <x v="82"/>
    <d v="2025-03-26T00:00:00"/>
    <x v="1"/>
    <x v="2"/>
    <x v="0"/>
    <x v="0"/>
    <x v="6"/>
    <x v="1"/>
    <x v="12"/>
    <x v="1"/>
  </r>
  <r>
    <s v="TX502255"/>
    <x v="7"/>
    <x v="20"/>
    <n v="73.3"/>
    <n v="1099.5"/>
    <x v="82"/>
    <d v="2025-03-27T00:00:00"/>
    <x v="2"/>
    <x v="2"/>
    <x v="1"/>
    <x v="0"/>
    <x v="8"/>
    <x v="2"/>
    <x v="12"/>
    <x v="2"/>
  </r>
  <r>
    <s v="TX502256"/>
    <x v="8"/>
    <x v="12"/>
    <n v="35"/>
    <n v="140"/>
    <x v="82"/>
    <d v="2025-03-26T00:00:00"/>
    <x v="2"/>
    <x v="1"/>
    <x v="0"/>
    <x v="0"/>
    <x v="8"/>
    <x v="1"/>
    <x v="12"/>
    <x v="2"/>
  </r>
  <r>
    <s v="TX502257"/>
    <x v="0"/>
    <x v="2"/>
    <n v="22.2"/>
    <n v="66.599999999999994"/>
    <x v="82"/>
    <d v="2025-03-25T00:00:00"/>
    <x v="1"/>
    <x v="1"/>
    <x v="0"/>
    <x v="0"/>
    <x v="17"/>
    <x v="3"/>
    <x v="12"/>
    <x v="1"/>
  </r>
  <r>
    <s v="TX502258"/>
    <x v="10"/>
    <x v="0"/>
    <n v="32.4"/>
    <n v="32.4"/>
    <x v="82"/>
    <d v="2025-03-25T00:00:00"/>
    <x v="2"/>
    <x v="0"/>
    <x v="0"/>
    <x v="0"/>
    <x v="11"/>
    <x v="3"/>
    <x v="12"/>
    <x v="2"/>
  </r>
  <r>
    <s v="TX502259"/>
    <x v="5"/>
    <x v="2"/>
    <n v="88.4"/>
    <n v="265.20000000000005"/>
    <x v="83"/>
    <d v="2025-03-27T00:00:00"/>
    <x v="2"/>
    <x v="1"/>
    <x v="1"/>
    <x v="0"/>
    <x v="11"/>
    <x v="1"/>
    <x v="12"/>
    <x v="2"/>
  </r>
  <r>
    <s v="TX502260"/>
    <x v="5"/>
    <x v="27"/>
    <n v="30.5"/>
    <n v="488"/>
    <x v="83"/>
    <d v="2025-03-26T00:00:00"/>
    <x v="2"/>
    <x v="2"/>
    <x v="0"/>
    <x v="0"/>
    <x v="11"/>
    <x v="3"/>
    <x v="12"/>
    <x v="2"/>
  </r>
  <r>
    <s v="TX502261"/>
    <x v="1"/>
    <x v="13"/>
    <n v="38.1"/>
    <n v="228.60000000000002"/>
    <x v="83"/>
    <d v="2025-03-27T00:00:00"/>
    <x v="2"/>
    <x v="0"/>
    <x v="1"/>
    <x v="0"/>
    <x v="11"/>
    <x v="1"/>
    <x v="12"/>
    <x v="2"/>
  </r>
  <r>
    <s v="TX502262"/>
    <x v="10"/>
    <x v="9"/>
    <n v="37.6"/>
    <n v="188"/>
    <x v="83"/>
    <d v="2025-03-29T00:00:00"/>
    <x v="1"/>
    <x v="0"/>
    <x v="0"/>
    <x v="0"/>
    <x v="11"/>
    <x v="5"/>
    <x v="12"/>
    <x v="1"/>
  </r>
  <r>
    <s v="TX502263"/>
    <x v="15"/>
    <x v="1"/>
    <n v="31.4"/>
    <n v="62.8"/>
    <x v="83"/>
    <d v="2025-03-26T00:00:00"/>
    <x v="1"/>
    <x v="0"/>
    <x v="2"/>
    <x v="0"/>
    <x v="11"/>
    <x v="3"/>
    <x v="12"/>
    <x v="1"/>
  </r>
  <r>
    <s v="TX502264"/>
    <x v="6"/>
    <x v="1"/>
    <n v="61.5"/>
    <n v="123"/>
    <x v="83"/>
    <d v="2025-03-26T00:00:00"/>
    <x v="1"/>
    <x v="3"/>
    <x v="0"/>
    <x v="0"/>
    <x v="31"/>
    <x v="3"/>
    <x v="12"/>
    <x v="1"/>
  </r>
  <r>
    <s v="TX502265"/>
    <x v="6"/>
    <x v="0"/>
    <n v="72.599999999999994"/>
    <n v="72.599999999999994"/>
    <x v="83"/>
    <d v="2025-03-26T00:00:00"/>
    <x v="1"/>
    <x v="0"/>
    <x v="1"/>
    <x v="0"/>
    <x v="21"/>
    <x v="3"/>
    <x v="12"/>
    <x v="1"/>
  </r>
  <r>
    <s v="TX502266"/>
    <x v="9"/>
    <x v="2"/>
    <n v="26.9"/>
    <n v="80.699999999999989"/>
    <x v="83"/>
    <d v="2025-03-30T00:00:00"/>
    <x v="3"/>
    <x v="4"/>
    <x v="1"/>
    <x v="0"/>
    <x v="46"/>
    <x v="0"/>
    <x v="12"/>
    <x v="3"/>
  </r>
  <r>
    <s v="TX502267"/>
    <x v="17"/>
    <x v="4"/>
    <n v="29.4"/>
    <n v="352.79999999999995"/>
    <x v="83"/>
    <d v="2025-03-26T00:00:00"/>
    <x v="2"/>
    <x v="1"/>
    <x v="0"/>
    <x v="0"/>
    <x v="51"/>
    <x v="3"/>
    <x v="12"/>
    <x v="2"/>
  </r>
  <r>
    <s v="TX502268"/>
    <x v="17"/>
    <x v="1"/>
    <n v="42.1"/>
    <n v="84.2"/>
    <x v="83"/>
    <d v="2025-03-26T00:00:00"/>
    <x v="2"/>
    <x v="3"/>
    <x v="1"/>
    <x v="0"/>
    <x v="1"/>
    <x v="3"/>
    <x v="12"/>
    <x v="2"/>
  </r>
  <r>
    <s v="TX502269"/>
    <x v="5"/>
    <x v="0"/>
    <n v="40.5"/>
    <n v="40.5"/>
    <x v="83"/>
    <d v="2025-03-26T00:00:00"/>
    <x v="2"/>
    <x v="2"/>
    <x v="1"/>
    <x v="0"/>
    <x v="1"/>
    <x v="3"/>
    <x v="12"/>
    <x v="2"/>
  </r>
  <r>
    <s v="TX502270"/>
    <x v="2"/>
    <x v="12"/>
    <n v="182.3"/>
    <n v="729.2"/>
    <x v="83"/>
    <d v="2025-03-26T00:00:00"/>
    <x v="2"/>
    <x v="1"/>
    <x v="0"/>
    <x v="0"/>
    <x v="1"/>
    <x v="3"/>
    <x v="12"/>
    <x v="2"/>
  </r>
  <r>
    <s v="TX502271"/>
    <x v="2"/>
    <x v="9"/>
    <n v="157"/>
    <n v="785"/>
    <x v="83"/>
    <d v="2025-03-28T00:00:00"/>
    <x v="2"/>
    <x v="1"/>
    <x v="2"/>
    <x v="0"/>
    <x v="2"/>
    <x v="2"/>
    <x v="12"/>
    <x v="2"/>
  </r>
  <r>
    <s v="TX502272"/>
    <x v="17"/>
    <x v="9"/>
    <n v="45.2"/>
    <n v="226"/>
    <x v="83"/>
    <d v="2025-03-28T00:00:00"/>
    <x v="2"/>
    <x v="1"/>
    <x v="0"/>
    <x v="0"/>
    <x v="22"/>
    <x v="2"/>
    <x v="12"/>
    <x v="2"/>
  </r>
  <r>
    <s v="TX502273"/>
    <x v="15"/>
    <x v="12"/>
    <n v="27.4"/>
    <n v="109.6"/>
    <x v="83"/>
    <d v="2025-03-27T00:00:00"/>
    <x v="2"/>
    <x v="0"/>
    <x v="0"/>
    <x v="0"/>
    <x v="3"/>
    <x v="1"/>
    <x v="12"/>
    <x v="2"/>
  </r>
  <r>
    <s v="TX502274"/>
    <x v="5"/>
    <x v="9"/>
    <n v="34.1"/>
    <n v="170.5"/>
    <x v="83"/>
    <d v="2025-03-27T00:00:00"/>
    <x v="1"/>
    <x v="0"/>
    <x v="2"/>
    <x v="0"/>
    <x v="3"/>
    <x v="1"/>
    <x v="12"/>
    <x v="1"/>
  </r>
  <r>
    <s v="TX502275"/>
    <x v="0"/>
    <x v="1"/>
    <n v="26"/>
    <n v="52"/>
    <x v="83"/>
    <d v="2025-03-27T00:00:00"/>
    <x v="1"/>
    <x v="2"/>
    <x v="1"/>
    <x v="0"/>
    <x v="3"/>
    <x v="1"/>
    <x v="12"/>
    <x v="1"/>
  </r>
  <r>
    <s v="TX502276"/>
    <x v="8"/>
    <x v="3"/>
    <n v="19.399999999999999"/>
    <n v="135.79999999999998"/>
    <x v="83"/>
    <d v="2025-03-27T00:00:00"/>
    <x v="0"/>
    <x v="1"/>
    <x v="1"/>
    <x v="0"/>
    <x v="3"/>
    <x v="1"/>
    <x v="12"/>
    <x v="0"/>
  </r>
  <r>
    <s v="TX502277"/>
    <x v="16"/>
    <x v="2"/>
    <n v="30.3"/>
    <n v="90.9"/>
    <x v="83"/>
    <d v="2025-03-28T00:00:00"/>
    <x v="2"/>
    <x v="1"/>
    <x v="2"/>
    <x v="0"/>
    <x v="3"/>
    <x v="2"/>
    <x v="12"/>
    <x v="2"/>
  </r>
  <r>
    <s v="TX502278"/>
    <x v="2"/>
    <x v="2"/>
    <n v="101.4"/>
    <n v="304.20000000000005"/>
    <x v="83"/>
    <d v="2025-03-26T00:00:00"/>
    <x v="1"/>
    <x v="0"/>
    <x v="0"/>
    <x v="0"/>
    <x v="3"/>
    <x v="3"/>
    <x v="12"/>
    <x v="1"/>
  </r>
  <r>
    <s v="TX502279"/>
    <x v="3"/>
    <x v="9"/>
    <n v="55.5"/>
    <n v="277.5"/>
    <x v="83"/>
    <d v="2025-03-28T00:00:00"/>
    <x v="1"/>
    <x v="1"/>
    <x v="0"/>
    <x v="0"/>
    <x v="24"/>
    <x v="2"/>
    <x v="12"/>
    <x v="1"/>
  </r>
  <r>
    <s v="TX502280"/>
    <x v="8"/>
    <x v="0"/>
    <n v="23.1"/>
    <n v="23.1"/>
    <x v="83"/>
    <d v="2025-03-26T00:00:00"/>
    <x v="1"/>
    <x v="0"/>
    <x v="0"/>
    <x v="0"/>
    <x v="25"/>
    <x v="3"/>
    <x v="12"/>
    <x v="1"/>
  </r>
  <r>
    <s v="TX502281"/>
    <x v="18"/>
    <x v="1"/>
    <n v="38.9"/>
    <n v="77.8"/>
    <x v="83"/>
    <d v="2025-03-26T00:00:00"/>
    <x v="1"/>
    <x v="2"/>
    <x v="0"/>
    <x v="0"/>
    <x v="25"/>
    <x v="3"/>
    <x v="12"/>
    <x v="1"/>
  </r>
  <r>
    <s v="TX502282"/>
    <x v="6"/>
    <x v="11"/>
    <n v="116.3"/>
    <n v="1046.7"/>
    <x v="83"/>
    <d v="2025-03-29T00:00:00"/>
    <x v="2"/>
    <x v="0"/>
    <x v="0"/>
    <x v="0"/>
    <x v="5"/>
    <x v="5"/>
    <x v="12"/>
    <x v="2"/>
  </r>
  <r>
    <s v="TX502283"/>
    <x v="16"/>
    <x v="11"/>
    <n v="64.099999999999994"/>
    <n v="576.9"/>
    <x v="83"/>
    <d v="2025-03-25T00:00:00"/>
    <x v="2"/>
    <x v="0"/>
    <x v="2"/>
    <x v="0"/>
    <x v="6"/>
    <x v="7"/>
    <x v="12"/>
    <x v="2"/>
  </r>
  <r>
    <s v="TX502284"/>
    <x v="2"/>
    <x v="13"/>
    <n v="109.2"/>
    <n v="655.20000000000005"/>
    <x v="83"/>
    <d v="2025-03-27T00:00:00"/>
    <x v="1"/>
    <x v="0"/>
    <x v="1"/>
    <x v="0"/>
    <x v="8"/>
    <x v="1"/>
    <x v="12"/>
    <x v="1"/>
  </r>
  <r>
    <s v="TX502285"/>
    <x v="10"/>
    <x v="9"/>
    <n v="23.2"/>
    <n v="116"/>
    <x v="84"/>
    <d v="2025-03-27T00:00:00"/>
    <x v="1"/>
    <x v="0"/>
    <x v="1"/>
    <x v="0"/>
    <x v="8"/>
    <x v="3"/>
    <x v="12"/>
    <x v="1"/>
  </r>
  <r>
    <s v="TX502286"/>
    <x v="18"/>
    <x v="13"/>
    <n v="81.2"/>
    <n v="487.20000000000005"/>
    <x v="84"/>
    <d v="2025-03-28T00:00:00"/>
    <x v="1"/>
    <x v="2"/>
    <x v="2"/>
    <x v="0"/>
    <x v="8"/>
    <x v="1"/>
    <x v="12"/>
    <x v="1"/>
  </r>
  <r>
    <s v="TX502287"/>
    <x v="1"/>
    <x v="21"/>
    <n v="35.700000000000003"/>
    <n v="499.80000000000007"/>
    <x v="84"/>
    <d v="2025-03-27T00:00:00"/>
    <x v="1"/>
    <x v="3"/>
    <x v="0"/>
    <x v="0"/>
    <x v="8"/>
    <x v="3"/>
    <x v="12"/>
    <x v="1"/>
  </r>
  <r>
    <s v="TX502288"/>
    <x v="7"/>
    <x v="1"/>
    <n v="44.5"/>
    <n v="89"/>
    <x v="84"/>
    <d v="2025-03-29T00:00:00"/>
    <x v="1"/>
    <x v="4"/>
    <x v="0"/>
    <x v="0"/>
    <x v="9"/>
    <x v="2"/>
    <x v="12"/>
    <x v="1"/>
  </r>
  <r>
    <s v="TX502289"/>
    <x v="1"/>
    <x v="9"/>
    <n v="32"/>
    <n v="160"/>
    <x v="84"/>
    <d v="2025-03-28T00:00:00"/>
    <x v="3"/>
    <x v="1"/>
    <x v="1"/>
    <x v="0"/>
    <x v="9"/>
    <x v="1"/>
    <x v="12"/>
    <x v="3"/>
  </r>
  <r>
    <s v="TX502290"/>
    <x v="8"/>
    <x v="0"/>
    <n v="25.7"/>
    <n v="25.7"/>
    <x v="84"/>
    <d v="2025-03-27T00:00:00"/>
    <x v="1"/>
    <x v="0"/>
    <x v="0"/>
    <x v="0"/>
    <x v="10"/>
    <x v="3"/>
    <x v="12"/>
    <x v="1"/>
  </r>
  <r>
    <s v="TX502291"/>
    <x v="16"/>
    <x v="2"/>
    <n v="65.599999999999994"/>
    <n v="196.79999999999998"/>
    <x v="84"/>
    <d v="2025-04-01T00:00:00"/>
    <x v="1"/>
    <x v="0"/>
    <x v="0"/>
    <x v="0"/>
    <x v="11"/>
    <x v="4"/>
    <x v="12"/>
    <x v="1"/>
  </r>
  <r>
    <s v="TX502292"/>
    <x v="1"/>
    <x v="12"/>
    <n v="52.1"/>
    <n v="208.4"/>
    <x v="84"/>
    <d v="2025-03-27T00:00:00"/>
    <x v="2"/>
    <x v="0"/>
    <x v="2"/>
    <x v="0"/>
    <x v="11"/>
    <x v="3"/>
    <x v="12"/>
    <x v="2"/>
  </r>
  <r>
    <s v="TX502293"/>
    <x v="8"/>
    <x v="0"/>
    <n v="31"/>
    <n v="31"/>
    <x v="84"/>
    <d v="2025-03-27T00:00:00"/>
    <x v="1"/>
    <x v="0"/>
    <x v="1"/>
    <x v="0"/>
    <x v="19"/>
    <x v="3"/>
    <x v="12"/>
    <x v="1"/>
  </r>
  <r>
    <s v="TX502294"/>
    <x v="8"/>
    <x v="0"/>
    <n v="32"/>
    <n v="32"/>
    <x v="84"/>
    <d v="2025-03-28T00:00:00"/>
    <x v="3"/>
    <x v="3"/>
    <x v="1"/>
    <x v="0"/>
    <x v="31"/>
    <x v="1"/>
    <x v="12"/>
    <x v="3"/>
  </r>
  <r>
    <s v="TX502295"/>
    <x v="16"/>
    <x v="12"/>
    <n v="58.3"/>
    <n v="233.2"/>
    <x v="84"/>
    <d v="2025-03-30T00:00:00"/>
    <x v="1"/>
    <x v="1"/>
    <x v="4"/>
    <x v="0"/>
    <x v="20"/>
    <x v="5"/>
    <x v="12"/>
    <x v="1"/>
  </r>
  <r>
    <s v="TX502296"/>
    <x v="8"/>
    <x v="2"/>
    <n v="31"/>
    <n v="93"/>
    <x v="84"/>
    <d v="2025-03-28T00:00:00"/>
    <x v="2"/>
    <x v="2"/>
    <x v="4"/>
    <x v="0"/>
    <x v="13"/>
    <x v="1"/>
    <x v="12"/>
    <x v="2"/>
  </r>
  <r>
    <s v="TX502297"/>
    <x v="3"/>
    <x v="0"/>
    <n v="40.299999999999997"/>
    <n v="40.299999999999997"/>
    <x v="84"/>
    <d v="2025-03-27T00:00:00"/>
    <x v="1"/>
    <x v="1"/>
    <x v="2"/>
    <x v="0"/>
    <x v="54"/>
    <x v="3"/>
    <x v="12"/>
    <x v="1"/>
  </r>
  <r>
    <s v="TX502298"/>
    <x v="6"/>
    <x v="2"/>
    <n v="47.3"/>
    <n v="141.89999999999998"/>
    <x v="84"/>
    <d v="2025-03-28T00:00:00"/>
    <x v="1"/>
    <x v="4"/>
    <x v="2"/>
    <x v="0"/>
    <x v="2"/>
    <x v="1"/>
    <x v="12"/>
    <x v="1"/>
  </r>
  <r>
    <s v="TX502299"/>
    <x v="2"/>
    <x v="0"/>
    <n v="82.8"/>
    <n v="82.8"/>
    <x v="84"/>
    <d v="2025-03-27T00:00:00"/>
    <x v="1"/>
    <x v="0"/>
    <x v="0"/>
    <x v="0"/>
    <x v="2"/>
    <x v="3"/>
    <x v="12"/>
    <x v="1"/>
  </r>
  <r>
    <s v="TX502300"/>
    <x v="8"/>
    <x v="0"/>
    <n v="18.5"/>
    <n v="18.5"/>
    <x v="84"/>
    <d v="2025-04-09T00:00:00"/>
    <x v="2"/>
    <x v="0"/>
    <x v="0"/>
    <x v="0"/>
    <x v="44"/>
    <x v="12"/>
    <x v="12"/>
    <x v="2"/>
  </r>
  <r>
    <s v="TX502301"/>
    <x v="3"/>
    <x v="1"/>
    <n v="60.4"/>
    <n v="120.8"/>
    <x v="84"/>
    <d v="2025-03-27T00:00:00"/>
    <x v="1"/>
    <x v="2"/>
    <x v="0"/>
    <x v="0"/>
    <x v="22"/>
    <x v="3"/>
    <x v="12"/>
    <x v="1"/>
  </r>
  <r>
    <s v="TX502302"/>
    <x v="6"/>
    <x v="9"/>
    <n v="80.2"/>
    <n v="401"/>
    <x v="84"/>
    <d v="2025-04-02T00:00:00"/>
    <x v="1"/>
    <x v="1"/>
    <x v="1"/>
    <x v="0"/>
    <x v="50"/>
    <x v="6"/>
    <x v="12"/>
    <x v="1"/>
  </r>
  <r>
    <s v="TX502303"/>
    <x v="4"/>
    <x v="0"/>
    <n v="41.5"/>
    <n v="41.5"/>
    <x v="84"/>
    <d v="2025-03-28T00:00:00"/>
    <x v="1"/>
    <x v="2"/>
    <x v="0"/>
    <x v="0"/>
    <x v="3"/>
    <x v="1"/>
    <x v="12"/>
    <x v="1"/>
  </r>
  <r>
    <s v="TX502304"/>
    <x v="2"/>
    <x v="1"/>
    <n v="83.9"/>
    <n v="167.8"/>
    <x v="84"/>
    <d v="2025-03-29T00:00:00"/>
    <x v="2"/>
    <x v="0"/>
    <x v="0"/>
    <x v="0"/>
    <x v="3"/>
    <x v="2"/>
    <x v="12"/>
    <x v="2"/>
  </r>
  <r>
    <s v="TX502305"/>
    <x v="8"/>
    <x v="1"/>
    <n v="16.7"/>
    <n v="33.4"/>
    <x v="84"/>
    <d v="2025-03-30T00:00:00"/>
    <x v="2"/>
    <x v="0"/>
    <x v="1"/>
    <x v="0"/>
    <x v="3"/>
    <x v="5"/>
    <x v="12"/>
    <x v="2"/>
  </r>
  <r>
    <s v="TX502306"/>
    <x v="9"/>
    <x v="1"/>
    <n v="72.900000000000006"/>
    <n v="145.80000000000001"/>
    <x v="84"/>
    <d v="2025-03-27T00:00:00"/>
    <x v="1"/>
    <x v="2"/>
    <x v="1"/>
    <x v="0"/>
    <x v="3"/>
    <x v="3"/>
    <x v="12"/>
    <x v="1"/>
  </r>
  <r>
    <s v="TX502307"/>
    <x v="5"/>
    <x v="1"/>
    <n v="50.2"/>
    <n v="100.4"/>
    <x v="84"/>
    <d v="2025-03-28T00:00:00"/>
    <x v="2"/>
    <x v="1"/>
    <x v="2"/>
    <x v="0"/>
    <x v="3"/>
    <x v="1"/>
    <x v="12"/>
    <x v="2"/>
  </r>
  <r>
    <s v="TX502308"/>
    <x v="3"/>
    <x v="1"/>
    <n v="34.200000000000003"/>
    <n v="68.400000000000006"/>
    <x v="84"/>
    <d v="2025-04-05T00:00:00"/>
    <x v="0"/>
    <x v="1"/>
    <x v="0"/>
    <x v="0"/>
    <x v="3"/>
    <x v="14"/>
    <x v="12"/>
    <x v="0"/>
  </r>
  <r>
    <s v="TX502309"/>
    <x v="5"/>
    <x v="1"/>
    <n v="107.9"/>
    <n v="215.8"/>
    <x v="84"/>
    <d v="2025-03-26T00:00:00"/>
    <x v="1"/>
    <x v="1"/>
    <x v="4"/>
    <x v="0"/>
    <x v="3"/>
    <x v="7"/>
    <x v="12"/>
    <x v="1"/>
  </r>
  <r>
    <s v="TX502310"/>
    <x v="0"/>
    <x v="2"/>
    <n v="17.5"/>
    <n v="52.5"/>
    <x v="84"/>
    <d v="2025-03-28T00:00:00"/>
    <x v="1"/>
    <x v="4"/>
    <x v="0"/>
    <x v="0"/>
    <x v="3"/>
    <x v="1"/>
    <x v="12"/>
    <x v="1"/>
  </r>
  <r>
    <s v="TX502311"/>
    <x v="13"/>
    <x v="20"/>
    <n v="44.7"/>
    <n v="670.5"/>
    <x v="84"/>
    <d v="2025-03-27T00:00:00"/>
    <x v="1"/>
    <x v="0"/>
    <x v="1"/>
    <x v="0"/>
    <x v="3"/>
    <x v="3"/>
    <x v="12"/>
    <x v="1"/>
  </r>
  <r>
    <s v="TX502312"/>
    <x v="12"/>
    <x v="13"/>
    <n v="92.7"/>
    <n v="556.20000000000005"/>
    <x v="84"/>
    <d v="2025-03-28T00:00:00"/>
    <x v="2"/>
    <x v="2"/>
    <x v="1"/>
    <x v="0"/>
    <x v="3"/>
    <x v="1"/>
    <x v="12"/>
    <x v="2"/>
  </r>
  <r>
    <s v="TX502313"/>
    <x v="7"/>
    <x v="2"/>
    <n v="48.8"/>
    <n v="146.39999999999998"/>
    <x v="84"/>
    <d v="2025-03-28T00:00:00"/>
    <x v="2"/>
    <x v="2"/>
    <x v="0"/>
    <x v="0"/>
    <x v="3"/>
    <x v="1"/>
    <x v="12"/>
    <x v="2"/>
  </r>
  <r>
    <s v="TX502314"/>
    <x v="4"/>
    <x v="27"/>
    <n v="21.3"/>
    <n v="340.8"/>
    <x v="84"/>
    <d v="2025-03-30T00:00:00"/>
    <x v="2"/>
    <x v="3"/>
    <x v="3"/>
    <x v="0"/>
    <x v="3"/>
    <x v="5"/>
    <x v="12"/>
    <x v="2"/>
  </r>
  <r>
    <s v="TX502315"/>
    <x v="16"/>
    <x v="0"/>
    <n v="52.5"/>
    <n v="52.5"/>
    <x v="84"/>
    <d v="2025-03-27T00:00:00"/>
    <x v="2"/>
    <x v="0"/>
    <x v="0"/>
    <x v="0"/>
    <x v="3"/>
    <x v="3"/>
    <x v="12"/>
    <x v="2"/>
  </r>
  <r>
    <s v="TX502316"/>
    <x v="1"/>
    <x v="1"/>
    <n v="92.4"/>
    <n v="184.8"/>
    <x v="84"/>
    <d v="2025-04-01T00:00:00"/>
    <x v="2"/>
    <x v="0"/>
    <x v="2"/>
    <x v="0"/>
    <x v="3"/>
    <x v="4"/>
    <x v="12"/>
    <x v="2"/>
  </r>
  <r>
    <s v="TX502317"/>
    <x v="4"/>
    <x v="5"/>
    <n v="58.3"/>
    <n v="641.29999999999995"/>
    <x v="84"/>
    <d v="2025-03-28T00:00:00"/>
    <x v="1"/>
    <x v="1"/>
    <x v="2"/>
    <x v="0"/>
    <x v="3"/>
    <x v="1"/>
    <x v="12"/>
    <x v="1"/>
  </r>
  <r>
    <s v="TX502318"/>
    <x v="6"/>
    <x v="44"/>
    <n v="152.6"/>
    <n v="3509.7999999999997"/>
    <x v="85"/>
    <d v="2025-03-29T00:00:00"/>
    <x v="0"/>
    <x v="0"/>
    <x v="0"/>
    <x v="0"/>
    <x v="3"/>
    <x v="1"/>
    <x v="12"/>
    <x v="0"/>
  </r>
  <r>
    <s v="TX502319"/>
    <x v="8"/>
    <x v="1"/>
    <n v="26"/>
    <n v="52"/>
    <x v="85"/>
    <d v="2025-03-27T00:00:00"/>
    <x v="0"/>
    <x v="0"/>
    <x v="1"/>
    <x v="0"/>
    <x v="3"/>
    <x v="7"/>
    <x v="12"/>
    <x v="0"/>
  </r>
  <r>
    <s v="TX502320"/>
    <x v="1"/>
    <x v="12"/>
    <n v="33.1"/>
    <n v="132.4"/>
    <x v="85"/>
    <d v="2025-03-27T00:00:00"/>
    <x v="1"/>
    <x v="2"/>
    <x v="4"/>
    <x v="0"/>
    <x v="5"/>
    <x v="7"/>
    <x v="12"/>
    <x v="1"/>
  </r>
  <r>
    <s v="TX502321"/>
    <x v="18"/>
    <x v="0"/>
    <n v="51.4"/>
    <n v="51.4"/>
    <x v="85"/>
    <d v="2025-03-29T00:00:00"/>
    <x v="2"/>
    <x v="1"/>
    <x v="1"/>
    <x v="0"/>
    <x v="5"/>
    <x v="1"/>
    <x v="12"/>
    <x v="2"/>
  </r>
  <r>
    <s v="TX502322"/>
    <x v="8"/>
    <x v="1"/>
    <n v="30.2"/>
    <n v="60.4"/>
    <x v="85"/>
    <d v="2025-03-28T00:00:00"/>
    <x v="2"/>
    <x v="2"/>
    <x v="2"/>
    <x v="0"/>
    <x v="6"/>
    <x v="3"/>
    <x v="12"/>
    <x v="2"/>
  </r>
  <r>
    <s v="TX502323"/>
    <x v="2"/>
    <x v="13"/>
    <n v="97"/>
    <n v="582"/>
    <x v="85"/>
    <d v="2025-03-31T00:00:00"/>
    <x v="2"/>
    <x v="0"/>
    <x v="2"/>
    <x v="0"/>
    <x v="7"/>
    <x v="5"/>
    <x v="12"/>
    <x v="2"/>
  </r>
  <r>
    <s v="TX502324"/>
    <x v="2"/>
    <x v="0"/>
    <n v="76.900000000000006"/>
    <n v="76.900000000000006"/>
    <x v="85"/>
    <d v="2025-03-28T00:00:00"/>
    <x v="1"/>
    <x v="1"/>
    <x v="2"/>
    <x v="0"/>
    <x v="8"/>
    <x v="3"/>
    <x v="12"/>
    <x v="1"/>
  </r>
  <r>
    <s v="TX502325"/>
    <x v="7"/>
    <x v="13"/>
    <n v="36.1"/>
    <n v="216.60000000000002"/>
    <x v="85"/>
    <d v="2025-03-31T00:00:00"/>
    <x v="2"/>
    <x v="0"/>
    <x v="0"/>
    <x v="0"/>
    <x v="8"/>
    <x v="5"/>
    <x v="12"/>
    <x v="2"/>
  </r>
  <r>
    <s v="TX502326"/>
    <x v="1"/>
    <x v="3"/>
    <n v="34.4"/>
    <n v="240.79999999999998"/>
    <x v="85"/>
    <d v="2025-03-27T00:00:00"/>
    <x v="2"/>
    <x v="2"/>
    <x v="1"/>
    <x v="0"/>
    <x v="11"/>
    <x v="7"/>
    <x v="12"/>
    <x v="2"/>
  </r>
  <r>
    <s v="TX502327"/>
    <x v="1"/>
    <x v="31"/>
    <n v="53.4"/>
    <n v="1495.2"/>
    <x v="85"/>
    <d v="2025-03-29T00:00:00"/>
    <x v="2"/>
    <x v="1"/>
    <x v="0"/>
    <x v="0"/>
    <x v="18"/>
    <x v="1"/>
    <x v="12"/>
    <x v="2"/>
  </r>
  <r>
    <s v="TX502328"/>
    <x v="2"/>
    <x v="0"/>
    <n v="77.599999999999994"/>
    <n v="77.599999999999994"/>
    <x v="85"/>
    <d v="2025-03-28T00:00:00"/>
    <x v="2"/>
    <x v="0"/>
    <x v="1"/>
    <x v="0"/>
    <x v="19"/>
    <x v="3"/>
    <x v="12"/>
    <x v="2"/>
  </r>
  <r>
    <s v="TX502329"/>
    <x v="1"/>
    <x v="2"/>
    <n v="71.7"/>
    <n v="215.10000000000002"/>
    <x v="85"/>
    <d v="2025-03-30T00:00:00"/>
    <x v="2"/>
    <x v="1"/>
    <x v="0"/>
    <x v="0"/>
    <x v="19"/>
    <x v="2"/>
    <x v="12"/>
    <x v="2"/>
  </r>
  <r>
    <s v="TX502330"/>
    <x v="3"/>
    <x v="2"/>
    <n v="80.599999999999994"/>
    <n v="241.79999999999998"/>
    <x v="85"/>
    <d v="2025-03-28T00:00:00"/>
    <x v="1"/>
    <x v="4"/>
    <x v="1"/>
    <x v="0"/>
    <x v="19"/>
    <x v="3"/>
    <x v="12"/>
    <x v="1"/>
  </r>
  <r>
    <s v="TX502331"/>
    <x v="1"/>
    <x v="20"/>
    <n v="70"/>
    <n v="1050"/>
    <x v="85"/>
    <d v="2025-03-29T00:00:00"/>
    <x v="1"/>
    <x v="0"/>
    <x v="0"/>
    <x v="0"/>
    <x v="20"/>
    <x v="1"/>
    <x v="12"/>
    <x v="1"/>
  </r>
  <r>
    <s v="TX502332"/>
    <x v="4"/>
    <x v="13"/>
    <n v="27.3"/>
    <n v="163.80000000000001"/>
    <x v="85"/>
    <d v="2025-03-29T00:00:00"/>
    <x v="2"/>
    <x v="1"/>
    <x v="1"/>
    <x v="0"/>
    <x v="2"/>
    <x v="1"/>
    <x v="12"/>
    <x v="2"/>
  </r>
  <r>
    <s v="TX502333"/>
    <x v="8"/>
    <x v="21"/>
    <n v="37.6"/>
    <n v="526.4"/>
    <x v="85"/>
    <d v="2025-03-29T00:00:00"/>
    <x v="1"/>
    <x v="1"/>
    <x v="0"/>
    <x v="0"/>
    <x v="3"/>
    <x v="1"/>
    <x v="12"/>
    <x v="1"/>
  </r>
  <r>
    <s v="TX502334"/>
    <x v="5"/>
    <x v="2"/>
    <n v="36.6"/>
    <n v="109.80000000000001"/>
    <x v="85"/>
    <d v="2025-03-29T00:00:00"/>
    <x v="2"/>
    <x v="4"/>
    <x v="0"/>
    <x v="0"/>
    <x v="3"/>
    <x v="1"/>
    <x v="12"/>
    <x v="2"/>
  </r>
  <r>
    <s v="TX502335"/>
    <x v="13"/>
    <x v="0"/>
    <n v="55.2"/>
    <n v="55.2"/>
    <x v="85"/>
    <d v="2025-03-29T00:00:00"/>
    <x v="1"/>
    <x v="3"/>
    <x v="0"/>
    <x v="0"/>
    <x v="3"/>
    <x v="1"/>
    <x v="12"/>
    <x v="1"/>
  </r>
  <r>
    <s v="TX502336"/>
    <x v="6"/>
    <x v="9"/>
    <n v="59.9"/>
    <n v="299.5"/>
    <x v="85"/>
    <d v="2025-03-29T00:00:00"/>
    <x v="1"/>
    <x v="0"/>
    <x v="0"/>
    <x v="0"/>
    <x v="3"/>
    <x v="1"/>
    <x v="12"/>
    <x v="1"/>
  </r>
  <r>
    <s v="TX502337"/>
    <x v="6"/>
    <x v="0"/>
    <n v="44"/>
    <n v="44"/>
    <x v="85"/>
    <d v="2025-03-28T00:00:00"/>
    <x v="2"/>
    <x v="2"/>
    <x v="2"/>
    <x v="0"/>
    <x v="3"/>
    <x v="3"/>
    <x v="12"/>
    <x v="2"/>
  </r>
  <r>
    <s v="TX502338"/>
    <x v="9"/>
    <x v="1"/>
    <n v="68.7"/>
    <n v="137.4"/>
    <x v="85"/>
    <d v="2025-03-27T00:00:00"/>
    <x v="1"/>
    <x v="0"/>
    <x v="0"/>
    <x v="0"/>
    <x v="3"/>
    <x v="7"/>
    <x v="12"/>
    <x v="1"/>
  </r>
  <r>
    <s v="TX502339"/>
    <x v="5"/>
    <x v="1"/>
    <n v="61.6"/>
    <n v="123.2"/>
    <x v="85"/>
    <d v="2025-03-31T00:00:00"/>
    <x v="1"/>
    <x v="3"/>
    <x v="1"/>
    <x v="0"/>
    <x v="3"/>
    <x v="5"/>
    <x v="12"/>
    <x v="1"/>
  </r>
  <r>
    <s v="TX502340"/>
    <x v="7"/>
    <x v="3"/>
    <n v="51.8"/>
    <n v="362.59999999999997"/>
    <x v="85"/>
    <d v="2025-03-28T00:00:00"/>
    <x v="1"/>
    <x v="0"/>
    <x v="0"/>
    <x v="0"/>
    <x v="3"/>
    <x v="3"/>
    <x v="12"/>
    <x v="1"/>
  </r>
  <r>
    <s v="TX502341"/>
    <x v="8"/>
    <x v="7"/>
    <n v="46.2"/>
    <n v="462"/>
    <x v="85"/>
    <d v="2025-03-29T00:00:00"/>
    <x v="1"/>
    <x v="1"/>
    <x v="2"/>
    <x v="0"/>
    <x v="3"/>
    <x v="1"/>
    <x v="12"/>
    <x v="1"/>
  </r>
  <r>
    <s v="TX502342"/>
    <x v="0"/>
    <x v="1"/>
    <n v="19.399999999999999"/>
    <n v="38.799999999999997"/>
    <x v="85"/>
    <d v="2025-03-29T00:00:00"/>
    <x v="2"/>
    <x v="1"/>
    <x v="2"/>
    <x v="0"/>
    <x v="6"/>
    <x v="1"/>
    <x v="12"/>
    <x v="2"/>
  </r>
  <r>
    <s v="TX502343"/>
    <x v="11"/>
    <x v="2"/>
    <n v="52.1"/>
    <n v="156.30000000000001"/>
    <x v="85"/>
    <d v="2025-03-30T00:00:00"/>
    <x v="1"/>
    <x v="3"/>
    <x v="3"/>
    <x v="0"/>
    <x v="6"/>
    <x v="2"/>
    <x v="12"/>
    <x v="1"/>
  </r>
  <r>
    <s v="TX502344"/>
    <x v="6"/>
    <x v="0"/>
    <n v="74.900000000000006"/>
    <n v="74.900000000000006"/>
    <x v="85"/>
    <d v="2025-03-29T00:00:00"/>
    <x v="3"/>
    <x v="0"/>
    <x v="0"/>
    <x v="0"/>
    <x v="7"/>
    <x v="1"/>
    <x v="12"/>
    <x v="3"/>
  </r>
  <r>
    <s v="TX502345"/>
    <x v="9"/>
    <x v="3"/>
    <n v="49.6"/>
    <n v="347.2"/>
    <x v="85"/>
    <d v="2025-03-30T00:00:00"/>
    <x v="2"/>
    <x v="4"/>
    <x v="0"/>
    <x v="0"/>
    <x v="8"/>
    <x v="2"/>
    <x v="12"/>
    <x v="2"/>
  </r>
  <r>
    <s v="TX502346"/>
    <x v="16"/>
    <x v="12"/>
    <n v="82.8"/>
    <n v="331.2"/>
    <x v="86"/>
    <d v="2025-03-31T00:00:00"/>
    <x v="2"/>
    <x v="4"/>
    <x v="0"/>
    <x v="0"/>
    <x v="8"/>
    <x v="2"/>
    <x v="12"/>
    <x v="2"/>
  </r>
  <r>
    <s v="TX502347"/>
    <x v="2"/>
    <x v="0"/>
    <n v="97.7"/>
    <n v="97.7"/>
    <x v="86"/>
    <d v="2025-03-29T00:00:00"/>
    <x v="2"/>
    <x v="1"/>
    <x v="0"/>
    <x v="0"/>
    <x v="8"/>
    <x v="3"/>
    <x v="12"/>
    <x v="2"/>
  </r>
  <r>
    <s v="TX502348"/>
    <x v="6"/>
    <x v="9"/>
    <n v="83.6"/>
    <n v="418"/>
    <x v="86"/>
    <d v="2025-03-29T00:00:00"/>
    <x v="2"/>
    <x v="4"/>
    <x v="0"/>
    <x v="0"/>
    <x v="8"/>
    <x v="3"/>
    <x v="12"/>
    <x v="2"/>
  </r>
  <r>
    <s v="TX502349"/>
    <x v="8"/>
    <x v="9"/>
    <n v="23.5"/>
    <n v="117.5"/>
    <x v="86"/>
    <d v="2025-04-01T00:00:00"/>
    <x v="3"/>
    <x v="0"/>
    <x v="0"/>
    <x v="0"/>
    <x v="8"/>
    <x v="5"/>
    <x v="12"/>
    <x v="3"/>
  </r>
  <r>
    <s v="TX502350"/>
    <x v="9"/>
    <x v="2"/>
    <n v="44.6"/>
    <n v="133.80000000000001"/>
    <x v="86"/>
    <d v="2025-03-31T00:00:00"/>
    <x v="2"/>
    <x v="4"/>
    <x v="1"/>
    <x v="0"/>
    <x v="26"/>
    <x v="2"/>
    <x v="12"/>
    <x v="2"/>
  </r>
  <r>
    <s v="TX502351"/>
    <x v="0"/>
    <x v="2"/>
    <n v="20.100000000000001"/>
    <n v="60.300000000000004"/>
    <x v="86"/>
    <d v="2025-03-30T00:00:00"/>
    <x v="2"/>
    <x v="3"/>
    <x v="4"/>
    <x v="0"/>
    <x v="11"/>
    <x v="1"/>
    <x v="12"/>
    <x v="2"/>
  </r>
  <r>
    <s v="TX502352"/>
    <x v="2"/>
    <x v="9"/>
    <n v="153.6"/>
    <n v="768"/>
    <x v="86"/>
    <d v="2025-03-29T00:00:00"/>
    <x v="2"/>
    <x v="1"/>
    <x v="2"/>
    <x v="0"/>
    <x v="53"/>
    <x v="3"/>
    <x v="12"/>
    <x v="2"/>
  </r>
  <r>
    <s v="TX502353"/>
    <x v="1"/>
    <x v="1"/>
    <n v="71.8"/>
    <n v="143.6"/>
    <x v="86"/>
    <d v="2025-04-01T00:00:00"/>
    <x v="2"/>
    <x v="1"/>
    <x v="0"/>
    <x v="0"/>
    <x v="1"/>
    <x v="5"/>
    <x v="12"/>
    <x v="2"/>
  </r>
  <r>
    <s v="TX502354"/>
    <x v="10"/>
    <x v="0"/>
    <n v="64.7"/>
    <n v="64.7"/>
    <x v="86"/>
    <d v="2025-03-30T00:00:00"/>
    <x v="0"/>
    <x v="0"/>
    <x v="1"/>
    <x v="0"/>
    <x v="1"/>
    <x v="1"/>
    <x v="12"/>
    <x v="0"/>
  </r>
  <r>
    <s v="TX502355"/>
    <x v="9"/>
    <x v="8"/>
    <n v="60.4"/>
    <n v="483.2"/>
    <x v="86"/>
    <d v="2025-03-30T00:00:00"/>
    <x v="2"/>
    <x v="3"/>
    <x v="2"/>
    <x v="0"/>
    <x v="2"/>
    <x v="1"/>
    <x v="12"/>
    <x v="2"/>
  </r>
  <r>
    <s v="TX502356"/>
    <x v="6"/>
    <x v="12"/>
    <n v="86"/>
    <n v="344"/>
    <x v="86"/>
    <d v="2025-03-31T00:00:00"/>
    <x v="2"/>
    <x v="2"/>
    <x v="2"/>
    <x v="0"/>
    <x v="22"/>
    <x v="2"/>
    <x v="12"/>
    <x v="2"/>
  </r>
  <r>
    <s v="TX502357"/>
    <x v="12"/>
    <x v="1"/>
    <n v="42.1"/>
    <n v="84.2"/>
    <x v="86"/>
    <d v="2025-03-29T00:00:00"/>
    <x v="2"/>
    <x v="4"/>
    <x v="1"/>
    <x v="0"/>
    <x v="34"/>
    <x v="3"/>
    <x v="12"/>
    <x v="2"/>
  </r>
  <r>
    <s v="TX502358"/>
    <x v="16"/>
    <x v="11"/>
    <n v="51.1"/>
    <n v="459.90000000000003"/>
    <x v="86"/>
    <d v="2025-03-29T00:00:00"/>
    <x v="1"/>
    <x v="2"/>
    <x v="1"/>
    <x v="0"/>
    <x v="3"/>
    <x v="3"/>
    <x v="12"/>
    <x v="1"/>
  </r>
  <r>
    <s v="TX502359"/>
    <x v="9"/>
    <x v="12"/>
    <n v="73.8"/>
    <n v="295.2"/>
    <x v="86"/>
    <d v="2025-03-29T00:00:00"/>
    <x v="1"/>
    <x v="4"/>
    <x v="0"/>
    <x v="0"/>
    <x v="3"/>
    <x v="3"/>
    <x v="12"/>
    <x v="1"/>
  </r>
  <r>
    <s v="TX502360"/>
    <x v="8"/>
    <x v="9"/>
    <n v="27"/>
    <n v="135"/>
    <x v="86"/>
    <d v="2025-03-31T00:00:00"/>
    <x v="2"/>
    <x v="2"/>
    <x v="2"/>
    <x v="0"/>
    <x v="3"/>
    <x v="2"/>
    <x v="12"/>
    <x v="2"/>
  </r>
  <r>
    <s v="TX502361"/>
    <x v="8"/>
    <x v="13"/>
    <n v="60.1"/>
    <n v="360.6"/>
    <x v="86"/>
    <d v="2025-03-29T00:00:00"/>
    <x v="1"/>
    <x v="3"/>
    <x v="0"/>
    <x v="0"/>
    <x v="3"/>
    <x v="3"/>
    <x v="12"/>
    <x v="1"/>
  </r>
  <r>
    <s v="TX502362"/>
    <x v="2"/>
    <x v="3"/>
    <n v="94.1"/>
    <n v="658.69999999999993"/>
    <x v="86"/>
    <d v="2025-03-30T00:00:00"/>
    <x v="2"/>
    <x v="4"/>
    <x v="1"/>
    <x v="0"/>
    <x v="3"/>
    <x v="1"/>
    <x v="12"/>
    <x v="2"/>
  </r>
  <r>
    <s v="TX502363"/>
    <x v="2"/>
    <x v="1"/>
    <n v="124.1"/>
    <n v="248.2"/>
    <x v="86"/>
    <d v="2025-03-28T00:00:00"/>
    <x v="2"/>
    <x v="2"/>
    <x v="3"/>
    <x v="0"/>
    <x v="43"/>
    <x v="7"/>
    <x v="12"/>
    <x v="2"/>
  </r>
  <r>
    <s v="TX502364"/>
    <x v="8"/>
    <x v="12"/>
    <n v="16.899999999999999"/>
    <n v="67.599999999999994"/>
    <x v="86"/>
    <d v="2025-03-31T00:00:00"/>
    <x v="1"/>
    <x v="3"/>
    <x v="0"/>
    <x v="0"/>
    <x v="6"/>
    <x v="2"/>
    <x v="12"/>
    <x v="1"/>
  </r>
  <r>
    <s v="TX502365"/>
    <x v="1"/>
    <x v="0"/>
    <n v="36.9"/>
    <n v="36.9"/>
    <x v="86"/>
    <d v="2025-03-29T00:00:00"/>
    <x v="1"/>
    <x v="0"/>
    <x v="0"/>
    <x v="0"/>
    <x v="6"/>
    <x v="3"/>
    <x v="12"/>
    <x v="1"/>
  </r>
  <r>
    <s v="TX502366"/>
    <x v="9"/>
    <x v="1"/>
    <n v="22.6"/>
    <n v="45.2"/>
    <x v="86"/>
    <d v="2025-04-10T00:00:00"/>
    <x v="2"/>
    <x v="2"/>
    <x v="1"/>
    <x v="0"/>
    <x v="8"/>
    <x v="10"/>
    <x v="12"/>
    <x v="2"/>
  </r>
  <r>
    <s v="TX502367"/>
    <x v="7"/>
    <x v="12"/>
    <n v="35"/>
    <n v="140"/>
    <x v="86"/>
    <d v="2025-04-02T00:00:00"/>
    <x v="1"/>
    <x v="3"/>
    <x v="1"/>
    <x v="0"/>
    <x v="8"/>
    <x v="0"/>
    <x v="12"/>
    <x v="1"/>
  </r>
  <r>
    <s v="TX502368"/>
    <x v="9"/>
    <x v="13"/>
    <n v="63.6"/>
    <n v="381.6"/>
    <x v="86"/>
    <d v="2025-04-04T00:00:00"/>
    <x v="0"/>
    <x v="1"/>
    <x v="2"/>
    <x v="0"/>
    <x v="8"/>
    <x v="6"/>
    <x v="12"/>
    <x v="0"/>
  </r>
  <r>
    <s v="TX502369"/>
    <x v="15"/>
    <x v="12"/>
    <n v="78.599999999999994"/>
    <n v="314.39999999999998"/>
    <x v="86"/>
    <d v="2025-03-29T00:00:00"/>
    <x v="1"/>
    <x v="4"/>
    <x v="1"/>
    <x v="0"/>
    <x v="8"/>
    <x v="3"/>
    <x v="12"/>
    <x v="1"/>
  </r>
  <r>
    <s v="TX502370"/>
    <x v="3"/>
    <x v="1"/>
    <n v="38.5"/>
    <n v="77"/>
    <x v="86"/>
    <d v="2025-03-29T00:00:00"/>
    <x v="1"/>
    <x v="0"/>
    <x v="2"/>
    <x v="0"/>
    <x v="8"/>
    <x v="3"/>
    <x v="12"/>
    <x v="1"/>
  </r>
  <r>
    <s v="TX502371"/>
    <x v="8"/>
    <x v="5"/>
    <n v="71.5"/>
    <n v="786.5"/>
    <x v="86"/>
    <d v="2025-03-29T00:00:00"/>
    <x v="2"/>
    <x v="1"/>
    <x v="4"/>
    <x v="0"/>
    <x v="8"/>
    <x v="3"/>
    <x v="12"/>
    <x v="2"/>
  </r>
  <r>
    <s v="TX502372"/>
    <x v="6"/>
    <x v="12"/>
    <n v="121.4"/>
    <n v="485.6"/>
    <x v="86"/>
    <d v="2025-04-01T00:00:00"/>
    <x v="1"/>
    <x v="1"/>
    <x v="2"/>
    <x v="0"/>
    <x v="17"/>
    <x v="5"/>
    <x v="12"/>
    <x v="1"/>
  </r>
  <r>
    <s v="TX502373"/>
    <x v="11"/>
    <x v="0"/>
    <n v="40.200000000000003"/>
    <n v="40.200000000000003"/>
    <x v="86"/>
    <d v="2025-03-31T00:00:00"/>
    <x v="2"/>
    <x v="0"/>
    <x v="2"/>
    <x v="0"/>
    <x v="11"/>
    <x v="2"/>
    <x v="12"/>
    <x v="2"/>
  </r>
  <r>
    <s v="TX502374"/>
    <x v="5"/>
    <x v="9"/>
    <n v="31.9"/>
    <n v="159.5"/>
    <x v="86"/>
    <d v="2025-03-30T00:00:00"/>
    <x v="2"/>
    <x v="2"/>
    <x v="2"/>
    <x v="0"/>
    <x v="28"/>
    <x v="1"/>
    <x v="12"/>
    <x v="2"/>
  </r>
  <r>
    <s v="TX502375"/>
    <x v="14"/>
    <x v="9"/>
    <n v="15.8"/>
    <n v="79"/>
    <x v="87"/>
    <d v="2025-03-30T00:00:00"/>
    <x v="1"/>
    <x v="3"/>
    <x v="2"/>
    <x v="0"/>
    <x v="21"/>
    <x v="3"/>
    <x v="12"/>
    <x v="1"/>
  </r>
  <r>
    <s v="TX502376"/>
    <x v="10"/>
    <x v="1"/>
    <n v="25.1"/>
    <n v="50.2"/>
    <x v="87"/>
    <d v="2025-03-31T00:00:00"/>
    <x v="0"/>
    <x v="1"/>
    <x v="0"/>
    <x v="0"/>
    <x v="21"/>
    <x v="1"/>
    <x v="12"/>
    <x v="0"/>
  </r>
  <r>
    <s v="TX502377"/>
    <x v="1"/>
    <x v="44"/>
    <n v="38.1"/>
    <n v="876.30000000000007"/>
    <x v="87"/>
    <d v="2025-03-30T00:00:00"/>
    <x v="2"/>
    <x v="4"/>
    <x v="0"/>
    <x v="0"/>
    <x v="1"/>
    <x v="3"/>
    <x v="12"/>
    <x v="2"/>
  </r>
  <r>
    <s v="TX502378"/>
    <x v="3"/>
    <x v="1"/>
    <n v="42.2"/>
    <n v="84.4"/>
    <x v="87"/>
    <d v="2025-03-31T00:00:00"/>
    <x v="2"/>
    <x v="0"/>
    <x v="2"/>
    <x v="0"/>
    <x v="1"/>
    <x v="1"/>
    <x v="12"/>
    <x v="2"/>
  </r>
  <r>
    <s v="TX502379"/>
    <x v="0"/>
    <x v="7"/>
    <n v="12.3"/>
    <n v="123"/>
    <x v="87"/>
    <d v="2025-03-30T00:00:00"/>
    <x v="2"/>
    <x v="4"/>
    <x v="0"/>
    <x v="0"/>
    <x v="2"/>
    <x v="3"/>
    <x v="12"/>
    <x v="2"/>
  </r>
  <r>
    <s v="TX502380"/>
    <x v="7"/>
    <x v="0"/>
    <n v="30.2"/>
    <n v="30.2"/>
    <x v="87"/>
    <d v="2025-03-31T00:00:00"/>
    <x v="2"/>
    <x v="1"/>
    <x v="2"/>
    <x v="0"/>
    <x v="34"/>
    <x v="1"/>
    <x v="12"/>
    <x v="2"/>
  </r>
  <r>
    <s v="TX502381"/>
    <x v="5"/>
    <x v="2"/>
    <n v="25.3"/>
    <n v="75.900000000000006"/>
    <x v="87"/>
    <d v="2025-04-01T00:00:00"/>
    <x v="2"/>
    <x v="2"/>
    <x v="0"/>
    <x v="0"/>
    <x v="3"/>
    <x v="2"/>
    <x v="12"/>
    <x v="2"/>
  </r>
  <r>
    <s v="TX502382"/>
    <x v="8"/>
    <x v="9"/>
    <n v="29.7"/>
    <n v="148.5"/>
    <x v="87"/>
    <d v="2025-03-31T00:00:00"/>
    <x v="1"/>
    <x v="3"/>
    <x v="0"/>
    <x v="0"/>
    <x v="3"/>
    <x v="1"/>
    <x v="12"/>
    <x v="1"/>
  </r>
  <r>
    <s v="TX502383"/>
    <x v="9"/>
    <x v="8"/>
    <n v="32.9"/>
    <n v="263.2"/>
    <x v="87"/>
    <d v="2025-03-30T00:00:00"/>
    <x v="0"/>
    <x v="3"/>
    <x v="2"/>
    <x v="0"/>
    <x v="3"/>
    <x v="3"/>
    <x v="12"/>
    <x v="0"/>
  </r>
  <r>
    <s v="TX502384"/>
    <x v="10"/>
    <x v="1"/>
    <n v="43.6"/>
    <n v="87.2"/>
    <x v="87"/>
    <d v="2025-03-30T00:00:00"/>
    <x v="1"/>
    <x v="1"/>
    <x v="2"/>
    <x v="0"/>
    <x v="3"/>
    <x v="3"/>
    <x v="12"/>
    <x v="1"/>
  </r>
  <r>
    <s v="TX502385"/>
    <x v="15"/>
    <x v="12"/>
    <n v="78.400000000000006"/>
    <n v="313.60000000000002"/>
    <x v="87"/>
    <d v="2025-03-30T00:00:00"/>
    <x v="1"/>
    <x v="2"/>
    <x v="0"/>
    <x v="0"/>
    <x v="3"/>
    <x v="3"/>
    <x v="12"/>
    <x v="1"/>
  </r>
  <r>
    <s v="TX502386"/>
    <x v="6"/>
    <x v="1"/>
    <n v="56.5"/>
    <n v="113"/>
    <x v="87"/>
    <d v="2025-04-02T00:00:00"/>
    <x v="1"/>
    <x v="1"/>
    <x v="1"/>
    <x v="0"/>
    <x v="3"/>
    <x v="5"/>
    <x v="12"/>
    <x v="1"/>
  </r>
  <r>
    <s v="TX502387"/>
    <x v="16"/>
    <x v="0"/>
    <n v="36.700000000000003"/>
    <n v="36.700000000000003"/>
    <x v="87"/>
    <d v="2025-03-30T00:00:00"/>
    <x v="2"/>
    <x v="0"/>
    <x v="2"/>
    <x v="0"/>
    <x v="3"/>
    <x v="3"/>
    <x v="12"/>
    <x v="2"/>
  </r>
  <r>
    <s v="TX502388"/>
    <x v="2"/>
    <x v="12"/>
    <n v="103.6"/>
    <n v="414.4"/>
    <x v="87"/>
    <d v="2025-04-09T00:00:00"/>
    <x v="1"/>
    <x v="4"/>
    <x v="2"/>
    <x v="0"/>
    <x v="3"/>
    <x v="11"/>
    <x v="12"/>
    <x v="1"/>
  </r>
  <r>
    <s v="TX502389"/>
    <x v="8"/>
    <x v="13"/>
    <n v="16.2"/>
    <n v="97.199999999999989"/>
    <x v="87"/>
    <d v="2025-04-02T00:00:00"/>
    <x v="1"/>
    <x v="1"/>
    <x v="2"/>
    <x v="0"/>
    <x v="6"/>
    <x v="5"/>
    <x v="12"/>
    <x v="1"/>
  </r>
  <r>
    <s v="TX502390"/>
    <x v="8"/>
    <x v="1"/>
    <n v="20.2"/>
    <n v="40.4"/>
    <x v="87"/>
    <d v="2025-03-30T00:00:00"/>
    <x v="2"/>
    <x v="0"/>
    <x v="0"/>
    <x v="0"/>
    <x v="6"/>
    <x v="3"/>
    <x v="12"/>
    <x v="2"/>
  </r>
  <r>
    <s v="TX502391"/>
    <x v="11"/>
    <x v="1"/>
    <n v="26.9"/>
    <n v="53.8"/>
    <x v="87"/>
    <d v="2025-03-31T00:00:00"/>
    <x v="2"/>
    <x v="2"/>
    <x v="0"/>
    <x v="0"/>
    <x v="6"/>
    <x v="1"/>
    <x v="12"/>
    <x v="2"/>
  </r>
  <r>
    <s v="TX502392"/>
    <x v="1"/>
    <x v="1"/>
    <n v="82.4"/>
    <n v="164.8"/>
    <x v="87"/>
    <d v="2025-04-01T00:00:00"/>
    <x v="0"/>
    <x v="0"/>
    <x v="0"/>
    <x v="0"/>
    <x v="7"/>
    <x v="2"/>
    <x v="12"/>
    <x v="0"/>
  </r>
  <r>
    <s v="TX502393"/>
    <x v="2"/>
    <x v="1"/>
    <n v="117.8"/>
    <n v="235.6"/>
    <x v="87"/>
    <d v="2025-03-31T00:00:00"/>
    <x v="1"/>
    <x v="1"/>
    <x v="2"/>
    <x v="0"/>
    <x v="8"/>
    <x v="1"/>
    <x v="12"/>
    <x v="1"/>
  </r>
  <r>
    <s v="TX502394"/>
    <x v="11"/>
    <x v="12"/>
    <n v="36.700000000000003"/>
    <n v="146.80000000000001"/>
    <x v="87"/>
    <d v="2025-03-30T00:00:00"/>
    <x v="1"/>
    <x v="1"/>
    <x v="0"/>
    <x v="0"/>
    <x v="8"/>
    <x v="3"/>
    <x v="12"/>
    <x v="1"/>
  </r>
  <r>
    <s v="TX502395"/>
    <x v="17"/>
    <x v="2"/>
    <n v="46.8"/>
    <n v="140.39999999999998"/>
    <x v="87"/>
    <d v="2025-03-30T00:00:00"/>
    <x v="1"/>
    <x v="4"/>
    <x v="2"/>
    <x v="0"/>
    <x v="10"/>
    <x v="3"/>
    <x v="12"/>
    <x v="1"/>
  </r>
  <r>
    <s v="TX502396"/>
    <x v="3"/>
    <x v="0"/>
    <n v="61.4"/>
    <n v="61.4"/>
    <x v="87"/>
    <d v="2025-03-30T00:00:00"/>
    <x v="1"/>
    <x v="1"/>
    <x v="0"/>
    <x v="0"/>
    <x v="10"/>
    <x v="3"/>
    <x v="12"/>
    <x v="1"/>
  </r>
  <r>
    <s v="TX502397"/>
    <x v="15"/>
    <x v="1"/>
    <n v="22.9"/>
    <n v="45.8"/>
    <x v="87"/>
    <d v="2025-03-30T00:00:00"/>
    <x v="1"/>
    <x v="0"/>
    <x v="0"/>
    <x v="0"/>
    <x v="11"/>
    <x v="3"/>
    <x v="12"/>
    <x v="1"/>
  </r>
  <r>
    <s v="TX502398"/>
    <x v="10"/>
    <x v="1"/>
    <n v="22.1"/>
    <n v="44.2"/>
    <x v="87"/>
    <d v="2025-03-30T00:00:00"/>
    <x v="2"/>
    <x v="4"/>
    <x v="0"/>
    <x v="0"/>
    <x v="11"/>
    <x v="3"/>
    <x v="12"/>
    <x v="2"/>
  </r>
  <r>
    <s v="TX502399"/>
    <x v="12"/>
    <x v="1"/>
    <n v="31"/>
    <n v="62"/>
    <x v="87"/>
    <d v="2025-03-31T00:00:00"/>
    <x v="2"/>
    <x v="2"/>
    <x v="0"/>
    <x v="0"/>
    <x v="18"/>
    <x v="1"/>
    <x v="12"/>
    <x v="2"/>
  </r>
  <r>
    <s v="TX502400"/>
    <x v="18"/>
    <x v="1"/>
    <n v="84.2"/>
    <n v="168.4"/>
    <x v="87"/>
    <d v="2025-03-31T00:00:00"/>
    <x v="1"/>
    <x v="2"/>
    <x v="2"/>
    <x v="0"/>
    <x v="13"/>
    <x v="1"/>
    <x v="12"/>
    <x v="1"/>
  </r>
  <r>
    <m/>
    <x v="20"/>
    <x v="48"/>
    <m/>
    <m/>
    <x v="88"/>
    <m/>
    <x v="4"/>
    <x v="5"/>
    <x v="5"/>
    <x v="1"/>
    <x v="58"/>
    <x v="15"/>
    <x v="13"/>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66E2B3-AF95-4185-82B4-7FFB4B5C8BD2}"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8:G25" firstHeaderRow="1" firstDataRow="2" firstDataCol="1"/>
  <pivotFields count="15">
    <pivotField showAll="0"/>
    <pivotField showAll="0"/>
    <pivotField showAll="0"/>
    <pivotField showAll="0"/>
    <pivotField dataField="1" showAll="0"/>
    <pivotField numFmtId="15" showAll="0"/>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CA598E-3085-4F48-ACB5-5F45E73E3E29}" name="PivotTable5" cacheId="1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4"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Sum of Sum of Quantity" fld="0" baseField="0" baseItem="0"/>
    <dataField name="Sum of Sum of Amount" fld="1" baseField="0" baseItem="0"/>
  </dataFields>
  <pivotHierarchies count="9">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ivot table!$A$11:$E$1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F9F2B0-C99A-4D45-AE50-CAE4AE160977}" name="PivotTable rating"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173:J179" firstHeaderRow="1" firstDataRow="2" firstDataCol="1"/>
  <pivotFields count="18">
    <pivotField dataField="1" showAll="0"/>
    <pivotField showAll="0"/>
    <pivotField showAll="0">
      <items count="50">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 t="default"/>
      </items>
    </pivotField>
    <pivotField showAll="0"/>
    <pivotField showAll="0"/>
    <pivotField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pivotField showAll="0">
      <items count="7">
        <item x="0"/>
        <item x="3"/>
        <item x="4"/>
        <item x="2"/>
        <item x="1"/>
        <item x="5"/>
        <item t="default"/>
      </items>
    </pivotField>
    <pivotField axis="axisCol" showAll="0">
      <items count="7">
        <item x="3"/>
        <item x="4"/>
        <item x="1"/>
        <item x="0"/>
        <item x="2"/>
        <item x="5"/>
        <item t="default"/>
      </items>
    </pivotField>
    <pivotField showAll="0"/>
    <pivotField showAll="0"/>
    <pivotField showAll="0"/>
    <pivotField showAll="0"/>
    <pivotField showAll="0">
      <items count="6">
        <item x="2"/>
        <item x="1"/>
        <item x="3"/>
        <item x="0"/>
        <item x="4"/>
        <item t="default"/>
      </items>
    </pivotField>
    <pivotField showAll="0" defaultSubtotal="0">
      <items count="7">
        <item x="0"/>
        <item x="1"/>
        <item x="2"/>
        <item x="3"/>
        <item x="4"/>
        <item x="5"/>
        <item x="6"/>
      </items>
    </pivotField>
    <pivotField showAll="0" defaultSubtotal="0"/>
    <pivotField axis="axisRow" showAll="0" defaultSubtotal="0">
      <items count="14">
        <item x="0"/>
        <item x="1"/>
        <item x="2"/>
        <item x="3"/>
        <item x="4"/>
        <item x="5"/>
        <item x="6"/>
        <item x="7"/>
        <item x="8"/>
        <item x="9"/>
        <item x="10"/>
        <item x="11"/>
        <item x="12"/>
        <item x="13"/>
      </items>
    </pivotField>
  </pivotFields>
  <rowFields count="1">
    <field x="17"/>
  </rowFields>
  <rowItems count="5">
    <i>
      <x/>
    </i>
    <i>
      <x v="1"/>
    </i>
    <i>
      <x v="2"/>
    </i>
    <i>
      <x v="3"/>
    </i>
    <i t="grand">
      <x/>
    </i>
  </rowItems>
  <colFields count="1">
    <field x="9"/>
  </colFields>
  <colItems count="7">
    <i>
      <x/>
    </i>
    <i>
      <x v="1"/>
    </i>
    <i>
      <x v="2"/>
    </i>
    <i>
      <x v="3"/>
    </i>
    <i>
      <x v="4"/>
    </i>
    <i>
      <x v="5"/>
    </i>
    <i t="grand">
      <x/>
    </i>
  </colItems>
  <dataFields count="1">
    <dataField name="Count of TX ID" fld="0" subtotal="count" baseField="0" baseItem="0"/>
  </dataFields>
  <chartFormats count="12">
    <chartFormat chart="4" format="6" series="1">
      <pivotArea type="data" outline="0" fieldPosition="0">
        <references count="2">
          <reference field="4294967294" count="1" selected="0">
            <x v="0"/>
          </reference>
          <reference field="9" count="1" selected="0">
            <x v="0"/>
          </reference>
        </references>
      </pivotArea>
    </chartFormat>
    <chartFormat chart="4" format="7" series="1">
      <pivotArea type="data" outline="0" fieldPosition="0">
        <references count="2">
          <reference field="4294967294" count="1" selected="0">
            <x v="0"/>
          </reference>
          <reference field="9" count="1" selected="0">
            <x v="1"/>
          </reference>
        </references>
      </pivotArea>
    </chartFormat>
    <chartFormat chart="4" format="8" series="1">
      <pivotArea type="data" outline="0" fieldPosition="0">
        <references count="2">
          <reference field="4294967294" count="1" selected="0">
            <x v="0"/>
          </reference>
          <reference field="9" count="1" selected="0">
            <x v="2"/>
          </reference>
        </references>
      </pivotArea>
    </chartFormat>
    <chartFormat chart="4" format="9" series="1">
      <pivotArea type="data" outline="0" fieldPosition="0">
        <references count="2">
          <reference field="4294967294" count="1" selected="0">
            <x v="0"/>
          </reference>
          <reference field="9" count="1" selected="0">
            <x v="3"/>
          </reference>
        </references>
      </pivotArea>
    </chartFormat>
    <chartFormat chart="4" format="10" series="1">
      <pivotArea type="data" outline="0" fieldPosition="0">
        <references count="2">
          <reference field="4294967294" count="1" selected="0">
            <x v="0"/>
          </reference>
          <reference field="9" count="1" selected="0">
            <x v="4"/>
          </reference>
        </references>
      </pivotArea>
    </chartFormat>
    <chartFormat chart="4" format="11" series="1">
      <pivotArea type="data" outline="0" fieldPosition="0">
        <references count="2">
          <reference field="4294967294" count="1" selected="0">
            <x v="0"/>
          </reference>
          <reference field="9" count="1" selected="0">
            <x v="5"/>
          </reference>
        </references>
      </pivotArea>
    </chartFormat>
    <chartFormat chart="5" format="12" series="1">
      <pivotArea type="data" outline="0" fieldPosition="0">
        <references count="2">
          <reference field="4294967294" count="1" selected="0">
            <x v="0"/>
          </reference>
          <reference field="9" count="1" selected="0">
            <x v="0"/>
          </reference>
        </references>
      </pivotArea>
    </chartFormat>
    <chartFormat chart="5" format="13" series="1">
      <pivotArea type="data" outline="0" fieldPosition="0">
        <references count="2">
          <reference field="4294967294" count="1" selected="0">
            <x v="0"/>
          </reference>
          <reference field="9" count="1" selected="0">
            <x v="1"/>
          </reference>
        </references>
      </pivotArea>
    </chartFormat>
    <chartFormat chart="5" format="14" series="1">
      <pivotArea type="data" outline="0" fieldPosition="0">
        <references count="2">
          <reference field="4294967294" count="1" selected="0">
            <x v="0"/>
          </reference>
          <reference field="9" count="1" selected="0">
            <x v="2"/>
          </reference>
        </references>
      </pivotArea>
    </chartFormat>
    <chartFormat chart="5" format="15" series="1">
      <pivotArea type="data" outline="0" fieldPosition="0">
        <references count="2">
          <reference field="4294967294" count="1" selected="0">
            <x v="0"/>
          </reference>
          <reference field="9" count="1" selected="0">
            <x v="3"/>
          </reference>
        </references>
      </pivotArea>
    </chartFormat>
    <chartFormat chart="5" format="16" series="1">
      <pivotArea type="data" outline="0" fieldPosition="0">
        <references count="2">
          <reference field="4294967294" count="1" selected="0">
            <x v="0"/>
          </reference>
          <reference field="9" count="1" selected="0">
            <x v="4"/>
          </reference>
        </references>
      </pivotArea>
    </chartFormat>
    <chartFormat chart="5" format="17" series="1">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E70BFA-C2E3-4FA2-A7A2-7BC74BE4124C}" name="pivot table duration"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6:B133" firstHeaderRow="1" firstDataRow="1" firstDataCol="1"/>
  <pivotFields count="18">
    <pivotField dataField="1" showAll="0"/>
    <pivotField showAll="0"/>
    <pivotField showAll="0">
      <items count="50">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 t="default"/>
      </items>
    </pivotField>
    <pivotField showAll="0"/>
    <pivotField showAll="0"/>
    <pivotField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pivotField showAll="0">
      <items count="7">
        <item x="0"/>
        <item x="3"/>
        <item x="4"/>
        <item x="2"/>
        <item x="1"/>
        <item x="5"/>
        <item t="default"/>
      </items>
    </pivotField>
    <pivotField showAll="0"/>
    <pivotField showAll="0"/>
    <pivotField showAll="0"/>
    <pivotField axis="axisRow" showAll="0">
      <items count="17">
        <item x="7"/>
        <item x="3"/>
        <item x="1"/>
        <item x="2"/>
        <item x="5"/>
        <item x="0"/>
        <item x="4"/>
        <item x="6"/>
        <item x="9"/>
        <item x="8"/>
        <item x="14"/>
        <item x="11"/>
        <item x="13"/>
        <item x="10"/>
        <item x="12"/>
        <item x="15"/>
        <item t="default"/>
      </items>
    </pivotField>
    <pivotField showAll="0"/>
    <pivotField showAll="0">
      <items count="6">
        <item x="2"/>
        <item x="1"/>
        <item x="3"/>
        <item x="0"/>
        <item x="4"/>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7">
    <i>
      <x/>
    </i>
    <i>
      <x v="1"/>
    </i>
    <i>
      <x v="2"/>
    </i>
    <i>
      <x v="3"/>
    </i>
    <i>
      <x v="4"/>
    </i>
    <i>
      <x v="5"/>
    </i>
    <i>
      <x v="6"/>
    </i>
    <i>
      <x v="7"/>
    </i>
    <i>
      <x v="8"/>
    </i>
    <i>
      <x v="9"/>
    </i>
    <i>
      <x v="10"/>
    </i>
    <i>
      <x v="11"/>
    </i>
    <i>
      <x v="12"/>
    </i>
    <i>
      <x v="13"/>
    </i>
    <i>
      <x v="14"/>
    </i>
    <i>
      <x v="15"/>
    </i>
    <i t="grand">
      <x/>
    </i>
  </rowItems>
  <colItems count="1">
    <i/>
  </colItems>
  <dataFields count="1">
    <dataField name="Count of TX 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3556AC-C3E3-4000-9536-CC7663F5FA0C}" name="PivotTablemap" cacheId="4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B53:E111"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x="0"/>
        <item x="3"/>
        <item x="4"/>
        <item x="2"/>
        <item x="1"/>
        <item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h="1" x="1"/>
      </items>
      <extLst>
        <ext xmlns:x14="http://schemas.microsoft.com/office/spreadsheetml/2009/9/main" uri="{2946ED86-A175-432a-8AC1-64E0C546D7DE}">
          <x14:pivotField fillDownLabels="1"/>
        </ext>
      </extLst>
    </pivotField>
    <pivotField axis="axisRow" compact="0" outline="0" showAll="0" defaultSubtota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h="1" x="5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2"/>
        <item x="1"/>
        <item x="3"/>
        <item x="0"/>
        <item x="4"/>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1"/>
    <field x="10"/>
  </rowFields>
  <rowItems count="58">
    <i>
      <x/>
      <x/>
    </i>
    <i>
      <x v="1"/>
      <x/>
    </i>
    <i>
      <x v="2"/>
      <x/>
    </i>
    <i>
      <x v="3"/>
      <x/>
    </i>
    <i>
      <x v="4"/>
      <x/>
    </i>
    <i>
      <x v="5"/>
      <x/>
    </i>
    <i>
      <x v="6"/>
      <x/>
    </i>
    <i>
      <x v="7"/>
      <x/>
    </i>
    <i>
      <x v="8"/>
      <x/>
    </i>
    <i>
      <x v="9"/>
      <x/>
    </i>
    <i>
      <x v="10"/>
      <x/>
    </i>
    <i>
      <x v="11"/>
      <x/>
    </i>
    <i>
      <x v="12"/>
      <x/>
    </i>
    <i>
      <x v="13"/>
      <x/>
    </i>
    <i>
      <x v="14"/>
      <x/>
    </i>
    <i>
      <x v="15"/>
      <x/>
    </i>
    <i>
      <x v="16"/>
      <x/>
    </i>
    <i>
      <x v="17"/>
      <x/>
    </i>
    <i>
      <x v="18"/>
      <x/>
    </i>
    <i>
      <x v="19"/>
      <x/>
    </i>
    <i>
      <x v="20"/>
      <x/>
    </i>
    <i>
      <x v="21"/>
      <x/>
    </i>
    <i>
      <x v="22"/>
      <x/>
    </i>
    <i>
      <x v="23"/>
      <x/>
    </i>
    <i>
      <x v="24"/>
      <x/>
    </i>
    <i>
      <x v="25"/>
      <x/>
    </i>
    <i>
      <x v="26"/>
      <x/>
    </i>
    <i>
      <x v="27"/>
      <x/>
    </i>
    <i>
      <x v="28"/>
      <x/>
    </i>
    <i>
      <x v="29"/>
      <x/>
    </i>
    <i>
      <x v="30"/>
      <x/>
    </i>
    <i>
      <x v="31"/>
      <x/>
    </i>
    <i>
      <x v="32"/>
      <x/>
    </i>
    <i>
      <x v="33"/>
      <x/>
    </i>
    <i>
      <x v="34"/>
      <x/>
    </i>
    <i>
      <x v="35"/>
      <x/>
    </i>
    <i>
      <x v="36"/>
      <x/>
    </i>
    <i>
      <x v="37"/>
      <x/>
    </i>
    <i>
      <x v="38"/>
      <x/>
    </i>
    <i>
      <x v="39"/>
      <x/>
    </i>
    <i>
      <x v="40"/>
      <x/>
    </i>
    <i>
      <x v="41"/>
      <x/>
    </i>
    <i>
      <x v="42"/>
      <x/>
    </i>
    <i>
      <x v="43"/>
      <x/>
    </i>
    <i>
      <x v="44"/>
      <x/>
    </i>
    <i>
      <x v="45"/>
      <x/>
    </i>
    <i>
      <x v="46"/>
      <x/>
    </i>
    <i>
      <x v="47"/>
      <x/>
    </i>
    <i>
      <x v="48"/>
      <x/>
    </i>
    <i>
      <x v="49"/>
      <x/>
    </i>
    <i>
      <x v="50"/>
      <x/>
    </i>
    <i>
      <x v="51"/>
      <x/>
    </i>
    <i>
      <x v="52"/>
      <x/>
    </i>
    <i>
      <x v="53"/>
      <x/>
    </i>
    <i>
      <x v="54"/>
      <x/>
    </i>
    <i>
      <x v="55"/>
      <x/>
    </i>
    <i>
      <x v="56"/>
      <x/>
    </i>
    <i>
      <x v="57"/>
      <x/>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D33925-61DC-459E-8ED6-769C701C7D2B}" name="PivotTable11" cacheId="4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G28:H34" firstHeaderRow="1" firstDataRow="1" firstDataCol="1"/>
  <pivotFields count="18">
    <pivotField showAll="0"/>
    <pivotField showAll="0" sortType="descending">
      <items count="22">
        <item x="14"/>
        <item x="10"/>
        <item x="12"/>
        <item x="15"/>
        <item x="4"/>
        <item x="7"/>
        <item x="6"/>
        <item x="19"/>
        <item x="18"/>
        <item x="11"/>
        <item x="17"/>
        <item x="5"/>
        <item x="0"/>
        <item x="2"/>
        <item x="9"/>
        <item x="16"/>
        <item x="1"/>
        <item x="13"/>
        <item x="8"/>
        <item x="3"/>
        <item h="1" x="20"/>
        <item t="default"/>
      </items>
      <autoSortScope>
        <pivotArea dataOnly="0" outline="0" fieldPosition="0">
          <references count="1">
            <reference field="4294967294" count="1" selected="0">
              <x v="0"/>
            </reference>
          </references>
        </pivotArea>
      </autoSortScope>
    </pivotField>
    <pivotField dataField="1" showAll="0">
      <items count="50">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 t="default"/>
      </items>
    </pivotField>
    <pivotField showAll="0"/>
    <pivotField showAll="0"/>
    <pivotField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items count="6">
        <item x="0"/>
        <item x="2"/>
        <item x="1"/>
        <item x="3"/>
        <item x="4"/>
        <item t="default"/>
      </items>
    </pivotField>
    <pivotField showAll="0">
      <items count="7">
        <item x="0"/>
        <item x="3"/>
        <item x="4"/>
        <item x="2"/>
        <item x="1"/>
        <item x="5"/>
        <item t="default"/>
      </items>
    </pivotField>
    <pivotField showAll="0"/>
    <pivotField showAll="0"/>
    <pivotField showAll="0"/>
    <pivotField showAll="0"/>
    <pivotField showAll="0"/>
    <pivotField axis="axisRow" showAll="0">
      <items count="6">
        <item x="2"/>
        <item x="1"/>
        <item x="3"/>
        <item x="0"/>
        <item x="4"/>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6">
    <i>
      <x/>
    </i>
    <i>
      <x v="1"/>
    </i>
    <i>
      <x v="2"/>
    </i>
    <i>
      <x v="3"/>
    </i>
    <i>
      <x v="4"/>
    </i>
    <i t="grand">
      <x/>
    </i>
  </rowItems>
  <colItems count="1">
    <i/>
  </colItems>
  <dataFields count="1">
    <dataField name="Sum of Quantity" fld="2" baseField="0" baseItem="0"/>
  </dataFields>
  <chartFormats count="14">
    <chartFormat chart="4" format="0" series="1">
      <pivotArea type="data" outline="0" fieldPosition="0">
        <references count="2">
          <reference field="4294967294" count="1" selected="0">
            <x v="0"/>
          </reference>
          <reference field="14" count="1" selected="0">
            <x v="0"/>
          </reference>
        </references>
      </pivotArea>
    </chartFormat>
    <chartFormat chart="4" format="1" series="1">
      <pivotArea type="data" outline="0" fieldPosition="0">
        <references count="2">
          <reference field="4294967294" count="1" selected="0">
            <x v="0"/>
          </reference>
          <reference field="14" count="1" selected="0">
            <x v="1"/>
          </reference>
        </references>
      </pivotArea>
    </chartFormat>
    <chartFormat chart="4" format="2" series="1">
      <pivotArea type="data" outline="0" fieldPosition="0">
        <references count="2">
          <reference field="4294967294" count="1" selected="0">
            <x v="0"/>
          </reference>
          <reference field="14" count="1" selected="0">
            <x v="2"/>
          </reference>
        </references>
      </pivotArea>
    </chartFormat>
    <chartFormat chart="4" format="3" series="1">
      <pivotArea type="data" outline="0" fieldPosition="0">
        <references count="2">
          <reference field="4294967294" count="1" selected="0">
            <x v="0"/>
          </reference>
          <reference field="14" count="1" selected="0">
            <x v="3"/>
          </reference>
        </references>
      </pivotArea>
    </chartFormat>
    <chartFormat chart="6" format="8" series="1">
      <pivotArea type="data" outline="0" fieldPosition="0">
        <references count="2">
          <reference field="4294967294" count="1" selected="0">
            <x v="0"/>
          </reference>
          <reference field="14" count="1" selected="0">
            <x v="0"/>
          </reference>
        </references>
      </pivotArea>
    </chartFormat>
    <chartFormat chart="6" format="9" series="1">
      <pivotArea type="data" outline="0" fieldPosition="0">
        <references count="2">
          <reference field="4294967294" count="1" selected="0">
            <x v="0"/>
          </reference>
          <reference field="14" count="1" selected="0">
            <x v="1"/>
          </reference>
        </references>
      </pivotArea>
    </chartFormat>
    <chartFormat chart="6" format="10" series="1">
      <pivotArea type="data" outline="0" fieldPosition="0">
        <references count="2">
          <reference field="4294967294" count="1" selected="0">
            <x v="0"/>
          </reference>
          <reference field="14" count="1" selected="0">
            <x v="2"/>
          </reference>
        </references>
      </pivotArea>
    </chartFormat>
    <chartFormat chart="6" format="11" series="1">
      <pivotArea type="data" outline="0" fieldPosition="0">
        <references count="2">
          <reference field="4294967294" count="1" selected="0">
            <x v="0"/>
          </reference>
          <reference field="14" count="1" selected="0">
            <x v="3"/>
          </reference>
        </references>
      </pivotArea>
    </chartFormat>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14" count="1" selected="0">
            <x v="0"/>
          </reference>
        </references>
      </pivotArea>
    </chartFormat>
    <chartFormat chart="12" format="9">
      <pivotArea type="data" outline="0" fieldPosition="0">
        <references count="2">
          <reference field="4294967294" count="1" selected="0">
            <x v="0"/>
          </reference>
          <reference field="14" count="1" selected="0">
            <x v="1"/>
          </reference>
        </references>
      </pivotArea>
    </chartFormat>
    <chartFormat chart="12" format="10">
      <pivotArea type="data" outline="0" fieldPosition="0">
        <references count="2">
          <reference field="4294967294" count="1" selected="0">
            <x v="0"/>
          </reference>
          <reference field="14" count="1" selected="0">
            <x v="2"/>
          </reference>
        </references>
      </pivotArea>
    </chartFormat>
    <chartFormat chart="12" format="11">
      <pivotArea type="data" outline="0" fieldPosition="0">
        <references count="2">
          <reference field="4294967294" count="1" selected="0">
            <x v="0"/>
          </reference>
          <reference field="14" count="1" selected="0">
            <x v="3"/>
          </reference>
        </references>
      </pivotArea>
    </chartFormat>
    <chartFormat chart="12" format="12">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FC0A2B-2434-4AA5-B764-B38310DFC356}" name="pivottable gender" cacheId="4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A26:F48" firstHeaderRow="1" firstDataRow="2" firstDataCol="1"/>
  <pivotFields count="18">
    <pivotField showAll="0"/>
    <pivotField axis="axisRow" showAll="0" sortType="descending">
      <items count="22">
        <item x="14"/>
        <item x="10"/>
        <item x="12"/>
        <item x="15"/>
        <item x="4"/>
        <item x="7"/>
        <item x="6"/>
        <item x="19"/>
        <item x="18"/>
        <item x="11"/>
        <item x="17"/>
        <item x="5"/>
        <item x="0"/>
        <item x="2"/>
        <item x="9"/>
        <item x="16"/>
        <item x="1"/>
        <item x="13"/>
        <item x="8"/>
        <item x="3"/>
        <item h="1" x="20"/>
        <item t="default"/>
      </items>
      <autoSortScope>
        <pivotArea dataOnly="0" outline="0" fieldPosition="0">
          <references count="1">
            <reference field="4294967294" count="1" selected="0">
              <x v="0"/>
            </reference>
          </references>
        </pivotArea>
      </autoSortScope>
    </pivotField>
    <pivotField dataField="1" showAll="0">
      <items count="50">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 t="default"/>
      </items>
    </pivotField>
    <pivotField showAll="0"/>
    <pivotField showAll="0"/>
    <pivotField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items count="6">
        <item x="0"/>
        <item x="2"/>
        <item x="1"/>
        <item x="3"/>
        <item x="4"/>
        <item t="default"/>
      </items>
    </pivotField>
    <pivotField showAll="0">
      <items count="7">
        <item x="0"/>
        <item x="3"/>
        <item x="4"/>
        <item x="2"/>
        <item x="1"/>
        <item x="5"/>
        <item t="default"/>
      </items>
    </pivotField>
    <pivotField showAll="0"/>
    <pivotField showAll="0"/>
    <pivotField showAll="0"/>
    <pivotField showAll="0"/>
    <pivotField showAll="0"/>
    <pivotField axis="axisCol" showAll="0">
      <items count="6">
        <item x="2"/>
        <item x="1"/>
        <item x="3"/>
        <item x="0"/>
        <item x="4"/>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6" format="8" series="1">
      <pivotArea type="data" outline="0" fieldPosition="0">
        <references count="2">
          <reference field="4294967294" count="1" selected="0">
            <x v="0"/>
          </reference>
          <reference field="14" count="1" selected="0">
            <x v="0"/>
          </reference>
        </references>
      </pivotArea>
    </chartFormat>
    <chartFormat chart="6" format="9" series="1">
      <pivotArea type="data" outline="0" fieldPosition="0">
        <references count="2">
          <reference field="4294967294" count="1" selected="0">
            <x v="0"/>
          </reference>
          <reference field="14" count="1" selected="0">
            <x v="1"/>
          </reference>
        </references>
      </pivotArea>
    </chartFormat>
    <chartFormat chart="6" format="10" series="1">
      <pivotArea type="data" outline="0" fieldPosition="0">
        <references count="2">
          <reference field="4294967294" count="1" selected="0">
            <x v="0"/>
          </reference>
          <reference field="14" count="1" selected="0">
            <x v="2"/>
          </reference>
        </references>
      </pivotArea>
    </chartFormat>
    <chartFormat chart="6"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E78163-CC56-4BDD-BF9F-7F91E078B72A}" name="pvt product"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5:B23" firstHeaderRow="1" firstDataRow="1" firstDataCol="1"/>
  <pivotFields count="18">
    <pivotField dataField="1" showAll="0"/>
    <pivotField showAll="0"/>
    <pivotField showAll="0">
      <items count="50">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 t="default"/>
      </items>
    </pivotField>
    <pivotField showAll="0"/>
    <pivotField showAll="0"/>
    <pivotField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pivotField showAll="0">
      <items count="7">
        <item x="0"/>
        <item x="3"/>
        <item x="4"/>
        <item x="2"/>
        <item x="1"/>
        <item x="5"/>
        <item t="default"/>
      </items>
    </pivotField>
    <pivotField showAll="0"/>
    <pivotField showAll="0"/>
    <pivotField showAll="0"/>
    <pivotField showAll="0"/>
    <pivotField showAll="0"/>
    <pivotField showAll="0">
      <items count="6">
        <item x="2"/>
        <item x="1"/>
        <item x="3"/>
        <item x="0"/>
        <item x="4"/>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598D11A-CA3C-4151-9A6A-3BB98973AB2D}" name="pivot table trend"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11:I26" firstHeaderRow="0" firstDataRow="1" firstDataCol="1"/>
  <pivotFields count="18">
    <pivotField showAll="0"/>
    <pivotField showAll="0"/>
    <pivotField dataField="1" showAll="0">
      <items count="50">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 t="default"/>
      </items>
    </pivotField>
    <pivotField showAll="0"/>
    <pivotField dataField="1" showAll="0"/>
    <pivotField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pivotField showAll="0">
      <items count="7">
        <item x="0"/>
        <item x="3"/>
        <item x="4"/>
        <item x="2"/>
        <item x="1"/>
        <item x="5"/>
        <item t="default"/>
      </items>
    </pivotField>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items count="6">
        <item x="2"/>
        <item x="1"/>
        <item x="3"/>
        <item x="0"/>
        <item x="4"/>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Sum of Quantity" fld="2" baseField="0" baseItem="0"/>
    <dataField name="Sum of Amount" fld="4" baseField="0" baseItem="0" numFmtId="165"/>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53F706-5B6C-497D-AD94-834617F43B9A}" name="PivotTable4" cacheId="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7:D8" firstHeaderRow="0" firstDataRow="1" firstDataCol="0"/>
  <pivotFields count="5">
    <pivotField showAll="0"/>
    <pivotField dataField="1" showAll="0"/>
    <pivotField dataField="1" showAll="0"/>
    <pivotField showAll="0"/>
    <pivotField showAll="0"/>
  </pivotFields>
  <rowItems count="1">
    <i/>
  </rowItems>
  <colFields count="1">
    <field x="-2"/>
  </colFields>
  <colItems count="2">
    <i>
      <x/>
    </i>
    <i i="1">
      <x v="1"/>
    </i>
  </colItems>
  <dataFields count="2">
    <dataField name="Sum of Sum of Quantity" fld="1" baseField="0" baseItem="0"/>
    <dataField name="Sum of Sum of Am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4D25DD0-02C1-4E26-A518-E6DAF16821EE}"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E12" firstHeaderRow="0" firstDataRow="1" firstDataCol="0"/>
  <pivotFields count="15">
    <pivotField dataField="1" showAll="0"/>
    <pivotField showAll="0"/>
    <pivotField dataField="1" showAll="0"/>
    <pivotField showAll="0"/>
    <pivotField dataField="1" showAll="0"/>
    <pivotField numFmtId="15" showAll="0"/>
    <pivotField numFmtId="15" showAll="0"/>
    <pivotField showAll="0"/>
    <pivotField showAll="0"/>
    <pivotField dataField="1" showAll="0"/>
    <pivotField showAll="0"/>
    <pivotField showAll="0"/>
    <pivotField dataField="1" showAll="0"/>
    <pivotField showAll="0"/>
    <pivotField showAll="0"/>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A9AAD24-8D55-4E6D-9588-FCC2A7C12DC1}" name="pivot table summary"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5">
    <pivotField dataField="1" showAll="0"/>
    <pivotField showAll="0"/>
    <pivotField dataField="1" showAll="0"/>
    <pivotField showAll="0"/>
    <pivotField dataField="1" showAll="0"/>
    <pivotField numFmtId="15" showAll="0"/>
    <pivotField numFmtId="15" showAll="0"/>
    <pivotField showAll="0"/>
    <pivotField showAll="0"/>
    <pivotField dataField="1" showAll="0"/>
    <pivotField showAll="0"/>
    <pivotField showAll="0"/>
    <pivotField dataField="1" showAll="0"/>
    <pivotField showAll="0"/>
    <pivotField showAll="0"/>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0E88CDB2-E4CA-4E0F-8780-EF1AE0166A30}" sourceName="Order Mode">
  <pivotTables>
    <pivotTable tabId="2" name="PivotTable rating"/>
    <pivotTable tabId="2" name="pivot table duration"/>
    <pivotTable tabId="2" name="pivot table trend"/>
    <pivotTable tabId="2" name="pivottable gender"/>
    <pivotTable tabId="2" name="PivotTable11"/>
    <pivotTable tabId="2" name="PivotTablemap"/>
    <pivotTable tabId="2" name="pvt product"/>
  </pivotTables>
  <data>
    <tabular pivotCacheId="566884598">
      <items count="6">
        <i x="0" s="1"/>
        <i x="3" s="1"/>
        <i x="4" s="1"/>
        <i x="2" s="1"/>
        <i x="1"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1DA6A523-0696-4B69-9032-EA33A2E7039D}" sourceName="Gender Value">
  <pivotTables>
    <pivotTable tabId="2" name="PivotTable rating"/>
    <pivotTable tabId="2" name="pivot table duration"/>
    <pivotTable tabId="2" name="pivot table trend"/>
    <pivotTable tabId="2" name="PivotTablemap"/>
    <pivotTable tabId="2" name="pvt product"/>
  </pivotTables>
  <data>
    <tabular pivotCacheId="566884598">
      <items count="5">
        <i x="2" s="1"/>
        <i x="1" s="1"/>
        <i x="3" s="1"/>
        <i x="0"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86B2DBAA-665F-44C0-821B-9F61477330E8}" cache="Slicer_Order_Mode" caption="Order Mode" rowHeight="234950"/>
  <slicer name="Gender Value" xr10:uid="{E868EF2E-D566-47BC-A8D7-9D2CD09C22DD}" cache="Slicer_Gender_Value" caption="Gender Valu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64EE14-A976-42A9-AD0C-719C5B396417}" name="orders" displayName="orders" ref="A1:O2401" totalsRowShown="0">
  <tableColumns count="15">
    <tableColumn id="1" xr3:uid="{704D6A19-3348-4D0B-8E01-7D1E97D06533}" name="TX ID"/>
    <tableColumn id="2" xr3:uid="{35E9A283-4974-4434-AE83-D59385186A20}" name="Product"/>
    <tableColumn id="3" xr3:uid="{0E31A4C7-0EB6-473F-A08A-03056529BA66}" name="Quantity"/>
    <tableColumn id="4" xr3:uid="{BDB72418-269A-49FA-8F4A-09E333B6F587}" name="Unit Price"/>
    <tableColumn id="5" xr3:uid="{CDA95676-0B5B-41E3-8B9F-FA8B99A74A52}" name="Amount"/>
    <tableColumn id="6" xr3:uid="{9C19DD2F-274A-44DC-9B98-90E7DE3C02A5}" name="Order Date" dataDxfId="4"/>
    <tableColumn id="7" xr3:uid="{6264883B-F874-4D9D-A55A-8825BEFEFAB1}" name="Ship Date" dataDxfId="3"/>
    <tableColumn id="8" xr3:uid="{1CF58FCB-83B7-4EBE-8B18-47B4638D9261}" name="Customer Gender"/>
    <tableColumn id="9" xr3:uid="{A989E54B-A0C9-44E5-AE3D-698679F4B840}" name="Order Mode"/>
    <tableColumn id="10" xr3:uid="{0ABF009A-0AE9-4F66-B513-C5B029C9E450}" name="Rating C"/>
    <tableColumn id="15" xr3:uid="{76DF8A2F-9A88-4346-A991-B559A8C3EDE1}" name="State"/>
    <tableColumn id="14" xr3:uid="{846DAB71-7AE0-4A89-A410-36654E8EB953}" name="County"/>
    <tableColumn id="11" xr3:uid="{7222E523-3F1F-4766-A0AA-371690C79ECC}" name="Days to Deliver" dataDxfId="2">
      <calculatedColumnFormula>orders[[#This Row],[Ship Date]]-orders[[#This Row],[Order Date]]</calculatedColumnFormula>
    </tableColumn>
    <tableColumn id="12" xr3:uid="{0B949D48-4905-43D3-A677-E8BDDB844B02}" name="Weeknum" dataDxfId="1">
      <calculatedColumnFormula>WEEKNUM(orders[[#This Row],[Order Date]])</calculatedColumnFormula>
    </tableColumn>
    <tableColumn id="13" xr3:uid="{892C18A8-C56C-4C3B-8EF7-DCCABBA80E5C}"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drawing" Target="../drawings/drawing1.xml"/><Relationship Id="rId5" Type="http://schemas.openxmlformats.org/officeDocument/2006/relationships/pivotTable" Target="../pivotTables/pivotTable7.xml"/><Relationship Id="rId10" Type="http://schemas.openxmlformats.org/officeDocument/2006/relationships/pivotTable" Target="../pivotTables/pivotTable12.xml"/><Relationship Id="rId4" Type="http://schemas.openxmlformats.org/officeDocument/2006/relationships/pivotTable" Target="../pivotTables/pivotTable6.xml"/><Relationship Id="rId9" Type="http://schemas.openxmlformats.org/officeDocument/2006/relationships/pivotTable" Target="../pivotTables/pivotTable1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0F02E-5BE0-43E2-8EF2-AA6244B121BF}">
  <dimension ref="A3:O25"/>
  <sheetViews>
    <sheetView showGridLines="0" workbookViewId="0">
      <pane ySplit="1" topLeftCell="A2" activePane="bottomLeft" state="frozen"/>
      <selection pane="bottomLeft" activeCell="I19" sqref="I19:M24"/>
    </sheetView>
  </sheetViews>
  <sheetFormatPr defaultRowHeight="14.4" x14ac:dyDescent="0.3"/>
  <cols>
    <col min="2" max="2" width="14.44140625" bestFit="1" customWidth="1"/>
    <col min="3" max="3" width="15.5546875" bestFit="1" customWidth="1"/>
    <col min="4" max="4" width="7" bestFit="1" customWidth="1"/>
    <col min="5" max="5" width="6" bestFit="1" customWidth="1"/>
    <col min="6" max="6" width="9.21875" bestFit="1" customWidth="1"/>
    <col min="7" max="7" width="10.77734375" bestFit="1" customWidth="1"/>
  </cols>
  <sheetData>
    <row r="3" spans="1:9" x14ac:dyDescent="0.3">
      <c r="A3" t="s">
        <v>2513</v>
      </c>
      <c r="B3" t="s">
        <v>2514</v>
      </c>
    </row>
    <row r="4" spans="1:9" x14ac:dyDescent="0.3">
      <c r="A4" s="3">
        <v>11997</v>
      </c>
      <c r="B4" s="3">
        <v>649019.80000000144</v>
      </c>
    </row>
    <row r="5" spans="1:9" x14ac:dyDescent="0.3">
      <c r="G5" t="s">
        <v>2524</v>
      </c>
    </row>
    <row r="9" spans="1:9" x14ac:dyDescent="0.3">
      <c r="I9" s="9"/>
    </row>
    <row r="16" spans="1:9" x14ac:dyDescent="0.3">
      <c r="I16" t="s">
        <v>2523</v>
      </c>
    </row>
    <row r="18" spans="2:15" ht="15" thickBot="1" x14ac:dyDescent="0.35">
      <c r="B18" s="5" t="s">
        <v>2505</v>
      </c>
      <c r="C18" s="5" t="s">
        <v>2518</v>
      </c>
    </row>
    <row r="19" spans="2:15" ht="15.6" thickTop="1" thickBot="1" x14ac:dyDescent="0.35">
      <c r="B19" s="5" t="s">
        <v>2515</v>
      </c>
      <c r="C19" t="s">
        <v>2519</v>
      </c>
      <c r="D19" t="s">
        <v>2520</v>
      </c>
      <c r="E19" t="s">
        <v>2521</v>
      </c>
      <c r="F19" t="s">
        <v>2522</v>
      </c>
      <c r="G19" t="s">
        <v>2517</v>
      </c>
      <c r="I19" s="10"/>
      <c r="J19" s="10" t="str">
        <f>C19</f>
        <v>Female</v>
      </c>
      <c r="K19" s="10" t="str">
        <f t="shared" ref="K19:N19" si="0">D19</f>
        <v>Male</v>
      </c>
      <c r="L19" s="10" t="str">
        <f t="shared" si="0"/>
        <v>Other</v>
      </c>
      <c r="M19" s="10" t="str">
        <f t="shared" si="0"/>
        <v>Unknown</v>
      </c>
      <c r="N19" s="10"/>
      <c r="O19" s="10"/>
    </row>
    <row r="20" spans="2:15" ht="15.6" thickTop="1" thickBot="1" x14ac:dyDescent="0.35">
      <c r="B20" s="6" t="s">
        <v>18</v>
      </c>
      <c r="C20" s="8">
        <v>0.18961825201634841</v>
      </c>
      <c r="D20" s="8">
        <v>0.12262322351336576</v>
      </c>
      <c r="E20" s="8">
        <v>1.060537752469185E-2</v>
      </c>
      <c r="F20" s="8">
        <v>3.0599220547662797E-2</v>
      </c>
      <c r="G20" s="8">
        <v>0.35344607360206881</v>
      </c>
      <c r="I20" s="10" t="str">
        <f>B20</f>
        <v>App</v>
      </c>
      <c r="J20" s="11">
        <f t="shared" ref="J20:N24" si="1">C20</f>
        <v>0.18961825201634841</v>
      </c>
      <c r="K20" s="11">
        <f t="shared" si="1"/>
        <v>0.12262322351336576</v>
      </c>
      <c r="L20" s="11">
        <f t="shared" si="1"/>
        <v>1.060537752469185E-2</v>
      </c>
      <c r="M20" s="11">
        <f t="shared" si="1"/>
        <v>3.0599220547662797E-2</v>
      </c>
      <c r="N20" s="11"/>
      <c r="O20" s="10"/>
    </row>
    <row r="21" spans="2:15" ht="15.6" thickTop="1" thickBot="1" x14ac:dyDescent="0.35">
      <c r="B21" s="6" t="s">
        <v>51</v>
      </c>
      <c r="C21" s="8">
        <v>5.0283982091147303E-2</v>
      </c>
      <c r="D21" s="8">
        <v>4.3060781812819873E-2</v>
      </c>
      <c r="E21" s="8">
        <v>1.5320025675641944E-3</v>
      </c>
      <c r="F21" s="8">
        <v>1.7794988689097006E-2</v>
      </c>
      <c r="G21" s="8">
        <v>0.11267175516062837</v>
      </c>
      <c r="I21" s="10" t="str">
        <f t="shared" ref="I21:I24" si="2">B21</f>
        <v>Instagram</v>
      </c>
      <c r="J21" s="11">
        <f t="shared" si="1"/>
        <v>5.0283982091147303E-2</v>
      </c>
      <c r="K21" s="11">
        <f t="shared" si="1"/>
        <v>4.3060781812819873E-2</v>
      </c>
      <c r="L21" s="11">
        <f t="shared" si="1"/>
        <v>1.5320025675641944E-3</v>
      </c>
      <c r="M21" s="11">
        <f t="shared" si="1"/>
        <v>1.7794988689097006E-2</v>
      </c>
      <c r="N21" s="11"/>
      <c r="O21" s="10"/>
    </row>
    <row r="22" spans="2:15" ht="15.6" thickTop="1" thickBot="1" x14ac:dyDescent="0.35">
      <c r="B22" s="6" t="s">
        <v>70</v>
      </c>
      <c r="C22" s="8">
        <v>6.3496059750411282E-2</v>
      </c>
      <c r="D22" s="8">
        <v>4.6071629863988765E-2</v>
      </c>
      <c r="E22" s="8">
        <v>2.306247051322625E-3</v>
      </c>
      <c r="F22" s="8">
        <v>3.8927934093844286E-3</v>
      </c>
      <c r="G22" s="8">
        <v>0.11576673007510711</v>
      </c>
      <c r="I22" s="10" t="str">
        <f t="shared" si="2"/>
        <v>Partner App</v>
      </c>
      <c r="J22" s="11">
        <f t="shared" si="1"/>
        <v>6.3496059750411282E-2</v>
      </c>
      <c r="K22" s="11">
        <f t="shared" si="1"/>
        <v>4.6071629863988765E-2</v>
      </c>
      <c r="L22" s="11">
        <f t="shared" si="1"/>
        <v>2.306247051322625E-3</v>
      </c>
      <c r="M22" s="11">
        <f t="shared" si="1"/>
        <v>3.8927934093844286E-3</v>
      </c>
      <c r="N22" s="11"/>
      <c r="O22" s="10"/>
    </row>
    <row r="23" spans="2:15" ht="15.6" thickTop="1" thickBot="1" x14ac:dyDescent="0.35">
      <c r="B23" s="6" t="s">
        <v>40</v>
      </c>
      <c r="C23" s="8">
        <v>9.6337892927149532E-2</v>
      </c>
      <c r="D23" s="8">
        <v>6.7920115842382611E-2</v>
      </c>
      <c r="E23" s="8">
        <v>5.4979832664581261E-3</v>
      </c>
      <c r="F23" s="8">
        <v>1.2933041488102518E-2</v>
      </c>
      <c r="G23" s="8">
        <v>0.1826890335240928</v>
      </c>
      <c r="I23" s="10" t="str">
        <f>B23</f>
        <v>Target.com</v>
      </c>
      <c r="J23" s="11">
        <f t="shared" si="1"/>
        <v>9.6337892927149532E-2</v>
      </c>
      <c r="K23" s="11">
        <f t="shared" si="1"/>
        <v>6.7920115842382611E-2</v>
      </c>
      <c r="L23" s="11">
        <f t="shared" si="1"/>
        <v>5.4979832664581261E-3</v>
      </c>
      <c r="M23" s="11">
        <f t="shared" si="1"/>
        <v>1.2933041488102518E-2</v>
      </c>
      <c r="N23" s="11"/>
      <c r="O23" s="10"/>
    </row>
    <row r="24" spans="2:15" ht="15.6" thickTop="1" thickBot="1" x14ac:dyDescent="0.35">
      <c r="B24" s="6" t="s">
        <v>35</v>
      </c>
      <c r="C24" s="8">
        <v>0.12522098709469262</v>
      </c>
      <c r="D24" s="8">
        <v>9.1492740283116228E-2</v>
      </c>
      <c r="E24" s="8">
        <v>6.3042760790965081E-3</v>
      </c>
      <c r="F24" s="8">
        <v>1.2408404181197551E-2</v>
      </c>
      <c r="G24" s="8">
        <v>0.23542640763810288</v>
      </c>
      <c r="I24" s="10" t="str">
        <f t="shared" si="2"/>
        <v>Website</v>
      </c>
      <c r="J24" s="11">
        <f t="shared" si="1"/>
        <v>0.12522098709469262</v>
      </c>
      <c r="K24" s="11">
        <f t="shared" si="1"/>
        <v>9.1492740283116228E-2</v>
      </c>
      <c r="L24" s="11">
        <f t="shared" si="1"/>
        <v>6.3042760790965081E-3</v>
      </c>
      <c r="M24" s="11">
        <f t="shared" si="1"/>
        <v>1.2408404181197551E-2</v>
      </c>
      <c r="N24" s="11"/>
      <c r="O24" s="10"/>
    </row>
    <row r="25" spans="2:15" ht="15" thickTop="1" x14ac:dyDescent="0.3">
      <c r="B25" s="6" t="s">
        <v>2517</v>
      </c>
      <c r="C25" s="8">
        <v>0.52495717387974916</v>
      </c>
      <c r="D25" s="8">
        <v>0.3711684913156732</v>
      </c>
      <c r="E25" s="8">
        <v>2.6245886489133303E-2</v>
      </c>
      <c r="F25" s="8">
        <v>7.7628448315444312E-2</v>
      </c>
      <c r="G25" s="8">
        <v>1</v>
      </c>
    </row>
  </sheetData>
  <conditionalFormatting sqref="J20:N24">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DB1AB-A752-4FF4-8777-C001626472AC}">
  <dimension ref="A2:K179"/>
  <sheetViews>
    <sheetView topLeftCell="A39" zoomScale="82" zoomScaleNormal="82" workbookViewId="0">
      <selection activeCell="B51" sqref="B51"/>
    </sheetView>
  </sheetViews>
  <sheetFormatPr defaultRowHeight="14.4" x14ac:dyDescent="0.3"/>
  <cols>
    <col min="1" max="1" width="13" bestFit="1" customWidth="1"/>
    <col min="2" max="2" width="13.21875" bestFit="1" customWidth="1"/>
    <col min="3" max="3" width="9" bestFit="1" customWidth="1"/>
    <col min="4" max="4" width="14.88671875" bestFit="1" customWidth="1"/>
    <col min="5" max="5" width="14.44140625" bestFit="1" customWidth="1"/>
    <col min="6" max="6" width="4" bestFit="1" customWidth="1"/>
    <col min="7" max="7" width="13" bestFit="1" customWidth="1"/>
    <col min="8" max="8" width="14.88671875" bestFit="1" customWidth="1"/>
    <col min="9" max="9" width="14.44140625" bestFit="1" customWidth="1"/>
    <col min="10" max="10" width="10.77734375" bestFit="1" customWidth="1"/>
    <col min="11" max="11" width="14.44140625" bestFit="1" customWidth="1"/>
  </cols>
  <sheetData>
    <row r="2" spans="1:11" x14ac:dyDescent="0.3">
      <c r="G2" t="s">
        <v>2508</v>
      </c>
    </row>
    <row r="3" spans="1:11" x14ac:dyDescent="0.3">
      <c r="A3" t="s">
        <v>2503</v>
      </c>
      <c r="B3" t="s">
        <v>2504</v>
      </c>
      <c r="C3" t="s">
        <v>2505</v>
      </c>
      <c r="D3" t="s">
        <v>2506</v>
      </c>
      <c r="E3" t="s">
        <v>2507</v>
      </c>
      <c r="G3" t="s">
        <v>2509</v>
      </c>
      <c r="H3" t="s">
        <v>2510</v>
      </c>
      <c r="I3" t="s">
        <v>4</v>
      </c>
      <c r="J3" t="s">
        <v>2511</v>
      </c>
      <c r="K3" t="s">
        <v>2512</v>
      </c>
    </row>
    <row r="4" spans="1:11" x14ac:dyDescent="0.3">
      <c r="A4" s="3">
        <v>2400</v>
      </c>
      <c r="B4" s="3">
        <v>11997</v>
      </c>
      <c r="C4" s="3">
        <v>649019.80000000144</v>
      </c>
      <c r="D4" s="3">
        <v>3.9620833333333332</v>
      </c>
      <c r="E4" s="3">
        <v>2.3424999999999998</v>
      </c>
      <c r="G4" t="str">
        <f>TEXT(A4,"#,##")</f>
        <v>2,400</v>
      </c>
      <c r="H4" t="str">
        <f t="shared" ref="H4:K4" si="0">TEXT(B4,"#,##")</f>
        <v>11,997</v>
      </c>
      <c r="I4" t="str">
        <f>TEXT(C4,"$#,##,.0k")</f>
        <v>$649.0k</v>
      </c>
      <c r="J4" t="str">
        <f>TEXT(D4,"0.0")</f>
        <v>4.0</v>
      </c>
      <c r="K4" t="str">
        <f>TEXT(E4,"0.0")</f>
        <v>2.3</v>
      </c>
    </row>
    <row r="7" spans="1:11" x14ac:dyDescent="0.3">
      <c r="C7" t="s">
        <v>2513</v>
      </c>
      <c r="D7" t="s">
        <v>2514</v>
      </c>
    </row>
    <row r="8" spans="1:11" x14ac:dyDescent="0.3">
      <c r="C8" s="3">
        <v>11997</v>
      </c>
      <c r="D8" s="3">
        <v>649019.80000000144</v>
      </c>
    </row>
    <row r="11" spans="1:11" x14ac:dyDescent="0.3">
      <c r="A11" s="5" t="s">
        <v>2503</v>
      </c>
      <c r="B11" t="s">
        <v>2504</v>
      </c>
      <c r="C11" t="s">
        <v>2505</v>
      </c>
      <c r="D11" t="s">
        <v>2506</v>
      </c>
      <c r="E11" t="s">
        <v>2507</v>
      </c>
      <c r="G11" s="5" t="s">
        <v>2515</v>
      </c>
      <c r="H11" t="s">
        <v>2504</v>
      </c>
      <c r="I11" t="s">
        <v>2505</v>
      </c>
    </row>
    <row r="12" spans="1:11" x14ac:dyDescent="0.3">
      <c r="A12" s="3">
        <v>2400</v>
      </c>
      <c r="B12" s="3">
        <v>11997</v>
      </c>
      <c r="C12" s="3">
        <v>649019.80000000144</v>
      </c>
      <c r="D12" s="3">
        <v>3.9620833333333332</v>
      </c>
      <c r="E12" s="3">
        <v>2.3424999999999998</v>
      </c>
      <c r="G12" s="6">
        <v>1</v>
      </c>
      <c r="H12" s="3">
        <v>546</v>
      </c>
      <c r="I12" s="7">
        <v>32413.300000000003</v>
      </c>
    </row>
    <row r="13" spans="1:11" x14ac:dyDescent="0.3">
      <c r="G13" s="6">
        <v>2</v>
      </c>
      <c r="H13" s="3">
        <v>905</v>
      </c>
      <c r="I13" s="7">
        <v>49562.999999999993</v>
      </c>
    </row>
    <row r="14" spans="1:11" x14ac:dyDescent="0.3">
      <c r="G14" s="6">
        <v>3</v>
      </c>
      <c r="H14" s="3">
        <v>796</v>
      </c>
      <c r="I14" s="7">
        <v>41700.400000000016</v>
      </c>
    </row>
    <row r="15" spans="1:11" x14ac:dyDescent="0.3">
      <c r="A15" s="5" t="s">
        <v>2515</v>
      </c>
      <c r="B15" t="s">
        <v>2503</v>
      </c>
      <c r="G15" s="6">
        <v>4</v>
      </c>
      <c r="H15" s="3">
        <v>913</v>
      </c>
      <c r="I15" s="7">
        <v>46782.599999999984</v>
      </c>
    </row>
    <row r="16" spans="1:11" x14ac:dyDescent="0.3">
      <c r="A16" s="6">
        <v>1</v>
      </c>
      <c r="B16" s="3">
        <v>397</v>
      </c>
      <c r="G16" s="6">
        <v>5</v>
      </c>
      <c r="H16" s="3">
        <v>844</v>
      </c>
      <c r="I16" s="7">
        <v>42676.100000000006</v>
      </c>
    </row>
    <row r="17" spans="1:9" x14ac:dyDescent="0.3">
      <c r="A17" s="6">
        <v>2</v>
      </c>
      <c r="B17" s="3">
        <v>540</v>
      </c>
      <c r="G17" s="6">
        <v>6</v>
      </c>
      <c r="H17" s="3">
        <v>1202</v>
      </c>
      <c r="I17" s="7">
        <v>62910.7</v>
      </c>
    </row>
    <row r="18" spans="1:9" x14ac:dyDescent="0.3">
      <c r="A18" s="6">
        <v>3</v>
      </c>
      <c r="B18" s="3">
        <v>375</v>
      </c>
      <c r="G18" s="6">
        <v>7</v>
      </c>
      <c r="H18" s="3">
        <v>935</v>
      </c>
      <c r="I18" s="7">
        <v>50332.200000000004</v>
      </c>
    </row>
    <row r="19" spans="1:9" x14ac:dyDescent="0.3">
      <c r="A19" s="6">
        <v>4</v>
      </c>
      <c r="B19" s="3">
        <v>246</v>
      </c>
      <c r="G19" s="6">
        <v>8</v>
      </c>
      <c r="H19" s="3">
        <v>1128</v>
      </c>
      <c r="I19" s="7">
        <v>58760.599999999977</v>
      </c>
    </row>
    <row r="20" spans="1:9" x14ac:dyDescent="0.3">
      <c r="A20" s="6">
        <v>5</v>
      </c>
      <c r="B20" s="3">
        <v>195</v>
      </c>
      <c r="G20" s="6">
        <v>9</v>
      </c>
      <c r="H20" s="3">
        <v>1007</v>
      </c>
      <c r="I20" s="7">
        <v>52017.299999999996</v>
      </c>
    </row>
    <row r="21" spans="1:9" x14ac:dyDescent="0.3">
      <c r="A21" s="6" t="s">
        <v>2525</v>
      </c>
      <c r="B21" s="3">
        <v>414</v>
      </c>
      <c r="G21" s="6">
        <v>10</v>
      </c>
      <c r="H21" s="3">
        <v>1128</v>
      </c>
      <c r="I21" s="7">
        <v>64915.700000000033</v>
      </c>
    </row>
    <row r="22" spans="1:9" x14ac:dyDescent="0.3">
      <c r="A22" s="6" t="s">
        <v>2526</v>
      </c>
      <c r="B22" s="3">
        <v>233</v>
      </c>
      <c r="G22" s="6">
        <v>11</v>
      </c>
      <c r="H22" s="3">
        <v>861</v>
      </c>
      <c r="I22" s="7">
        <v>45943.80000000001</v>
      </c>
    </row>
    <row r="23" spans="1:9" x14ac:dyDescent="0.3">
      <c r="A23" s="6" t="s">
        <v>2517</v>
      </c>
      <c r="B23" s="3">
        <v>2400</v>
      </c>
      <c r="G23" s="6">
        <v>12</v>
      </c>
      <c r="H23" s="3">
        <v>944</v>
      </c>
      <c r="I23" s="7">
        <v>55077.900000000031</v>
      </c>
    </row>
    <row r="24" spans="1:9" x14ac:dyDescent="0.3">
      <c r="G24" s="6">
        <v>13</v>
      </c>
      <c r="H24" s="3">
        <v>788</v>
      </c>
      <c r="I24" s="7">
        <v>45926.19999999999</v>
      </c>
    </row>
    <row r="25" spans="1:9" x14ac:dyDescent="0.3">
      <c r="G25" s="6" t="s">
        <v>2516</v>
      </c>
      <c r="H25" s="3"/>
      <c r="I25" s="7"/>
    </row>
    <row r="26" spans="1:9" x14ac:dyDescent="0.3">
      <c r="A26" s="5" t="s">
        <v>2504</v>
      </c>
      <c r="B26" s="5" t="s">
        <v>2518</v>
      </c>
      <c r="G26" s="6" t="s">
        <v>2517</v>
      </c>
      <c r="H26" s="3">
        <v>11997</v>
      </c>
      <c r="I26" s="7">
        <v>649019.79999999993</v>
      </c>
    </row>
    <row r="27" spans="1:9" x14ac:dyDescent="0.3">
      <c r="A27" s="5" t="s">
        <v>2515</v>
      </c>
      <c r="B27" t="s">
        <v>2519</v>
      </c>
      <c r="C27" t="s">
        <v>2520</v>
      </c>
      <c r="D27" t="s">
        <v>2521</v>
      </c>
      <c r="E27" t="s">
        <v>2522</v>
      </c>
      <c r="F27" t="s">
        <v>2517</v>
      </c>
    </row>
    <row r="28" spans="1:9" x14ac:dyDescent="0.3">
      <c r="A28" s="6" t="s">
        <v>44</v>
      </c>
      <c r="B28" s="3">
        <v>744</v>
      </c>
      <c r="C28" s="3">
        <v>713</v>
      </c>
      <c r="D28" s="3">
        <v>90</v>
      </c>
      <c r="E28" s="3">
        <v>98</v>
      </c>
      <c r="F28" s="3">
        <v>1645</v>
      </c>
      <c r="G28" s="5" t="s">
        <v>2515</v>
      </c>
      <c r="H28" t="s">
        <v>2504</v>
      </c>
    </row>
    <row r="29" spans="1:9" x14ac:dyDescent="0.3">
      <c r="A29" s="6" t="s">
        <v>39</v>
      </c>
      <c r="B29" s="3">
        <v>716</v>
      </c>
      <c r="C29" s="3">
        <v>598</v>
      </c>
      <c r="D29" s="3">
        <v>18</v>
      </c>
      <c r="E29" s="3">
        <v>214</v>
      </c>
      <c r="F29" s="3">
        <v>1546</v>
      </c>
      <c r="G29" s="6" t="s">
        <v>2519</v>
      </c>
      <c r="H29" s="3">
        <v>6272</v>
      </c>
    </row>
    <row r="30" spans="1:9" x14ac:dyDescent="0.3">
      <c r="A30" s="6" t="s">
        <v>26</v>
      </c>
      <c r="B30" s="3">
        <v>627</v>
      </c>
      <c r="C30" s="3">
        <v>393</v>
      </c>
      <c r="D30" s="3">
        <v>29</v>
      </c>
      <c r="E30" s="3">
        <v>137</v>
      </c>
      <c r="F30" s="3">
        <v>1186</v>
      </c>
      <c r="G30" s="6" t="s">
        <v>2520</v>
      </c>
      <c r="H30" s="3">
        <v>4672</v>
      </c>
    </row>
    <row r="31" spans="1:9" x14ac:dyDescent="0.3">
      <c r="A31" s="6" t="s">
        <v>22</v>
      </c>
      <c r="B31" s="3">
        <v>568</v>
      </c>
      <c r="C31" s="3">
        <v>306</v>
      </c>
      <c r="D31" s="3">
        <v>22</v>
      </c>
      <c r="E31" s="3">
        <v>16</v>
      </c>
      <c r="F31" s="3">
        <v>912</v>
      </c>
      <c r="G31" s="6" t="s">
        <v>2521</v>
      </c>
      <c r="H31" s="3">
        <v>317</v>
      </c>
    </row>
    <row r="32" spans="1:9" x14ac:dyDescent="0.3">
      <c r="A32" s="6" t="s">
        <v>54</v>
      </c>
      <c r="B32" s="3">
        <v>482</v>
      </c>
      <c r="C32" s="3">
        <v>295</v>
      </c>
      <c r="D32" s="3">
        <v>8</v>
      </c>
      <c r="E32" s="3">
        <v>22</v>
      </c>
      <c r="F32" s="3">
        <v>807</v>
      </c>
      <c r="G32" s="6" t="s">
        <v>2522</v>
      </c>
      <c r="H32" s="3">
        <v>736</v>
      </c>
    </row>
    <row r="33" spans="1:10" x14ac:dyDescent="0.3">
      <c r="A33" s="6" t="s">
        <v>16</v>
      </c>
      <c r="B33" s="3">
        <v>428</v>
      </c>
      <c r="C33" s="3">
        <v>293</v>
      </c>
      <c r="D33" s="3"/>
      <c r="E33" s="3">
        <v>24</v>
      </c>
      <c r="F33" s="3">
        <v>745</v>
      </c>
      <c r="G33" s="6" t="s">
        <v>2516</v>
      </c>
      <c r="H33" s="3"/>
    </row>
    <row r="34" spans="1:10" x14ac:dyDescent="0.3">
      <c r="A34" s="6" t="s">
        <v>46</v>
      </c>
      <c r="B34" s="3">
        <v>445</v>
      </c>
      <c r="C34" s="3">
        <v>202</v>
      </c>
      <c r="D34" s="3">
        <v>14</v>
      </c>
      <c r="E34" s="3">
        <v>39</v>
      </c>
      <c r="F34" s="3">
        <v>700</v>
      </c>
      <c r="G34" s="6" t="s">
        <v>2517</v>
      </c>
      <c r="H34" s="3">
        <v>11997</v>
      </c>
    </row>
    <row r="35" spans="1:10" x14ac:dyDescent="0.3">
      <c r="A35" s="6" t="s">
        <v>32</v>
      </c>
      <c r="B35" s="3">
        <v>431</v>
      </c>
      <c r="C35" s="3">
        <v>187</v>
      </c>
      <c r="D35" s="3">
        <v>14</v>
      </c>
      <c r="E35" s="3">
        <v>15</v>
      </c>
      <c r="F35" s="3">
        <v>647</v>
      </c>
    </row>
    <row r="36" spans="1:10" x14ac:dyDescent="0.3">
      <c r="A36" s="6" t="s">
        <v>42</v>
      </c>
      <c r="B36" s="3">
        <v>264</v>
      </c>
      <c r="C36" s="3">
        <v>318</v>
      </c>
      <c r="D36" s="3">
        <v>15</v>
      </c>
      <c r="E36" s="3">
        <v>9</v>
      </c>
      <c r="F36" s="3">
        <v>606</v>
      </c>
    </row>
    <row r="37" spans="1:10" x14ac:dyDescent="0.3">
      <c r="A37" s="6" t="s">
        <v>37</v>
      </c>
      <c r="B37" s="3">
        <v>296</v>
      </c>
      <c r="C37" s="3">
        <v>275</v>
      </c>
      <c r="D37" s="3">
        <v>9</v>
      </c>
      <c r="E37" s="3">
        <v>23</v>
      </c>
      <c r="F37" s="3">
        <v>603</v>
      </c>
    </row>
    <row r="38" spans="1:10" x14ac:dyDescent="0.3">
      <c r="A38" s="6" t="s">
        <v>123</v>
      </c>
      <c r="B38" s="3">
        <v>153</v>
      </c>
      <c r="C38" s="3">
        <v>246</v>
      </c>
      <c r="D38" s="3">
        <v>30</v>
      </c>
      <c r="E38" s="3">
        <v>8</v>
      </c>
      <c r="F38" s="3">
        <v>437</v>
      </c>
    </row>
    <row r="39" spans="1:10" x14ac:dyDescent="0.3">
      <c r="A39" s="6" t="s">
        <v>146</v>
      </c>
      <c r="B39" s="3">
        <v>189</v>
      </c>
      <c r="C39" s="3">
        <v>168</v>
      </c>
      <c r="D39" s="3">
        <v>10</v>
      </c>
      <c r="E39" s="3">
        <v>31</v>
      </c>
      <c r="F39" s="3">
        <v>398</v>
      </c>
    </row>
    <row r="40" spans="1:10" x14ac:dyDescent="0.3">
      <c r="A40" s="6" t="s">
        <v>69</v>
      </c>
      <c r="B40" s="3">
        <v>234</v>
      </c>
      <c r="C40" s="3">
        <v>93</v>
      </c>
      <c r="D40" s="3">
        <v>19</v>
      </c>
      <c r="E40" s="3">
        <v>24</v>
      </c>
      <c r="F40" s="3">
        <v>370</v>
      </c>
    </row>
    <row r="41" spans="1:10" x14ac:dyDescent="0.3">
      <c r="A41" s="6" t="s">
        <v>30</v>
      </c>
      <c r="B41" s="3">
        <v>146</v>
      </c>
      <c r="C41" s="3">
        <v>94</v>
      </c>
      <c r="D41" s="3">
        <v>4</v>
      </c>
      <c r="E41" s="3">
        <v>28</v>
      </c>
      <c r="F41" s="3">
        <v>272</v>
      </c>
    </row>
    <row r="42" spans="1:10" x14ac:dyDescent="0.3">
      <c r="A42" s="6" t="s">
        <v>135</v>
      </c>
      <c r="B42" s="3">
        <v>127</v>
      </c>
      <c r="C42" s="3">
        <v>118</v>
      </c>
      <c r="D42" s="3">
        <v>13</v>
      </c>
      <c r="E42" s="3">
        <v>12</v>
      </c>
      <c r="F42" s="3">
        <v>270</v>
      </c>
    </row>
    <row r="43" spans="1:10" x14ac:dyDescent="0.3">
      <c r="A43" s="6" t="s">
        <v>67</v>
      </c>
      <c r="B43" s="3">
        <v>179</v>
      </c>
      <c r="C43" s="3">
        <v>76</v>
      </c>
      <c r="D43" s="3">
        <v>3</v>
      </c>
      <c r="E43" s="3"/>
      <c r="F43" s="3">
        <v>258</v>
      </c>
      <c r="H43" s="4" t="s">
        <v>10</v>
      </c>
      <c r="I43" s="4" t="s">
        <v>11</v>
      </c>
      <c r="J43" s="4" t="s">
        <v>2504</v>
      </c>
    </row>
    <row r="44" spans="1:10" x14ac:dyDescent="0.3">
      <c r="A44" s="6" t="s">
        <v>128</v>
      </c>
      <c r="B44" s="3">
        <v>99</v>
      </c>
      <c r="C44" s="3">
        <v>69</v>
      </c>
      <c r="D44" s="3">
        <v>3</v>
      </c>
      <c r="E44" s="3">
        <v>24</v>
      </c>
      <c r="F44" s="3">
        <v>195</v>
      </c>
      <c r="H44" s="12" t="s">
        <v>19</v>
      </c>
      <c r="I44" t="s">
        <v>115</v>
      </c>
      <c r="J44" s="3">
        <v>579</v>
      </c>
    </row>
    <row r="45" spans="1:10" x14ac:dyDescent="0.3">
      <c r="A45" s="6" t="s">
        <v>76</v>
      </c>
      <c r="B45" s="3">
        <v>75</v>
      </c>
      <c r="C45" s="3">
        <v>103</v>
      </c>
      <c r="D45" s="3">
        <v>4</v>
      </c>
      <c r="E45" s="3">
        <v>6</v>
      </c>
      <c r="F45" s="3">
        <v>188</v>
      </c>
      <c r="H45" s="12" t="s">
        <v>19</v>
      </c>
      <c r="I45" t="s">
        <v>20</v>
      </c>
      <c r="J45" s="3">
        <v>1</v>
      </c>
    </row>
    <row r="46" spans="1:10" x14ac:dyDescent="0.3">
      <c r="A46" s="6" t="s">
        <v>81</v>
      </c>
      <c r="B46" s="3">
        <v>43</v>
      </c>
      <c r="C46" s="3">
        <v>90</v>
      </c>
      <c r="D46" s="3">
        <v>8</v>
      </c>
      <c r="E46" s="3">
        <v>6</v>
      </c>
      <c r="F46" s="3">
        <v>147</v>
      </c>
      <c r="H46" s="12" t="s">
        <v>19</v>
      </c>
      <c r="I46" t="s">
        <v>641</v>
      </c>
      <c r="J46" s="3">
        <v>9</v>
      </c>
    </row>
    <row r="47" spans="1:10" x14ac:dyDescent="0.3">
      <c r="A47" s="6" t="s">
        <v>171</v>
      </c>
      <c r="B47" s="3">
        <v>26</v>
      </c>
      <c r="C47" s="3">
        <v>35</v>
      </c>
      <c r="D47" s="3">
        <v>4</v>
      </c>
      <c r="E47" s="3"/>
      <c r="F47" s="3">
        <v>65</v>
      </c>
      <c r="H47" s="12" t="s">
        <v>19</v>
      </c>
      <c r="I47" t="s">
        <v>967</v>
      </c>
      <c r="J47" s="3">
        <v>35</v>
      </c>
    </row>
    <row r="48" spans="1:10" x14ac:dyDescent="0.3">
      <c r="A48" s="6" t="s">
        <v>2517</v>
      </c>
      <c r="B48" s="3">
        <v>6272</v>
      </c>
      <c r="C48" s="3">
        <v>4672</v>
      </c>
      <c r="D48" s="3">
        <v>317</v>
      </c>
      <c r="E48" s="3">
        <v>736</v>
      </c>
      <c r="F48" s="3">
        <v>11997</v>
      </c>
      <c r="H48" s="12" t="s">
        <v>19</v>
      </c>
      <c r="I48" t="s">
        <v>84</v>
      </c>
      <c r="J48" s="3">
        <v>12</v>
      </c>
    </row>
    <row r="49" spans="2:10" x14ac:dyDescent="0.3">
      <c r="H49" s="12" t="s">
        <v>19</v>
      </c>
      <c r="I49" t="s">
        <v>1383</v>
      </c>
      <c r="J49" s="3">
        <v>4</v>
      </c>
    </row>
    <row r="50" spans="2:10" x14ac:dyDescent="0.3">
      <c r="H50" s="12" t="s">
        <v>19</v>
      </c>
      <c r="I50" t="s">
        <v>24</v>
      </c>
      <c r="J50" s="3">
        <v>341</v>
      </c>
    </row>
    <row r="51" spans="2:10" x14ac:dyDescent="0.3">
      <c r="H51" s="12" t="s">
        <v>19</v>
      </c>
      <c r="I51" t="s">
        <v>2204</v>
      </c>
      <c r="J51" s="3">
        <v>13</v>
      </c>
    </row>
    <row r="52" spans="2:10" x14ac:dyDescent="0.3">
      <c r="H52" s="12" t="s">
        <v>19</v>
      </c>
      <c r="I52" t="s">
        <v>437</v>
      </c>
      <c r="J52" s="3">
        <v>31</v>
      </c>
    </row>
    <row r="53" spans="2:10" x14ac:dyDescent="0.3">
      <c r="B53" s="5" t="s">
        <v>11</v>
      </c>
      <c r="C53" s="5" t="s">
        <v>10</v>
      </c>
      <c r="D53" t="s">
        <v>2504</v>
      </c>
      <c r="E53" t="s">
        <v>2505</v>
      </c>
      <c r="H53" s="12" t="s">
        <v>19</v>
      </c>
      <c r="I53" t="s">
        <v>28</v>
      </c>
      <c r="J53" s="3">
        <v>279</v>
      </c>
    </row>
    <row r="54" spans="2:10" x14ac:dyDescent="0.3">
      <c r="B54" t="s">
        <v>115</v>
      </c>
      <c r="C54" t="s">
        <v>19</v>
      </c>
      <c r="D54" s="3">
        <v>579</v>
      </c>
      <c r="E54" s="3">
        <v>31884.999999999996</v>
      </c>
      <c r="H54" s="12" t="s">
        <v>19</v>
      </c>
      <c r="I54" t="s">
        <v>208</v>
      </c>
      <c r="J54" s="3">
        <v>9</v>
      </c>
    </row>
    <row r="55" spans="2:10" x14ac:dyDescent="0.3">
      <c r="B55" t="s">
        <v>20</v>
      </c>
      <c r="C55" t="s">
        <v>19</v>
      </c>
      <c r="D55" s="3">
        <v>1</v>
      </c>
      <c r="E55" s="3">
        <v>10.9</v>
      </c>
      <c r="H55" s="12" t="s">
        <v>19</v>
      </c>
      <c r="I55" t="s">
        <v>587</v>
      </c>
      <c r="J55" s="3">
        <v>49</v>
      </c>
    </row>
    <row r="56" spans="2:10" x14ac:dyDescent="0.3">
      <c r="B56" t="s">
        <v>641</v>
      </c>
      <c r="C56" t="s">
        <v>19</v>
      </c>
      <c r="D56" s="3">
        <v>9</v>
      </c>
      <c r="E56" s="3">
        <v>800.3</v>
      </c>
      <c r="H56" s="12" t="s">
        <v>19</v>
      </c>
      <c r="I56" t="s">
        <v>331</v>
      </c>
      <c r="J56" s="3">
        <v>59</v>
      </c>
    </row>
    <row r="57" spans="2:10" x14ac:dyDescent="0.3">
      <c r="B57" t="s">
        <v>967</v>
      </c>
      <c r="C57" t="s">
        <v>19</v>
      </c>
      <c r="D57" s="3">
        <v>35</v>
      </c>
      <c r="E57" s="3">
        <v>1062.5999999999999</v>
      </c>
      <c r="H57" s="12" t="s">
        <v>19</v>
      </c>
      <c r="I57" t="s">
        <v>86</v>
      </c>
      <c r="J57" s="3">
        <v>8</v>
      </c>
    </row>
    <row r="58" spans="2:10" x14ac:dyDescent="0.3">
      <c r="B58" t="s">
        <v>84</v>
      </c>
      <c r="C58" t="s">
        <v>19</v>
      </c>
      <c r="D58" s="3">
        <v>12</v>
      </c>
      <c r="E58" s="3">
        <v>326.20000000000005</v>
      </c>
      <c r="H58" s="12" t="s">
        <v>19</v>
      </c>
      <c r="I58" t="s">
        <v>147</v>
      </c>
      <c r="J58" s="3">
        <v>222</v>
      </c>
    </row>
    <row r="59" spans="2:10" x14ac:dyDescent="0.3">
      <c r="B59" t="s">
        <v>1383</v>
      </c>
      <c r="C59" t="s">
        <v>19</v>
      </c>
      <c r="D59" s="3">
        <v>4</v>
      </c>
      <c r="E59" s="3">
        <v>167.5</v>
      </c>
      <c r="H59" s="12" t="s">
        <v>19</v>
      </c>
      <c r="I59" t="s">
        <v>334</v>
      </c>
      <c r="J59" s="3">
        <v>36</v>
      </c>
    </row>
    <row r="60" spans="2:10" x14ac:dyDescent="0.3">
      <c r="B60" t="s">
        <v>24</v>
      </c>
      <c r="C60" t="s">
        <v>19</v>
      </c>
      <c r="D60" s="3">
        <v>341</v>
      </c>
      <c r="E60" s="3">
        <v>16168.7</v>
      </c>
      <c r="H60" s="12" t="s">
        <v>19</v>
      </c>
      <c r="I60" t="s">
        <v>949</v>
      </c>
      <c r="J60" s="3">
        <v>30</v>
      </c>
    </row>
    <row r="61" spans="2:10" x14ac:dyDescent="0.3">
      <c r="B61" t="s">
        <v>2204</v>
      </c>
      <c r="C61" t="s">
        <v>19</v>
      </c>
      <c r="D61" s="3">
        <v>13</v>
      </c>
      <c r="E61" s="3">
        <v>322.40000000000003</v>
      </c>
      <c r="H61" s="12" t="s">
        <v>19</v>
      </c>
      <c r="I61" t="s">
        <v>1426</v>
      </c>
      <c r="J61" s="3">
        <v>1</v>
      </c>
    </row>
    <row r="62" spans="2:10" x14ac:dyDescent="0.3">
      <c r="B62" t="s">
        <v>437</v>
      </c>
      <c r="C62" t="s">
        <v>19</v>
      </c>
      <c r="D62" s="3">
        <v>31</v>
      </c>
      <c r="E62" s="3">
        <v>2092.8000000000002</v>
      </c>
      <c r="H62" s="12" t="s">
        <v>19</v>
      </c>
      <c r="I62" t="s">
        <v>33</v>
      </c>
      <c r="J62" s="3">
        <v>3991</v>
      </c>
    </row>
    <row r="63" spans="2:10" x14ac:dyDescent="0.3">
      <c r="B63" t="s">
        <v>28</v>
      </c>
      <c r="C63" t="s">
        <v>19</v>
      </c>
      <c r="D63" s="3">
        <v>279</v>
      </c>
      <c r="E63" s="3">
        <v>12662.500000000002</v>
      </c>
      <c r="H63" s="12" t="s">
        <v>19</v>
      </c>
      <c r="I63" t="s">
        <v>364</v>
      </c>
      <c r="J63" s="3">
        <v>45</v>
      </c>
    </row>
    <row r="64" spans="2:10" x14ac:dyDescent="0.3">
      <c r="B64" t="s">
        <v>208</v>
      </c>
      <c r="C64" t="s">
        <v>19</v>
      </c>
      <c r="D64" s="3">
        <v>9</v>
      </c>
      <c r="E64" s="3">
        <v>343.2</v>
      </c>
      <c r="H64" s="12" t="s">
        <v>19</v>
      </c>
      <c r="I64" t="s">
        <v>545</v>
      </c>
      <c r="J64" s="3">
        <v>39</v>
      </c>
    </row>
    <row r="65" spans="2:10" x14ac:dyDescent="0.3">
      <c r="B65" t="s">
        <v>587</v>
      </c>
      <c r="C65" t="s">
        <v>19</v>
      </c>
      <c r="D65" s="3">
        <v>49</v>
      </c>
      <c r="E65" s="3">
        <v>2188.2999999999997</v>
      </c>
      <c r="H65" s="12" t="s">
        <v>19</v>
      </c>
      <c r="I65" t="s">
        <v>416</v>
      </c>
      <c r="J65" s="3">
        <v>6</v>
      </c>
    </row>
    <row r="66" spans="2:10" x14ac:dyDescent="0.3">
      <c r="B66" t="s">
        <v>331</v>
      </c>
      <c r="C66" t="s">
        <v>19</v>
      </c>
      <c r="D66" s="3">
        <v>59</v>
      </c>
      <c r="E66" s="3">
        <v>2661.5999999999995</v>
      </c>
      <c r="H66" s="12" t="s">
        <v>19</v>
      </c>
      <c r="I66" t="s">
        <v>258</v>
      </c>
      <c r="J66" s="3">
        <v>9</v>
      </c>
    </row>
    <row r="67" spans="2:10" x14ac:dyDescent="0.3">
      <c r="B67" t="s">
        <v>86</v>
      </c>
      <c r="C67" t="s">
        <v>19</v>
      </c>
      <c r="D67" s="3">
        <v>8</v>
      </c>
      <c r="E67" s="3">
        <v>887.5</v>
      </c>
      <c r="H67" s="12" t="s">
        <v>19</v>
      </c>
      <c r="I67" t="s">
        <v>186</v>
      </c>
      <c r="J67" s="3">
        <v>60</v>
      </c>
    </row>
    <row r="68" spans="2:10" x14ac:dyDescent="0.3">
      <c r="B68" t="s">
        <v>147</v>
      </c>
      <c r="C68" t="s">
        <v>19</v>
      </c>
      <c r="D68" s="3">
        <v>222</v>
      </c>
      <c r="E68" s="3">
        <v>11354.199999999993</v>
      </c>
      <c r="H68" s="12" t="s">
        <v>19</v>
      </c>
      <c r="I68" t="s">
        <v>392</v>
      </c>
      <c r="J68" s="3">
        <v>2</v>
      </c>
    </row>
    <row r="69" spans="2:10" x14ac:dyDescent="0.3">
      <c r="B69" t="s">
        <v>334</v>
      </c>
      <c r="C69" t="s">
        <v>19</v>
      </c>
      <c r="D69" s="3">
        <v>36</v>
      </c>
      <c r="E69" s="3">
        <v>1558.4</v>
      </c>
      <c r="H69" s="12" t="s">
        <v>19</v>
      </c>
      <c r="I69" t="s">
        <v>670</v>
      </c>
      <c r="J69" s="3">
        <v>4</v>
      </c>
    </row>
    <row r="70" spans="2:10" x14ac:dyDescent="0.3">
      <c r="B70" t="s">
        <v>949</v>
      </c>
      <c r="C70" t="s">
        <v>19</v>
      </c>
      <c r="D70" s="3">
        <v>30</v>
      </c>
      <c r="E70" s="3">
        <v>2223.9</v>
      </c>
      <c r="H70" s="12" t="s">
        <v>19</v>
      </c>
      <c r="I70" t="s">
        <v>802</v>
      </c>
      <c r="J70" s="3">
        <v>31</v>
      </c>
    </row>
    <row r="71" spans="2:10" x14ac:dyDescent="0.3">
      <c r="B71" t="s">
        <v>1426</v>
      </c>
      <c r="C71" t="s">
        <v>19</v>
      </c>
      <c r="D71" s="3">
        <v>1</v>
      </c>
      <c r="E71" s="3">
        <v>26.2</v>
      </c>
      <c r="H71" s="12" t="s">
        <v>19</v>
      </c>
      <c r="I71" t="s">
        <v>98</v>
      </c>
      <c r="J71" s="3">
        <v>88</v>
      </c>
    </row>
    <row r="72" spans="2:10" x14ac:dyDescent="0.3">
      <c r="B72" t="s">
        <v>33</v>
      </c>
      <c r="C72" t="s">
        <v>19</v>
      </c>
      <c r="D72" s="3">
        <v>3991</v>
      </c>
      <c r="E72" s="3">
        <v>215551.19999999981</v>
      </c>
      <c r="H72" s="12" t="s">
        <v>19</v>
      </c>
      <c r="I72" t="s">
        <v>49</v>
      </c>
      <c r="J72" s="3">
        <v>25</v>
      </c>
    </row>
    <row r="73" spans="2:10" x14ac:dyDescent="0.3">
      <c r="B73" t="s">
        <v>364</v>
      </c>
      <c r="C73" t="s">
        <v>19</v>
      </c>
      <c r="D73" s="3">
        <v>45</v>
      </c>
      <c r="E73" s="3">
        <v>2687.3999999999996</v>
      </c>
      <c r="H73" s="12" t="s">
        <v>19</v>
      </c>
      <c r="I73" t="s">
        <v>188</v>
      </c>
      <c r="J73" s="3">
        <v>178</v>
      </c>
    </row>
    <row r="74" spans="2:10" x14ac:dyDescent="0.3">
      <c r="B74" t="s">
        <v>545</v>
      </c>
      <c r="C74" t="s">
        <v>19</v>
      </c>
      <c r="D74" s="3">
        <v>39</v>
      </c>
      <c r="E74" s="3">
        <v>1463.3000000000002</v>
      </c>
      <c r="H74" s="12" t="s">
        <v>19</v>
      </c>
      <c r="I74" t="s">
        <v>52</v>
      </c>
      <c r="J74" s="3">
        <v>141</v>
      </c>
    </row>
    <row r="75" spans="2:10" x14ac:dyDescent="0.3">
      <c r="B75" t="s">
        <v>416</v>
      </c>
      <c r="C75" t="s">
        <v>19</v>
      </c>
      <c r="D75" s="3">
        <v>6</v>
      </c>
      <c r="E75" s="3">
        <v>445.79999999999995</v>
      </c>
      <c r="H75" s="12" t="s">
        <v>19</v>
      </c>
      <c r="I75" t="s">
        <v>338</v>
      </c>
      <c r="J75" s="3">
        <v>6</v>
      </c>
    </row>
    <row r="76" spans="2:10" x14ac:dyDescent="0.3">
      <c r="B76" t="s">
        <v>258</v>
      </c>
      <c r="C76" t="s">
        <v>19</v>
      </c>
      <c r="D76" s="3">
        <v>9</v>
      </c>
      <c r="E76" s="3">
        <v>273.59999999999997</v>
      </c>
      <c r="H76" s="12" t="s">
        <v>19</v>
      </c>
      <c r="I76" t="s">
        <v>158</v>
      </c>
      <c r="J76" s="3">
        <v>178</v>
      </c>
    </row>
    <row r="77" spans="2:10" x14ac:dyDescent="0.3">
      <c r="B77" t="s">
        <v>186</v>
      </c>
      <c r="C77" t="s">
        <v>19</v>
      </c>
      <c r="D77" s="3">
        <v>60</v>
      </c>
      <c r="E77" s="3">
        <v>2690.4</v>
      </c>
      <c r="H77" s="12" t="s">
        <v>19</v>
      </c>
      <c r="I77" t="s">
        <v>55</v>
      </c>
      <c r="J77" s="3">
        <v>699</v>
      </c>
    </row>
    <row r="78" spans="2:10" x14ac:dyDescent="0.3">
      <c r="B78" t="s">
        <v>392</v>
      </c>
      <c r="C78" t="s">
        <v>19</v>
      </c>
      <c r="D78" s="3">
        <v>2</v>
      </c>
      <c r="E78" s="3">
        <v>28.4</v>
      </c>
      <c r="H78" s="12" t="s">
        <v>19</v>
      </c>
      <c r="I78" t="s">
        <v>342</v>
      </c>
      <c r="J78" s="3">
        <v>23</v>
      </c>
    </row>
    <row r="79" spans="2:10" x14ac:dyDescent="0.3">
      <c r="B79" t="s">
        <v>670</v>
      </c>
      <c r="C79" t="s">
        <v>19</v>
      </c>
      <c r="D79" s="3">
        <v>4</v>
      </c>
      <c r="E79" s="3">
        <v>204.8</v>
      </c>
      <c r="H79" s="12" t="s">
        <v>19</v>
      </c>
      <c r="I79" t="s">
        <v>59</v>
      </c>
      <c r="J79" s="3">
        <v>356</v>
      </c>
    </row>
    <row r="80" spans="2:10" x14ac:dyDescent="0.3">
      <c r="B80" t="s">
        <v>802</v>
      </c>
      <c r="C80" t="s">
        <v>19</v>
      </c>
      <c r="D80" s="3">
        <v>31</v>
      </c>
      <c r="E80" s="3">
        <v>1607.8999999999999</v>
      </c>
      <c r="H80" s="12" t="s">
        <v>19</v>
      </c>
      <c r="I80" t="s">
        <v>62</v>
      </c>
      <c r="J80" s="3">
        <v>1768</v>
      </c>
    </row>
    <row r="81" spans="2:10" x14ac:dyDescent="0.3">
      <c r="B81" t="s">
        <v>98</v>
      </c>
      <c r="C81" t="s">
        <v>19</v>
      </c>
      <c r="D81" s="3">
        <v>88</v>
      </c>
      <c r="E81" s="3">
        <v>6444.9</v>
      </c>
      <c r="H81" s="12" t="s">
        <v>19</v>
      </c>
      <c r="I81" t="s">
        <v>103</v>
      </c>
      <c r="J81" s="3">
        <v>307</v>
      </c>
    </row>
    <row r="82" spans="2:10" x14ac:dyDescent="0.3">
      <c r="B82" t="s">
        <v>49</v>
      </c>
      <c r="C82" t="s">
        <v>19</v>
      </c>
      <c r="D82" s="3">
        <v>25</v>
      </c>
      <c r="E82" s="3">
        <v>1809.3</v>
      </c>
      <c r="H82" s="12" t="s">
        <v>19</v>
      </c>
      <c r="I82" t="s">
        <v>201</v>
      </c>
      <c r="J82" s="3">
        <v>117</v>
      </c>
    </row>
    <row r="83" spans="2:10" x14ac:dyDescent="0.3">
      <c r="B83" t="s">
        <v>188</v>
      </c>
      <c r="C83" t="s">
        <v>19</v>
      </c>
      <c r="D83" s="3">
        <v>178</v>
      </c>
      <c r="E83" s="3">
        <v>9680.399999999996</v>
      </c>
      <c r="H83" s="12" t="s">
        <v>19</v>
      </c>
      <c r="I83" t="s">
        <v>429</v>
      </c>
      <c r="J83" s="3">
        <v>13</v>
      </c>
    </row>
    <row r="84" spans="2:10" x14ac:dyDescent="0.3">
      <c r="B84" t="s">
        <v>52</v>
      </c>
      <c r="C84" t="s">
        <v>19</v>
      </c>
      <c r="D84" s="3">
        <v>141</v>
      </c>
      <c r="E84" s="3">
        <v>9414.7999999999993</v>
      </c>
      <c r="H84" s="12" t="s">
        <v>19</v>
      </c>
      <c r="I84" t="s">
        <v>72</v>
      </c>
      <c r="J84" s="3">
        <v>364</v>
      </c>
    </row>
    <row r="85" spans="2:10" x14ac:dyDescent="0.3">
      <c r="B85" t="s">
        <v>338</v>
      </c>
      <c r="C85" t="s">
        <v>19</v>
      </c>
      <c r="D85" s="3">
        <v>6</v>
      </c>
      <c r="E85" s="3">
        <v>206.1</v>
      </c>
      <c r="H85" s="12" t="s">
        <v>19</v>
      </c>
      <c r="I85" t="s">
        <v>74</v>
      </c>
      <c r="J85" s="3">
        <v>95</v>
      </c>
    </row>
    <row r="86" spans="2:10" x14ac:dyDescent="0.3">
      <c r="B86" t="s">
        <v>158</v>
      </c>
      <c r="C86" t="s">
        <v>19</v>
      </c>
      <c r="D86" s="3">
        <v>178</v>
      </c>
      <c r="E86" s="3">
        <v>7691.3</v>
      </c>
      <c r="H86" s="12" t="s">
        <v>19</v>
      </c>
      <c r="I86" t="s">
        <v>77</v>
      </c>
      <c r="J86" s="3">
        <v>737</v>
      </c>
    </row>
    <row r="87" spans="2:10" x14ac:dyDescent="0.3">
      <c r="B87" t="s">
        <v>55</v>
      </c>
      <c r="C87" t="s">
        <v>19</v>
      </c>
      <c r="D87" s="3">
        <v>699</v>
      </c>
      <c r="E87" s="3">
        <v>37784.900000000016</v>
      </c>
      <c r="H87" s="12" t="s">
        <v>19</v>
      </c>
      <c r="I87" t="s">
        <v>309</v>
      </c>
      <c r="J87" s="3">
        <v>39</v>
      </c>
    </row>
    <row r="88" spans="2:10" x14ac:dyDescent="0.3">
      <c r="B88" t="s">
        <v>342</v>
      </c>
      <c r="C88" t="s">
        <v>19</v>
      </c>
      <c r="D88" s="3">
        <v>23</v>
      </c>
      <c r="E88" s="3">
        <v>1129.7</v>
      </c>
      <c r="H88" s="12" t="s">
        <v>19</v>
      </c>
      <c r="I88" t="s">
        <v>1116</v>
      </c>
      <c r="J88" s="3">
        <v>56</v>
      </c>
    </row>
    <row r="89" spans="2:10" x14ac:dyDescent="0.3">
      <c r="B89" t="s">
        <v>59</v>
      </c>
      <c r="C89" t="s">
        <v>19</v>
      </c>
      <c r="D89" s="3">
        <v>356</v>
      </c>
      <c r="E89" s="3">
        <v>20988.9</v>
      </c>
      <c r="H89" s="12" t="s">
        <v>19</v>
      </c>
      <c r="I89" t="s">
        <v>700</v>
      </c>
      <c r="J89" s="3">
        <v>2</v>
      </c>
    </row>
    <row r="90" spans="2:10" x14ac:dyDescent="0.3">
      <c r="B90" t="s">
        <v>62</v>
      </c>
      <c r="C90" t="s">
        <v>19</v>
      </c>
      <c r="D90" s="3">
        <v>1768</v>
      </c>
      <c r="E90" s="3">
        <v>98367.099999999977</v>
      </c>
      <c r="H90" s="12" t="s">
        <v>19</v>
      </c>
      <c r="I90" t="s">
        <v>268</v>
      </c>
      <c r="J90" s="3">
        <v>8</v>
      </c>
    </row>
    <row r="91" spans="2:10" x14ac:dyDescent="0.3">
      <c r="B91" t="s">
        <v>103</v>
      </c>
      <c r="C91" t="s">
        <v>19</v>
      </c>
      <c r="D91" s="3">
        <v>307</v>
      </c>
      <c r="E91" s="3">
        <v>21911.9</v>
      </c>
      <c r="H91" s="12" t="s">
        <v>19</v>
      </c>
      <c r="I91" t="s">
        <v>377</v>
      </c>
      <c r="J91" s="3">
        <v>52</v>
      </c>
    </row>
    <row r="92" spans="2:10" x14ac:dyDescent="0.3">
      <c r="B92" t="s">
        <v>201</v>
      </c>
      <c r="C92" t="s">
        <v>19</v>
      </c>
      <c r="D92" s="3">
        <v>117</v>
      </c>
      <c r="E92" s="3">
        <v>5441.2</v>
      </c>
      <c r="H92" s="12" t="s">
        <v>19</v>
      </c>
      <c r="I92" t="s">
        <v>108</v>
      </c>
      <c r="J92" s="3">
        <v>295</v>
      </c>
    </row>
    <row r="93" spans="2:10" x14ac:dyDescent="0.3">
      <c r="B93" t="s">
        <v>429</v>
      </c>
      <c r="C93" t="s">
        <v>19</v>
      </c>
      <c r="D93" s="3">
        <v>13</v>
      </c>
      <c r="E93" s="3">
        <v>392.8</v>
      </c>
      <c r="H93" s="12" t="s">
        <v>19</v>
      </c>
      <c r="I93" t="s">
        <v>110</v>
      </c>
      <c r="J93" s="3">
        <v>195</v>
      </c>
    </row>
    <row r="94" spans="2:10" x14ac:dyDescent="0.3">
      <c r="B94" t="s">
        <v>72</v>
      </c>
      <c r="C94" t="s">
        <v>19</v>
      </c>
      <c r="D94" s="3">
        <v>364</v>
      </c>
      <c r="E94" s="3">
        <v>16172.000000000005</v>
      </c>
      <c r="H94" s="12" t="s">
        <v>19</v>
      </c>
      <c r="I94" t="s">
        <v>292</v>
      </c>
      <c r="J94" s="3">
        <v>20</v>
      </c>
    </row>
    <row r="95" spans="2:10" x14ac:dyDescent="0.3">
      <c r="B95" t="s">
        <v>74</v>
      </c>
      <c r="C95" t="s">
        <v>19</v>
      </c>
      <c r="D95" s="3">
        <v>95</v>
      </c>
      <c r="E95" s="3">
        <v>4334.9999999999991</v>
      </c>
      <c r="H95" s="12" t="s">
        <v>19</v>
      </c>
      <c r="I95" t="s">
        <v>79</v>
      </c>
      <c r="J95" s="3">
        <v>6</v>
      </c>
    </row>
    <row r="96" spans="2:10" x14ac:dyDescent="0.3">
      <c r="B96" t="s">
        <v>77</v>
      </c>
      <c r="C96" t="s">
        <v>19</v>
      </c>
      <c r="D96" s="3">
        <v>737</v>
      </c>
      <c r="E96" s="3">
        <v>37449.000000000007</v>
      </c>
      <c r="H96" s="12" t="s">
        <v>19</v>
      </c>
      <c r="I96" t="s">
        <v>608</v>
      </c>
      <c r="J96" s="3">
        <v>5</v>
      </c>
    </row>
    <row r="97" spans="2:10" x14ac:dyDescent="0.3">
      <c r="B97" t="s">
        <v>309</v>
      </c>
      <c r="C97" t="s">
        <v>19</v>
      </c>
      <c r="D97" s="3">
        <v>39</v>
      </c>
      <c r="E97" s="3">
        <v>2447.5</v>
      </c>
      <c r="H97" s="12" t="s">
        <v>19</v>
      </c>
      <c r="I97" t="s">
        <v>113</v>
      </c>
      <c r="J97" s="3">
        <v>94</v>
      </c>
    </row>
    <row r="98" spans="2:10" x14ac:dyDescent="0.3">
      <c r="B98" t="s">
        <v>1116</v>
      </c>
      <c r="C98" t="s">
        <v>19</v>
      </c>
      <c r="D98" s="3">
        <v>56</v>
      </c>
      <c r="E98" s="3">
        <v>3391.1</v>
      </c>
      <c r="H98" s="12" t="s">
        <v>19</v>
      </c>
      <c r="I98" t="s">
        <v>997</v>
      </c>
      <c r="J98" s="3">
        <v>28</v>
      </c>
    </row>
    <row r="99" spans="2:10" x14ac:dyDescent="0.3">
      <c r="B99" t="s">
        <v>700</v>
      </c>
      <c r="C99" t="s">
        <v>19</v>
      </c>
      <c r="D99" s="3">
        <v>2</v>
      </c>
      <c r="E99" s="3">
        <v>30.8</v>
      </c>
      <c r="H99" s="12" t="s">
        <v>19</v>
      </c>
      <c r="I99" t="s">
        <v>82</v>
      </c>
      <c r="J99" s="3">
        <v>179</v>
      </c>
    </row>
    <row r="100" spans="2:10" x14ac:dyDescent="0.3">
      <c r="B100" t="s">
        <v>268</v>
      </c>
      <c r="C100" t="s">
        <v>19</v>
      </c>
      <c r="D100" s="3">
        <v>8</v>
      </c>
      <c r="E100" s="3">
        <v>332.3</v>
      </c>
      <c r="H100" s="12" t="s">
        <v>19</v>
      </c>
      <c r="I100" t="s">
        <v>243</v>
      </c>
      <c r="J100" s="3">
        <v>15</v>
      </c>
    </row>
    <row r="101" spans="2:10" x14ac:dyDescent="0.3">
      <c r="B101" t="s">
        <v>377</v>
      </c>
      <c r="C101" t="s">
        <v>19</v>
      </c>
      <c r="D101" s="3">
        <v>52</v>
      </c>
      <c r="E101" s="3">
        <v>3175.9999999999995</v>
      </c>
      <c r="H101" s="13" t="s">
        <v>19</v>
      </c>
      <c r="I101" t="s">
        <v>1911</v>
      </c>
      <c r="J101" s="3">
        <v>3</v>
      </c>
    </row>
    <row r="102" spans="2:10" x14ac:dyDescent="0.3">
      <c r="B102" t="s">
        <v>108</v>
      </c>
      <c r="C102" t="s">
        <v>19</v>
      </c>
      <c r="D102" s="3">
        <v>295</v>
      </c>
      <c r="E102" s="3">
        <v>20939.600000000002</v>
      </c>
    </row>
    <row r="103" spans="2:10" x14ac:dyDescent="0.3">
      <c r="B103" t="s">
        <v>110</v>
      </c>
      <c r="C103" t="s">
        <v>19</v>
      </c>
      <c r="D103" s="3">
        <v>195</v>
      </c>
      <c r="E103" s="3">
        <v>10185.899999999996</v>
      </c>
    </row>
    <row r="104" spans="2:10" x14ac:dyDescent="0.3">
      <c r="B104" t="s">
        <v>292</v>
      </c>
      <c r="C104" t="s">
        <v>19</v>
      </c>
      <c r="D104" s="3">
        <v>20</v>
      </c>
      <c r="E104" s="3">
        <v>958.7</v>
      </c>
      <c r="H104" s="4" t="s">
        <v>10</v>
      </c>
      <c r="I104" s="4" t="s">
        <v>11</v>
      </c>
      <c r="J104" s="4" t="s">
        <v>2505</v>
      </c>
    </row>
    <row r="105" spans="2:10" x14ac:dyDescent="0.3">
      <c r="B105" t="s">
        <v>79</v>
      </c>
      <c r="C105" t="s">
        <v>19</v>
      </c>
      <c r="D105" s="3">
        <v>6</v>
      </c>
      <c r="E105" s="3">
        <v>323</v>
      </c>
      <c r="H105" s="12" t="s">
        <v>19</v>
      </c>
      <c r="I105" t="s">
        <v>115</v>
      </c>
      <c r="J105" s="3">
        <v>31884.999999999996</v>
      </c>
    </row>
    <row r="106" spans="2:10" x14ac:dyDescent="0.3">
      <c r="B106" t="s">
        <v>608</v>
      </c>
      <c r="C106" t="s">
        <v>19</v>
      </c>
      <c r="D106" s="3">
        <v>5</v>
      </c>
      <c r="E106" s="3">
        <v>167.70000000000002</v>
      </c>
      <c r="H106" s="12" t="s">
        <v>19</v>
      </c>
      <c r="I106" t="s">
        <v>20</v>
      </c>
      <c r="J106" s="3">
        <v>10.9</v>
      </c>
    </row>
    <row r="107" spans="2:10" x14ac:dyDescent="0.3">
      <c r="B107" t="s">
        <v>113</v>
      </c>
      <c r="C107" t="s">
        <v>19</v>
      </c>
      <c r="D107" s="3">
        <v>94</v>
      </c>
      <c r="E107" s="3">
        <v>3978.5</v>
      </c>
      <c r="H107" s="12" t="s">
        <v>19</v>
      </c>
      <c r="I107" t="s">
        <v>641</v>
      </c>
      <c r="J107" s="3">
        <v>800.3</v>
      </c>
    </row>
    <row r="108" spans="2:10" x14ac:dyDescent="0.3">
      <c r="B108" t="s">
        <v>997</v>
      </c>
      <c r="C108" t="s">
        <v>19</v>
      </c>
      <c r="D108" s="3">
        <v>28</v>
      </c>
      <c r="E108" s="3">
        <v>1405</v>
      </c>
      <c r="H108" s="12" t="s">
        <v>19</v>
      </c>
      <c r="I108" t="s">
        <v>967</v>
      </c>
      <c r="J108" s="3">
        <v>1062.5999999999999</v>
      </c>
    </row>
    <row r="109" spans="2:10" x14ac:dyDescent="0.3">
      <c r="B109" t="s">
        <v>82</v>
      </c>
      <c r="C109" t="s">
        <v>19</v>
      </c>
      <c r="D109" s="3">
        <v>179</v>
      </c>
      <c r="E109" s="3">
        <v>9869.0999999999985</v>
      </c>
      <c r="H109" s="12" t="s">
        <v>19</v>
      </c>
      <c r="I109" t="s">
        <v>84</v>
      </c>
      <c r="J109" s="3">
        <v>326.20000000000005</v>
      </c>
    </row>
    <row r="110" spans="2:10" x14ac:dyDescent="0.3">
      <c r="B110" t="s">
        <v>243</v>
      </c>
      <c r="C110" t="s">
        <v>19</v>
      </c>
      <c r="D110" s="3">
        <v>15</v>
      </c>
      <c r="E110" s="3">
        <v>615.29999999999995</v>
      </c>
      <c r="H110" s="12" t="s">
        <v>19</v>
      </c>
      <c r="I110" t="s">
        <v>1383</v>
      </c>
      <c r="J110" s="3">
        <v>167.5</v>
      </c>
    </row>
    <row r="111" spans="2:10" x14ac:dyDescent="0.3">
      <c r="B111" t="s">
        <v>1911</v>
      </c>
      <c r="C111" t="s">
        <v>19</v>
      </c>
      <c r="D111" s="3">
        <v>3</v>
      </c>
      <c r="E111" s="3">
        <v>285</v>
      </c>
      <c r="H111" s="12" t="s">
        <v>19</v>
      </c>
      <c r="I111" t="s">
        <v>24</v>
      </c>
      <c r="J111" s="3">
        <v>16168.7</v>
      </c>
    </row>
    <row r="112" spans="2:10" x14ac:dyDescent="0.3">
      <c r="H112" s="12" t="s">
        <v>19</v>
      </c>
      <c r="I112" t="s">
        <v>2204</v>
      </c>
      <c r="J112" s="3">
        <v>322.40000000000003</v>
      </c>
    </row>
    <row r="113" spans="1:10" x14ac:dyDescent="0.3">
      <c r="H113" s="12" t="s">
        <v>19</v>
      </c>
      <c r="I113" t="s">
        <v>437</v>
      </c>
      <c r="J113" s="3">
        <v>2092.8000000000002</v>
      </c>
    </row>
    <row r="114" spans="1:10" x14ac:dyDescent="0.3">
      <c r="H114" s="12" t="s">
        <v>19</v>
      </c>
      <c r="I114" t="s">
        <v>28</v>
      </c>
      <c r="J114" s="3">
        <v>12662.500000000002</v>
      </c>
    </row>
    <row r="115" spans="1:10" x14ac:dyDescent="0.3">
      <c r="H115" s="12" t="s">
        <v>19</v>
      </c>
      <c r="I115" t="s">
        <v>208</v>
      </c>
      <c r="J115" s="3">
        <v>343.2</v>
      </c>
    </row>
    <row r="116" spans="1:10" x14ac:dyDescent="0.3">
      <c r="A116" s="5" t="s">
        <v>2515</v>
      </c>
      <c r="B116" t="s">
        <v>2503</v>
      </c>
      <c r="H116" s="12" t="s">
        <v>19</v>
      </c>
      <c r="I116" t="s">
        <v>587</v>
      </c>
      <c r="J116" s="3">
        <v>2188.2999999999997</v>
      </c>
    </row>
    <row r="117" spans="1:10" x14ac:dyDescent="0.3">
      <c r="A117" s="6">
        <v>0</v>
      </c>
      <c r="B117" s="3">
        <v>175</v>
      </c>
      <c r="H117" s="12" t="s">
        <v>19</v>
      </c>
      <c r="I117" t="s">
        <v>331</v>
      </c>
      <c r="J117" s="3">
        <v>2661.5999999999995</v>
      </c>
    </row>
    <row r="118" spans="1:10" x14ac:dyDescent="0.3">
      <c r="A118" s="6">
        <v>1</v>
      </c>
      <c r="B118" s="3">
        <v>888</v>
      </c>
      <c r="H118" s="12" t="s">
        <v>19</v>
      </c>
      <c r="I118" t="s">
        <v>86</v>
      </c>
      <c r="J118" s="3">
        <v>887.5</v>
      </c>
    </row>
    <row r="119" spans="1:10" x14ac:dyDescent="0.3">
      <c r="A119" s="6">
        <v>2</v>
      </c>
      <c r="B119" s="3">
        <v>538</v>
      </c>
      <c r="H119" s="12" t="s">
        <v>19</v>
      </c>
      <c r="I119" t="s">
        <v>147</v>
      </c>
      <c r="J119" s="3">
        <v>11354.199999999993</v>
      </c>
    </row>
    <row r="120" spans="1:10" x14ac:dyDescent="0.3">
      <c r="A120" s="6">
        <v>3</v>
      </c>
      <c r="B120" s="3">
        <v>344</v>
      </c>
      <c r="H120" s="12" t="s">
        <v>19</v>
      </c>
      <c r="I120" t="s">
        <v>334</v>
      </c>
      <c r="J120" s="3">
        <v>1558.4</v>
      </c>
    </row>
    <row r="121" spans="1:10" x14ac:dyDescent="0.3">
      <c r="A121" s="6">
        <v>4</v>
      </c>
      <c r="B121" s="3">
        <v>200</v>
      </c>
      <c r="H121" s="12" t="s">
        <v>19</v>
      </c>
      <c r="I121" t="s">
        <v>949</v>
      </c>
      <c r="J121" s="3">
        <v>2223.9</v>
      </c>
    </row>
    <row r="122" spans="1:10" x14ac:dyDescent="0.3">
      <c r="A122" s="6">
        <v>5</v>
      </c>
      <c r="B122" s="3">
        <v>94</v>
      </c>
      <c r="H122" s="12" t="s">
        <v>19</v>
      </c>
      <c r="I122" t="s">
        <v>1426</v>
      </c>
      <c r="J122" s="3">
        <v>26.2</v>
      </c>
    </row>
    <row r="123" spans="1:10" x14ac:dyDescent="0.3">
      <c r="A123" s="6">
        <v>6</v>
      </c>
      <c r="B123" s="3">
        <v>51</v>
      </c>
      <c r="H123" s="12" t="s">
        <v>19</v>
      </c>
      <c r="I123" t="s">
        <v>33</v>
      </c>
      <c r="J123" s="3">
        <v>215551.19999999981</v>
      </c>
    </row>
    <row r="124" spans="1:10" x14ac:dyDescent="0.3">
      <c r="A124" s="6">
        <v>7</v>
      </c>
      <c r="B124" s="3">
        <v>32</v>
      </c>
      <c r="H124" s="12" t="s">
        <v>19</v>
      </c>
      <c r="I124" t="s">
        <v>364</v>
      </c>
      <c r="J124" s="3">
        <v>2687.3999999999996</v>
      </c>
    </row>
    <row r="125" spans="1:10" x14ac:dyDescent="0.3">
      <c r="A125" s="6">
        <v>8</v>
      </c>
      <c r="B125" s="3">
        <v>23</v>
      </c>
      <c r="H125" s="12" t="s">
        <v>19</v>
      </c>
      <c r="I125" t="s">
        <v>545</v>
      </c>
      <c r="J125" s="3">
        <v>1463.3000000000002</v>
      </c>
    </row>
    <row r="126" spans="1:10" x14ac:dyDescent="0.3">
      <c r="A126" s="6">
        <v>9</v>
      </c>
      <c r="B126" s="3">
        <v>9</v>
      </c>
      <c r="H126" s="12" t="s">
        <v>19</v>
      </c>
      <c r="I126" t="s">
        <v>416</v>
      </c>
      <c r="J126" s="3">
        <v>445.79999999999995</v>
      </c>
    </row>
    <row r="127" spans="1:10" x14ac:dyDescent="0.3">
      <c r="A127" s="6">
        <v>10</v>
      </c>
      <c r="B127" s="3">
        <v>8</v>
      </c>
      <c r="H127" s="12" t="s">
        <v>19</v>
      </c>
      <c r="I127" t="s">
        <v>258</v>
      </c>
      <c r="J127" s="3">
        <v>273.59999999999997</v>
      </c>
    </row>
    <row r="128" spans="1:10" x14ac:dyDescent="0.3">
      <c r="A128" s="6">
        <v>11</v>
      </c>
      <c r="B128" s="3">
        <v>11</v>
      </c>
      <c r="H128" s="12" t="s">
        <v>19</v>
      </c>
      <c r="I128" t="s">
        <v>186</v>
      </c>
      <c r="J128" s="3">
        <v>2690.4</v>
      </c>
    </row>
    <row r="129" spans="1:10" x14ac:dyDescent="0.3">
      <c r="A129" s="6">
        <v>12</v>
      </c>
      <c r="B129" s="3">
        <v>4</v>
      </c>
      <c r="H129" s="12" t="s">
        <v>19</v>
      </c>
      <c r="I129" t="s">
        <v>392</v>
      </c>
      <c r="J129" s="3">
        <v>28.4</v>
      </c>
    </row>
    <row r="130" spans="1:10" x14ac:dyDescent="0.3">
      <c r="A130" s="6">
        <v>13</v>
      </c>
      <c r="B130" s="3">
        <v>10</v>
      </c>
      <c r="H130" s="12" t="s">
        <v>19</v>
      </c>
      <c r="I130" t="s">
        <v>670</v>
      </c>
      <c r="J130" s="3">
        <v>204.8</v>
      </c>
    </row>
    <row r="131" spans="1:10" x14ac:dyDescent="0.3">
      <c r="A131" s="6">
        <v>14</v>
      </c>
      <c r="B131" s="3">
        <v>13</v>
      </c>
      <c r="H131" s="12" t="s">
        <v>19</v>
      </c>
      <c r="I131" t="s">
        <v>802</v>
      </c>
      <c r="J131" s="3">
        <v>1607.8999999999999</v>
      </c>
    </row>
    <row r="132" spans="1:10" x14ac:dyDescent="0.3">
      <c r="A132" s="6" t="s">
        <v>2516</v>
      </c>
      <c r="B132" s="3"/>
      <c r="H132" s="12" t="s">
        <v>19</v>
      </c>
      <c r="I132" t="s">
        <v>98</v>
      </c>
      <c r="J132" s="3">
        <v>6444.9</v>
      </c>
    </row>
    <row r="133" spans="1:10" x14ac:dyDescent="0.3">
      <c r="A133" s="6" t="s">
        <v>2517</v>
      </c>
      <c r="B133" s="3">
        <v>2400</v>
      </c>
      <c r="H133" s="12" t="s">
        <v>19</v>
      </c>
      <c r="I133" t="s">
        <v>49</v>
      </c>
      <c r="J133" s="3">
        <v>1809.3</v>
      </c>
    </row>
    <row r="134" spans="1:10" x14ac:dyDescent="0.3">
      <c r="H134" s="12" t="s">
        <v>19</v>
      </c>
      <c r="I134" t="s">
        <v>188</v>
      </c>
      <c r="J134" s="3">
        <v>9680.399999999996</v>
      </c>
    </row>
    <row r="135" spans="1:10" x14ac:dyDescent="0.3">
      <c r="H135" s="12" t="s">
        <v>19</v>
      </c>
      <c r="I135" t="s">
        <v>52</v>
      </c>
      <c r="J135" s="3">
        <v>9414.7999999999993</v>
      </c>
    </row>
    <row r="136" spans="1:10" x14ac:dyDescent="0.3">
      <c r="H136" s="12" t="s">
        <v>19</v>
      </c>
      <c r="I136" t="s">
        <v>338</v>
      </c>
      <c r="J136" s="3">
        <v>206.1</v>
      </c>
    </row>
    <row r="137" spans="1:10" x14ac:dyDescent="0.3">
      <c r="H137" s="12" t="s">
        <v>19</v>
      </c>
      <c r="I137" t="s">
        <v>158</v>
      </c>
      <c r="J137" s="3">
        <v>7691.3</v>
      </c>
    </row>
    <row r="138" spans="1:10" x14ac:dyDescent="0.3">
      <c r="H138" s="12" t="s">
        <v>19</v>
      </c>
      <c r="I138" t="s">
        <v>55</v>
      </c>
      <c r="J138" s="3">
        <v>37784.900000000016</v>
      </c>
    </row>
    <row r="139" spans="1:10" x14ac:dyDescent="0.3">
      <c r="H139" s="12" t="s">
        <v>19</v>
      </c>
      <c r="I139" t="s">
        <v>342</v>
      </c>
      <c r="J139" s="3">
        <v>1129.7</v>
      </c>
    </row>
    <row r="140" spans="1:10" x14ac:dyDescent="0.3">
      <c r="H140" s="12" t="s">
        <v>19</v>
      </c>
      <c r="I140" t="s">
        <v>59</v>
      </c>
      <c r="J140" s="3">
        <v>20988.9</v>
      </c>
    </row>
    <row r="141" spans="1:10" x14ac:dyDescent="0.3">
      <c r="H141" s="12" t="s">
        <v>19</v>
      </c>
      <c r="I141" t="s">
        <v>62</v>
      </c>
      <c r="J141" s="3">
        <v>98367.099999999977</v>
      </c>
    </row>
    <row r="142" spans="1:10" x14ac:dyDescent="0.3">
      <c r="H142" s="12" t="s">
        <v>19</v>
      </c>
      <c r="I142" t="s">
        <v>103</v>
      </c>
      <c r="J142" s="3">
        <v>21911.9</v>
      </c>
    </row>
    <row r="143" spans="1:10" x14ac:dyDescent="0.3">
      <c r="H143" s="12" t="s">
        <v>19</v>
      </c>
      <c r="I143" t="s">
        <v>201</v>
      </c>
      <c r="J143" s="3">
        <v>5441.2</v>
      </c>
    </row>
    <row r="144" spans="1:10" x14ac:dyDescent="0.3">
      <c r="H144" s="12" t="s">
        <v>19</v>
      </c>
      <c r="I144" t="s">
        <v>429</v>
      </c>
      <c r="J144" s="3">
        <v>392.8</v>
      </c>
    </row>
    <row r="145" spans="8:10" x14ac:dyDescent="0.3">
      <c r="H145" s="12" t="s">
        <v>19</v>
      </c>
      <c r="I145" t="s">
        <v>72</v>
      </c>
      <c r="J145" s="3">
        <v>16172.000000000005</v>
      </c>
    </row>
    <row r="146" spans="8:10" x14ac:dyDescent="0.3">
      <c r="H146" s="12" t="s">
        <v>19</v>
      </c>
      <c r="I146" t="s">
        <v>74</v>
      </c>
      <c r="J146" s="3">
        <v>4334.9999999999991</v>
      </c>
    </row>
    <row r="147" spans="8:10" x14ac:dyDescent="0.3">
      <c r="H147" s="12" t="s">
        <v>19</v>
      </c>
      <c r="I147" t="s">
        <v>77</v>
      </c>
      <c r="J147" s="3">
        <v>37449.000000000007</v>
      </c>
    </row>
    <row r="148" spans="8:10" x14ac:dyDescent="0.3">
      <c r="H148" s="12" t="s">
        <v>19</v>
      </c>
      <c r="I148" t="s">
        <v>309</v>
      </c>
      <c r="J148" s="3">
        <v>2447.5</v>
      </c>
    </row>
    <row r="149" spans="8:10" x14ac:dyDescent="0.3">
      <c r="H149" s="12" t="s">
        <v>19</v>
      </c>
      <c r="I149" t="s">
        <v>1116</v>
      </c>
      <c r="J149" s="3">
        <v>3391.1</v>
      </c>
    </row>
    <row r="150" spans="8:10" x14ac:dyDescent="0.3">
      <c r="H150" s="12" t="s">
        <v>19</v>
      </c>
      <c r="I150" t="s">
        <v>700</v>
      </c>
      <c r="J150" s="3">
        <v>30.8</v>
      </c>
    </row>
    <row r="151" spans="8:10" x14ac:dyDescent="0.3">
      <c r="H151" s="12" t="s">
        <v>19</v>
      </c>
      <c r="I151" t="s">
        <v>268</v>
      </c>
      <c r="J151" s="3">
        <v>332.3</v>
      </c>
    </row>
    <row r="152" spans="8:10" x14ac:dyDescent="0.3">
      <c r="H152" s="12" t="s">
        <v>19</v>
      </c>
      <c r="I152" t="s">
        <v>377</v>
      </c>
      <c r="J152" s="3">
        <v>3175.9999999999995</v>
      </c>
    </row>
    <row r="153" spans="8:10" x14ac:dyDescent="0.3">
      <c r="H153" s="12" t="s">
        <v>19</v>
      </c>
      <c r="I153" t="s">
        <v>108</v>
      </c>
      <c r="J153" s="3">
        <v>20939.600000000002</v>
      </c>
    </row>
    <row r="154" spans="8:10" x14ac:dyDescent="0.3">
      <c r="H154" s="12" t="s">
        <v>19</v>
      </c>
      <c r="I154" t="s">
        <v>110</v>
      </c>
      <c r="J154" s="3">
        <v>10185.899999999996</v>
      </c>
    </row>
    <row r="155" spans="8:10" x14ac:dyDescent="0.3">
      <c r="H155" s="12" t="s">
        <v>19</v>
      </c>
      <c r="I155" t="s">
        <v>292</v>
      </c>
      <c r="J155" s="3">
        <v>958.7</v>
      </c>
    </row>
    <row r="156" spans="8:10" x14ac:dyDescent="0.3">
      <c r="H156" s="12" t="s">
        <v>19</v>
      </c>
      <c r="I156" t="s">
        <v>79</v>
      </c>
      <c r="J156" s="3">
        <v>323</v>
      </c>
    </row>
    <row r="157" spans="8:10" x14ac:dyDescent="0.3">
      <c r="H157" s="12" t="s">
        <v>19</v>
      </c>
      <c r="I157" t="s">
        <v>608</v>
      </c>
      <c r="J157" s="3">
        <v>167.70000000000002</v>
      </c>
    </row>
    <row r="158" spans="8:10" x14ac:dyDescent="0.3">
      <c r="H158" s="12" t="s">
        <v>19</v>
      </c>
      <c r="I158" t="s">
        <v>113</v>
      </c>
      <c r="J158" s="3">
        <v>3978.5</v>
      </c>
    </row>
    <row r="159" spans="8:10" x14ac:dyDescent="0.3">
      <c r="H159" s="12" t="s">
        <v>19</v>
      </c>
      <c r="I159" t="s">
        <v>997</v>
      </c>
      <c r="J159" s="3">
        <v>1405</v>
      </c>
    </row>
    <row r="160" spans="8:10" x14ac:dyDescent="0.3">
      <c r="H160" s="12" t="s">
        <v>19</v>
      </c>
      <c r="I160" t="s">
        <v>82</v>
      </c>
      <c r="J160" s="3">
        <v>9869.0999999999985</v>
      </c>
    </row>
    <row r="161" spans="3:10" x14ac:dyDescent="0.3">
      <c r="H161" s="12" t="s">
        <v>19</v>
      </c>
      <c r="I161" t="s">
        <v>243</v>
      </c>
      <c r="J161" s="3">
        <v>615.29999999999995</v>
      </c>
    </row>
    <row r="162" spans="3:10" x14ac:dyDescent="0.3">
      <c r="H162" s="13" t="s">
        <v>19</v>
      </c>
      <c r="I162" t="s">
        <v>1911</v>
      </c>
      <c r="J162" s="3">
        <v>285</v>
      </c>
    </row>
    <row r="173" spans="3:10" x14ac:dyDescent="0.3">
      <c r="C173" s="5" t="s">
        <v>2503</v>
      </c>
      <c r="D173" s="5" t="s">
        <v>2518</v>
      </c>
    </row>
    <row r="174" spans="3:10" x14ac:dyDescent="0.3">
      <c r="C174" s="5" t="s">
        <v>2515</v>
      </c>
      <c r="D174">
        <v>1</v>
      </c>
      <c r="E174">
        <v>2</v>
      </c>
      <c r="F174">
        <v>3</v>
      </c>
      <c r="G174">
        <v>4</v>
      </c>
      <c r="H174">
        <v>5</v>
      </c>
      <c r="I174" t="s">
        <v>2516</v>
      </c>
      <c r="J174" t="s">
        <v>2517</v>
      </c>
    </row>
    <row r="175" spans="3:10" x14ac:dyDescent="0.3">
      <c r="C175" s="6" t="s">
        <v>2527</v>
      </c>
      <c r="D175" s="3"/>
      <c r="E175" s="3"/>
      <c r="F175" s="3"/>
      <c r="G175" s="3"/>
      <c r="H175" s="3"/>
      <c r="I175" s="3"/>
      <c r="J175" s="3"/>
    </row>
    <row r="176" spans="3:10" x14ac:dyDescent="0.3">
      <c r="C176" s="6" t="s">
        <v>2528</v>
      </c>
      <c r="D176" s="3">
        <v>7</v>
      </c>
      <c r="E176" s="3">
        <v>37</v>
      </c>
      <c r="F176" s="3">
        <v>150</v>
      </c>
      <c r="G176" s="3">
        <v>312</v>
      </c>
      <c r="H176" s="3">
        <v>224</v>
      </c>
      <c r="I176" s="3"/>
      <c r="J176" s="3">
        <v>730</v>
      </c>
    </row>
    <row r="177" spans="3:10" x14ac:dyDescent="0.3">
      <c r="C177" s="6" t="s">
        <v>2529</v>
      </c>
      <c r="D177" s="3">
        <v>8</v>
      </c>
      <c r="E177" s="3">
        <v>51</v>
      </c>
      <c r="F177" s="3">
        <v>182</v>
      </c>
      <c r="G177" s="3">
        <v>373</v>
      </c>
      <c r="H177" s="3">
        <v>247</v>
      </c>
      <c r="I177" s="3"/>
      <c r="J177" s="3">
        <v>861</v>
      </c>
    </row>
    <row r="178" spans="3:10" x14ac:dyDescent="0.3">
      <c r="C178" s="6" t="s">
        <v>2530</v>
      </c>
      <c r="D178" s="3">
        <v>6</v>
      </c>
      <c r="E178" s="3">
        <v>39</v>
      </c>
      <c r="F178" s="3">
        <v>163</v>
      </c>
      <c r="G178" s="3">
        <v>351</v>
      </c>
      <c r="H178" s="3">
        <v>250</v>
      </c>
      <c r="I178" s="3"/>
      <c r="J178" s="3">
        <v>809</v>
      </c>
    </row>
    <row r="179" spans="3:10" x14ac:dyDescent="0.3">
      <c r="C179" s="6" t="s">
        <v>2517</v>
      </c>
      <c r="D179" s="3">
        <v>21</v>
      </c>
      <c r="E179" s="3">
        <v>127</v>
      </c>
      <c r="F179" s="3">
        <v>495</v>
      </c>
      <c r="G179" s="3">
        <v>1036</v>
      </c>
      <c r="H179" s="3">
        <v>721</v>
      </c>
      <c r="I179" s="3"/>
      <c r="J179" s="3">
        <v>2400</v>
      </c>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D0228-6AC1-419E-BB52-81462A4F6DD8}">
  <dimension ref="A1"/>
  <sheetViews>
    <sheetView tabSelected="1" zoomScale="78" zoomScaleNormal="78" workbookViewId="0">
      <selection activeCell="O52" sqref="O52"/>
    </sheetView>
  </sheetViews>
  <sheetFormatPr defaultRowHeight="14.4" x14ac:dyDescent="0.3"/>
  <cols>
    <col min="1" max="1" width="3.109375" customWidth="1"/>
    <col min="2" max="2" width="24.44140625" customWidth="1"/>
    <col min="3" max="3" width="3.777343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44D9A-A8F6-41D5-A7FF-19E60C7664FD}">
  <dimension ref="A1:O2401"/>
  <sheetViews>
    <sheetView workbookViewId="0">
      <selection activeCell="A2" sqref="A1:XFD1048576"/>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1" t="s">
        <v>12</v>
      </c>
      <c r="N1" s="1" t="s">
        <v>13</v>
      </c>
      <c r="O1" s="1" t="s">
        <v>14</v>
      </c>
    </row>
    <row r="2" spans="1:15" x14ac:dyDescent="0.3">
      <c r="A2" t="s">
        <v>15</v>
      </c>
      <c r="B2" t="s">
        <v>16</v>
      </c>
      <c r="C2">
        <v>1</v>
      </c>
      <c r="D2">
        <v>10.9</v>
      </c>
      <c r="E2">
        <v>10.9</v>
      </c>
      <c r="F2" s="2">
        <v>45658</v>
      </c>
      <c r="G2" s="2">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2">
        <v>45658</v>
      </c>
      <c r="G3" s="2">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2">
        <v>45658</v>
      </c>
      <c r="G4" s="2">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2">
        <v>45658</v>
      </c>
      <c r="G5" s="2">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2">
        <v>45658</v>
      </c>
      <c r="G6" s="2">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2">
        <v>45658</v>
      </c>
      <c r="G7" s="2">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2">
        <v>45658</v>
      </c>
      <c r="G8" s="2">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2">
        <v>45658</v>
      </c>
      <c r="G9" s="2">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2">
        <v>45658</v>
      </c>
      <c r="G10" s="2">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2">
        <v>45658</v>
      </c>
      <c r="G11" s="2">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2">
        <v>45658</v>
      </c>
      <c r="G12" s="2">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2">
        <v>45658</v>
      </c>
      <c r="G13" s="2">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2">
        <v>45658</v>
      </c>
      <c r="G14" s="2">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2">
        <v>45658</v>
      </c>
      <c r="G15" s="2">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2">
        <v>45658</v>
      </c>
      <c r="G16" s="2">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2">
        <v>45658</v>
      </c>
      <c r="G17" s="2">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2">
        <v>45658</v>
      </c>
      <c r="G18" s="2">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2">
        <v>45658</v>
      </c>
      <c r="G19" s="2">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2">
        <v>45658</v>
      </c>
      <c r="G20" s="2">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2">
        <v>45658</v>
      </c>
      <c r="G21" s="2">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2">
        <v>45658</v>
      </c>
      <c r="G22" s="2">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2">
        <v>45658</v>
      </c>
      <c r="G23" s="2">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2">
        <v>45658</v>
      </c>
      <c r="G24" s="2">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2">
        <v>45658</v>
      </c>
      <c r="G25" s="2">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2">
        <v>45658</v>
      </c>
      <c r="G26" s="2">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2">
        <v>45658</v>
      </c>
      <c r="G27" s="2">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2">
        <v>45658</v>
      </c>
      <c r="G28" s="2">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2">
        <v>45658</v>
      </c>
      <c r="G29" s="2">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2">
        <v>45658</v>
      </c>
      <c r="G30" s="2">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2">
        <v>45658</v>
      </c>
      <c r="G31" s="2">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2">
        <v>45658</v>
      </c>
      <c r="G32" s="2">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2">
        <v>45658</v>
      </c>
      <c r="G33" s="2">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2">
        <v>45658</v>
      </c>
      <c r="G34" s="2">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2">
        <v>45658</v>
      </c>
      <c r="G35" s="2">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2">
        <v>45658</v>
      </c>
      <c r="G36" s="2">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2">
        <v>45658</v>
      </c>
      <c r="G37" s="2">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2">
        <v>45658</v>
      </c>
      <c r="G38" s="2">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2">
        <v>45658</v>
      </c>
      <c r="G39" s="2">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2">
        <v>45659</v>
      </c>
      <c r="G40" s="2">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2">
        <v>45659</v>
      </c>
      <c r="G41" s="2">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2">
        <v>45659</v>
      </c>
      <c r="G42" s="2">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2">
        <v>45659</v>
      </c>
      <c r="G43" s="2">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2">
        <v>45659</v>
      </c>
      <c r="G44" s="2">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2">
        <v>45659</v>
      </c>
      <c r="G45" s="2">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2">
        <v>45659</v>
      </c>
      <c r="G46" s="2">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2">
        <v>45659</v>
      </c>
      <c r="G47" s="2">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2">
        <v>45659</v>
      </c>
      <c r="G48" s="2">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2">
        <v>45659</v>
      </c>
      <c r="G49" s="2">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2">
        <v>45659</v>
      </c>
      <c r="G50" s="2">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2">
        <v>45659</v>
      </c>
      <c r="G51" s="2">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2">
        <v>45659</v>
      </c>
      <c r="G52" s="2">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2">
        <v>45659</v>
      </c>
      <c r="G53" s="2">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2">
        <v>45659</v>
      </c>
      <c r="G54" s="2">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2">
        <v>45659</v>
      </c>
      <c r="G55" s="2">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2">
        <v>45659</v>
      </c>
      <c r="G56" s="2">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2">
        <v>45659</v>
      </c>
      <c r="G57" s="2">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2">
        <v>45659</v>
      </c>
      <c r="G58" s="2">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2">
        <v>45660</v>
      </c>
      <c r="G59" s="2">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2">
        <v>45660</v>
      </c>
      <c r="G60" s="2">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2">
        <v>45660</v>
      </c>
      <c r="G61" s="2">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2">
        <v>45660</v>
      </c>
      <c r="G62" s="2">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2">
        <v>45660</v>
      </c>
      <c r="G63" s="2">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2">
        <v>45660</v>
      </c>
      <c r="G64" s="2">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2">
        <v>45660</v>
      </c>
      <c r="G65" s="2">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2">
        <v>45660</v>
      </c>
      <c r="G66" s="2">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2">
        <v>45660</v>
      </c>
      <c r="G67" s="2">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2">
        <v>45660</v>
      </c>
      <c r="G68" s="2">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2">
        <v>45660</v>
      </c>
      <c r="G69" s="2">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2">
        <v>45660</v>
      </c>
      <c r="G70" s="2">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2">
        <v>45660</v>
      </c>
      <c r="G71" s="2">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2">
        <v>45660</v>
      </c>
      <c r="G72" s="2">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2">
        <v>45660</v>
      </c>
      <c r="G73" s="2">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2">
        <v>45660</v>
      </c>
      <c r="G74" s="2">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2">
        <v>45660</v>
      </c>
      <c r="G75" s="2">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2">
        <v>45660</v>
      </c>
      <c r="G76" s="2">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2">
        <v>45660</v>
      </c>
      <c r="G77" s="2">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2">
        <v>45660</v>
      </c>
      <c r="G78" s="2">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2">
        <v>45660</v>
      </c>
      <c r="G79" s="2">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2">
        <v>45660</v>
      </c>
      <c r="G80" s="2">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2">
        <v>45660</v>
      </c>
      <c r="G81" s="2">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2">
        <v>45660</v>
      </c>
      <c r="G82" s="2">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2">
        <v>45660</v>
      </c>
      <c r="G83" s="2">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2">
        <v>45660</v>
      </c>
      <c r="G84" s="2">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2">
        <v>45661</v>
      </c>
      <c r="G85" s="2">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2">
        <v>45661</v>
      </c>
      <c r="G86" s="2">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2">
        <v>45661</v>
      </c>
      <c r="G87" s="2">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2">
        <v>45661</v>
      </c>
      <c r="G88" s="2">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2">
        <v>45661</v>
      </c>
      <c r="G89" s="2">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2">
        <v>45661</v>
      </c>
      <c r="G90" s="2">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2">
        <v>45661</v>
      </c>
      <c r="G91" s="2">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2">
        <v>45661</v>
      </c>
      <c r="G92" s="2">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2">
        <v>45661</v>
      </c>
      <c r="G93" s="2">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2">
        <v>45661</v>
      </c>
      <c r="G94" s="2">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2">
        <v>45661</v>
      </c>
      <c r="G95" s="2">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2">
        <v>45661</v>
      </c>
      <c r="G96" s="2">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2">
        <v>45661</v>
      </c>
      <c r="G97" s="2">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2">
        <v>45661</v>
      </c>
      <c r="G98" s="2">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2">
        <v>45661</v>
      </c>
      <c r="G99" s="2">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2">
        <v>45661</v>
      </c>
      <c r="G100" s="2">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2">
        <v>45661</v>
      </c>
      <c r="G101" s="2">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2">
        <v>45661</v>
      </c>
      <c r="G102" s="2">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2">
        <v>45662</v>
      </c>
      <c r="G103" s="2">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2">
        <v>45662</v>
      </c>
      <c r="G104" s="2">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2">
        <v>45662</v>
      </c>
      <c r="G105" s="2">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2">
        <v>45662</v>
      </c>
      <c r="G106" s="2">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2">
        <v>45662</v>
      </c>
      <c r="G107" s="2">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2">
        <v>45662</v>
      </c>
      <c r="G108" s="2">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2">
        <v>45662</v>
      </c>
      <c r="G109" s="2">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2">
        <v>45662</v>
      </c>
      <c r="G110" s="2">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2">
        <v>45662</v>
      </c>
      <c r="G111" s="2">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2">
        <v>45662</v>
      </c>
      <c r="G112" s="2">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2">
        <v>45662</v>
      </c>
      <c r="G113" s="2">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2">
        <v>45662</v>
      </c>
      <c r="G114" s="2">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2">
        <v>45662</v>
      </c>
      <c r="G115" s="2">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2">
        <v>45662</v>
      </c>
      <c r="G116" s="2">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2">
        <v>45662</v>
      </c>
      <c r="G117" s="2">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2">
        <v>45662</v>
      </c>
      <c r="G118" s="2">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2">
        <v>45662</v>
      </c>
      <c r="G119" s="2">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2">
        <v>45662</v>
      </c>
      <c r="G120" s="2">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2">
        <v>45662</v>
      </c>
      <c r="G121" s="2">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2">
        <v>45662</v>
      </c>
      <c r="G122" s="2">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2">
        <v>45662</v>
      </c>
      <c r="G123" s="2">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2">
        <v>45662</v>
      </c>
      <c r="G124" s="2">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2">
        <v>45662</v>
      </c>
      <c r="G125" s="2">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2">
        <v>45662</v>
      </c>
      <c r="G126" s="2">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2">
        <v>45662</v>
      </c>
      <c r="G127" s="2">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2">
        <v>45662</v>
      </c>
      <c r="G128" s="2">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2">
        <v>45663</v>
      </c>
      <c r="G129" s="2">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2">
        <v>45663</v>
      </c>
      <c r="G130" s="2">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2">
        <v>45663</v>
      </c>
      <c r="G131" s="2">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2">
        <v>45663</v>
      </c>
      <c r="G132" s="2">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2">
        <v>45663</v>
      </c>
      <c r="G133" s="2">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2">
        <v>45663</v>
      </c>
      <c r="G134" s="2">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2">
        <v>45663</v>
      </c>
      <c r="G135" s="2">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2">
        <v>45663</v>
      </c>
      <c r="G136" s="2">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2">
        <v>45663</v>
      </c>
      <c r="G137" s="2">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2">
        <v>45663</v>
      </c>
      <c r="G138" s="2">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2">
        <v>45663</v>
      </c>
      <c r="G139" s="2">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2">
        <v>45663</v>
      </c>
      <c r="G140" s="2">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2">
        <v>45663</v>
      </c>
      <c r="G141" s="2">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2">
        <v>45663</v>
      </c>
      <c r="G142" s="2">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2">
        <v>45663</v>
      </c>
      <c r="G143" s="2">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2">
        <v>45663</v>
      </c>
      <c r="G144" s="2">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2">
        <v>45663</v>
      </c>
      <c r="G145" s="2">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2">
        <v>45663</v>
      </c>
      <c r="G146" s="2">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2">
        <v>45663</v>
      </c>
      <c r="G147" s="2">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2">
        <v>45663</v>
      </c>
      <c r="G148" s="2">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2">
        <v>45663</v>
      </c>
      <c r="G149" s="2">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2">
        <v>45663</v>
      </c>
      <c r="G150" s="2">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2">
        <v>45663</v>
      </c>
      <c r="G151" s="2">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2">
        <v>45663</v>
      </c>
      <c r="G152" s="2">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2">
        <v>45664</v>
      </c>
      <c r="G153" s="2">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2">
        <v>45664</v>
      </c>
      <c r="G154" s="2">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2">
        <v>45664</v>
      </c>
      <c r="G155" s="2">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2">
        <v>45664</v>
      </c>
      <c r="G156" s="2">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2">
        <v>45664</v>
      </c>
      <c r="G157" s="2">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2">
        <v>45664</v>
      </c>
      <c r="G158" s="2">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2">
        <v>45664</v>
      </c>
      <c r="G159" s="2">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2">
        <v>45664</v>
      </c>
      <c r="G160" s="2">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2">
        <v>45664</v>
      </c>
      <c r="G161" s="2">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2">
        <v>45664</v>
      </c>
      <c r="G162" s="2">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2">
        <v>45664</v>
      </c>
      <c r="G163" s="2">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2">
        <v>45664</v>
      </c>
      <c r="G164" s="2">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2">
        <v>45664</v>
      </c>
      <c r="G165" s="2">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2">
        <v>45664</v>
      </c>
      <c r="G166" s="2">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2">
        <v>45664</v>
      </c>
      <c r="G167" s="2">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2">
        <v>45664</v>
      </c>
      <c r="G168" s="2">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2">
        <v>45664</v>
      </c>
      <c r="G169" s="2">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2">
        <v>45664</v>
      </c>
      <c r="G170" s="2">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2">
        <v>45664</v>
      </c>
      <c r="G171" s="2">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2">
        <v>45664</v>
      </c>
      <c r="G172" s="2">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2">
        <v>45664</v>
      </c>
      <c r="G173" s="2">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2">
        <v>45664</v>
      </c>
      <c r="G174" s="2">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2">
        <v>45664</v>
      </c>
      <c r="G175" s="2">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2">
        <v>45664</v>
      </c>
      <c r="G176" s="2">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2">
        <v>45664</v>
      </c>
      <c r="G177" s="2">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2">
        <v>45664</v>
      </c>
      <c r="G178" s="2">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2">
        <v>45664</v>
      </c>
      <c r="G179" s="2">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2">
        <v>45664</v>
      </c>
      <c r="G180" s="2">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2">
        <v>45664</v>
      </c>
      <c r="G181" s="2">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2">
        <v>45664</v>
      </c>
      <c r="G182" s="2">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2">
        <v>45664</v>
      </c>
      <c r="G183" s="2">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2">
        <v>45665</v>
      </c>
      <c r="G184" s="2">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2">
        <v>45665</v>
      </c>
      <c r="G185" s="2">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2">
        <v>45665</v>
      </c>
      <c r="G186" s="2">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2">
        <v>45665</v>
      </c>
      <c r="G187" s="2">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2">
        <v>45665</v>
      </c>
      <c r="G188" s="2">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2">
        <v>45665</v>
      </c>
      <c r="G189" s="2">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2">
        <v>45665</v>
      </c>
      <c r="G190" s="2">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2">
        <v>45665</v>
      </c>
      <c r="G191" s="2">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2">
        <v>45665</v>
      </c>
      <c r="G192" s="2">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2">
        <v>45665</v>
      </c>
      <c r="G193" s="2">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2">
        <v>45665</v>
      </c>
      <c r="G194" s="2">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2">
        <v>45665</v>
      </c>
      <c r="G195" s="2">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2">
        <v>45665</v>
      </c>
      <c r="G196" s="2">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2">
        <v>45665</v>
      </c>
      <c r="G197" s="2">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2">
        <v>45665</v>
      </c>
      <c r="G198" s="2">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2">
        <v>45665</v>
      </c>
      <c r="G199" s="2">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2">
        <v>45665</v>
      </c>
      <c r="G200" s="2">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2">
        <v>45665</v>
      </c>
      <c r="G201" s="2">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2">
        <v>45665</v>
      </c>
      <c r="G202" s="2">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2">
        <v>45665</v>
      </c>
      <c r="G203" s="2">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2">
        <v>45666</v>
      </c>
      <c r="G204" s="2">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2">
        <v>45666</v>
      </c>
      <c r="G205" s="2">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2">
        <v>45666</v>
      </c>
      <c r="G206" s="2">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2">
        <v>45666</v>
      </c>
      <c r="G207" s="2">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2">
        <v>45666</v>
      </c>
      <c r="G208" s="2">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2">
        <v>45666</v>
      </c>
      <c r="G209" s="2">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2">
        <v>45666</v>
      </c>
      <c r="G210" s="2">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2">
        <v>45666</v>
      </c>
      <c r="G211" s="2">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2">
        <v>45666</v>
      </c>
      <c r="G212" s="2">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2">
        <v>45666</v>
      </c>
      <c r="G213" s="2">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2">
        <v>45666</v>
      </c>
      <c r="G214" s="2">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2">
        <v>45666</v>
      </c>
      <c r="G215" s="2">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2">
        <v>45666</v>
      </c>
      <c r="G216" s="2">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2">
        <v>45666</v>
      </c>
      <c r="G217" s="2">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2">
        <v>45666</v>
      </c>
      <c r="G218" s="2">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2">
        <v>45666</v>
      </c>
      <c r="G219" s="2">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2">
        <v>45667</v>
      </c>
      <c r="G220" s="2">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2">
        <v>45667</v>
      </c>
      <c r="G221" s="2">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2">
        <v>45667</v>
      </c>
      <c r="G222" s="2">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2">
        <v>45667</v>
      </c>
      <c r="G223" s="2">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2">
        <v>45667</v>
      </c>
      <c r="G224" s="2">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2">
        <v>45667</v>
      </c>
      <c r="G225" s="2">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2">
        <v>45667</v>
      </c>
      <c r="G226" s="2">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2">
        <v>45667</v>
      </c>
      <c r="G227" s="2">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2">
        <v>45667</v>
      </c>
      <c r="G228" s="2">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2">
        <v>45667</v>
      </c>
      <c r="G229" s="2">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2">
        <v>45667</v>
      </c>
      <c r="G230" s="2">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2">
        <v>45667</v>
      </c>
      <c r="G231" s="2">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2">
        <v>45667</v>
      </c>
      <c r="G232" s="2">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2">
        <v>45667</v>
      </c>
      <c r="G233" s="2">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2">
        <v>45667</v>
      </c>
      <c r="G234" s="2">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2">
        <v>45667</v>
      </c>
      <c r="G235" s="2">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2">
        <v>45667</v>
      </c>
      <c r="G236" s="2">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2">
        <v>45667</v>
      </c>
      <c r="G237" s="2">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2">
        <v>45667</v>
      </c>
      <c r="G238" s="2">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2">
        <v>45667</v>
      </c>
      <c r="G239" s="2">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2">
        <v>45667</v>
      </c>
      <c r="G240" s="2">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2">
        <v>45667</v>
      </c>
      <c r="G241" s="2">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2">
        <v>45667</v>
      </c>
      <c r="G242" s="2">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2">
        <v>45667</v>
      </c>
      <c r="G243" s="2">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2">
        <v>45668</v>
      </c>
      <c r="G244" s="2">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2">
        <v>45668</v>
      </c>
      <c r="G245" s="2">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2">
        <v>45668</v>
      </c>
      <c r="G246" s="2">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2">
        <v>45668</v>
      </c>
      <c r="G247" s="2">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2">
        <v>45668</v>
      </c>
      <c r="G248" s="2">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2">
        <v>45668</v>
      </c>
      <c r="G249" s="2">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2">
        <v>45668</v>
      </c>
      <c r="G250" s="2">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2">
        <v>45668</v>
      </c>
      <c r="G251" s="2">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2">
        <v>45668</v>
      </c>
      <c r="G252" s="2">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2">
        <v>45668</v>
      </c>
      <c r="G253" s="2">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2">
        <v>45668</v>
      </c>
      <c r="G254" s="2">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2">
        <v>45668</v>
      </c>
      <c r="G255" s="2">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2">
        <v>45668</v>
      </c>
      <c r="G256" s="2">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2">
        <v>45668</v>
      </c>
      <c r="G257" s="2">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2">
        <v>45669</v>
      </c>
      <c r="G258" s="2">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2">
        <v>45669</v>
      </c>
      <c r="G259" s="2">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2">
        <v>45669</v>
      </c>
      <c r="G260" s="2">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2">
        <v>45669</v>
      </c>
      <c r="G261" s="2">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2">
        <v>45669</v>
      </c>
      <c r="G262" s="2">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2">
        <v>45669</v>
      </c>
      <c r="G263" s="2">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2">
        <v>45669</v>
      </c>
      <c r="G264" s="2">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2">
        <v>45669</v>
      </c>
      <c r="G265" s="2">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2">
        <v>45669</v>
      </c>
      <c r="G266" s="2">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2">
        <v>45669</v>
      </c>
      <c r="G267" s="2">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2">
        <v>45669</v>
      </c>
      <c r="G268" s="2">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2">
        <v>45669</v>
      </c>
      <c r="G269" s="2">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2">
        <v>45669</v>
      </c>
      <c r="G270" s="2">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2">
        <v>45669</v>
      </c>
      <c r="G271" s="2">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2">
        <v>45669</v>
      </c>
      <c r="G272" s="2">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2">
        <v>45669</v>
      </c>
      <c r="G273" s="2">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2">
        <v>45669</v>
      </c>
      <c r="G274" s="2">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2">
        <v>45669</v>
      </c>
      <c r="G275" s="2">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2">
        <v>45669</v>
      </c>
      <c r="G276" s="2">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2">
        <v>45669</v>
      </c>
      <c r="G277" s="2">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2">
        <v>45669</v>
      </c>
      <c r="G278" s="2">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2">
        <v>45669</v>
      </c>
      <c r="G279" s="2">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2">
        <v>45670</v>
      </c>
      <c r="G280" s="2">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2">
        <v>45670</v>
      </c>
      <c r="G281" s="2">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2">
        <v>45670</v>
      </c>
      <c r="G282" s="2">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2">
        <v>45670</v>
      </c>
      <c r="G283" s="2">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2">
        <v>45670</v>
      </c>
      <c r="G284" s="2">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2">
        <v>45670</v>
      </c>
      <c r="G285" s="2">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2">
        <v>45670</v>
      </c>
      <c r="G286" s="2">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2">
        <v>45670</v>
      </c>
      <c r="G287" s="2">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2">
        <v>45670</v>
      </c>
      <c r="G288" s="2">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2">
        <v>45670</v>
      </c>
      <c r="G289" s="2">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2">
        <v>45670</v>
      </c>
      <c r="G290" s="2">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2">
        <v>45670</v>
      </c>
      <c r="G291" s="2">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2">
        <v>45670</v>
      </c>
      <c r="G292" s="2">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2">
        <v>45670</v>
      </c>
      <c r="G293" s="2">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2">
        <v>45670</v>
      </c>
      <c r="G294" s="2">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2">
        <v>45670</v>
      </c>
      <c r="G295" s="2">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2">
        <v>45670</v>
      </c>
      <c r="G296" s="2">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2">
        <v>45670</v>
      </c>
      <c r="G297" s="2">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2">
        <v>45670</v>
      </c>
      <c r="G298" s="2">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2">
        <v>45670</v>
      </c>
      <c r="G299" s="2">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2">
        <v>45670</v>
      </c>
      <c r="G300" s="2">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2">
        <v>45670</v>
      </c>
      <c r="G301" s="2">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2">
        <v>45670</v>
      </c>
      <c r="G302" s="2">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2">
        <v>45670</v>
      </c>
      <c r="G303" s="2">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2">
        <v>45670</v>
      </c>
      <c r="G304" s="2">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2">
        <v>45670</v>
      </c>
      <c r="G305" s="2">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2">
        <v>45670</v>
      </c>
      <c r="G306" s="2">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2">
        <v>45670</v>
      </c>
      <c r="G307" s="2">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2">
        <v>45670</v>
      </c>
      <c r="G308" s="2">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2">
        <v>45670</v>
      </c>
      <c r="G309" s="2">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2">
        <v>45671</v>
      </c>
      <c r="G310" s="2">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2">
        <v>45671</v>
      </c>
      <c r="G311" s="2">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2">
        <v>45671</v>
      </c>
      <c r="G312" s="2">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2">
        <v>45671</v>
      </c>
      <c r="G313" s="2">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2">
        <v>45671</v>
      </c>
      <c r="G314" s="2">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2">
        <v>45671</v>
      </c>
      <c r="G315" s="2">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2">
        <v>45671</v>
      </c>
      <c r="G316" s="2">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2">
        <v>45671</v>
      </c>
      <c r="G317" s="2">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2">
        <v>45671</v>
      </c>
      <c r="G318" s="2">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2">
        <v>45671</v>
      </c>
      <c r="G319" s="2">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2">
        <v>45671</v>
      </c>
      <c r="G320" s="2">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2">
        <v>45671</v>
      </c>
      <c r="G321" s="2">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2">
        <v>45671</v>
      </c>
      <c r="G322" s="2">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2">
        <v>45671</v>
      </c>
      <c r="G323" s="2">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2">
        <v>45671</v>
      </c>
      <c r="G324" s="2">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2">
        <v>45671</v>
      </c>
      <c r="G325" s="2">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2">
        <v>45671</v>
      </c>
      <c r="G326" s="2">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2">
        <v>45672</v>
      </c>
      <c r="G327" s="2">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2">
        <v>45672</v>
      </c>
      <c r="G328" s="2">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2">
        <v>45672</v>
      </c>
      <c r="G329" s="2">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2">
        <v>45672</v>
      </c>
      <c r="G330" s="2">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2">
        <v>45672</v>
      </c>
      <c r="G331" s="2">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2">
        <v>45672</v>
      </c>
      <c r="G332" s="2">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2">
        <v>45672</v>
      </c>
      <c r="G333" s="2">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2">
        <v>45672</v>
      </c>
      <c r="G334" s="2">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2">
        <v>45672</v>
      </c>
      <c r="G335" s="2">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2">
        <v>45672</v>
      </c>
      <c r="G336" s="2">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2">
        <v>45672</v>
      </c>
      <c r="G337" s="2">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2">
        <v>45672</v>
      </c>
      <c r="G338" s="2">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2">
        <v>45672</v>
      </c>
      <c r="G339" s="2">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2">
        <v>45672</v>
      </c>
      <c r="G340" s="2">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2">
        <v>45672</v>
      </c>
      <c r="G341" s="2">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2">
        <v>45672</v>
      </c>
      <c r="G342" s="2">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2">
        <v>45672</v>
      </c>
      <c r="G343" s="2">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2">
        <v>45672</v>
      </c>
      <c r="G344" s="2">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2">
        <v>45672</v>
      </c>
      <c r="G345" s="2">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2">
        <v>45672</v>
      </c>
      <c r="G346" s="2">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2">
        <v>45672</v>
      </c>
      <c r="G347" s="2">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2">
        <v>45672</v>
      </c>
      <c r="G348" s="2">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2">
        <v>45672</v>
      </c>
      <c r="G349" s="2">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2">
        <v>45672</v>
      </c>
      <c r="G350" s="2">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2">
        <v>45672</v>
      </c>
      <c r="G351" s="2">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2">
        <v>45672</v>
      </c>
      <c r="G352" s="2">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2">
        <v>45672</v>
      </c>
      <c r="G353" s="2">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2">
        <v>45672</v>
      </c>
      <c r="G354" s="2">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2">
        <v>45673</v>
      </c>
      <c r="G355" s="2">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2">
        <v>45673</v>
      </c>
      <c r="G356" s="2">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2">
        <v>45673</v>
      </c>
      <c r="G357" s="2">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2">
        <v>45673</v>
      </c>
      <c r="G358" s="2">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2">
        <v>45673</v>
      </c>
      <c r="G359" s="2">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2">
        <v>45673</v>
      </c>
      <c r="G360" s="2">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2">
        <v>45673</v>
      </c>
      <c r="G361" s="2">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2">
        <v>45673</v>
      </c>
      <c r="G362" s="2">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2">
        <v>45673</v>
      </c>
      <c r="G363" s="2">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2">
        <v>45673</v>
      </c>
      <c r="G364" s="2">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2">
        <v>45673</v>
      </c>
      <c r="G365" s="2">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2">
        <v>45673</v>
      </c>
      <c r="G366" s="2">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2">
        <v>45673</v>
      </c>
      <c r="G367" s="2">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2">
        <v>45673</v>
      </c>
      <c r="G368" s="2">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2">
        <v>45673</v>
      </c>
      <c r="G369" s="2">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2">
        <v>45673</v>
      </c>
      <c r="G370" s="2">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2">
        <v>45673</v>
      </c>
      <c r="G371" s="2">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2">
        <v>45673</v>
      </c>
      <c r="G372" s="2">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2">
        <v>45674</v>
      </c>
      <c r="G373" s="2">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2">
        <v>45674</v>
      </c>
      <c r="G374" s="2">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2">
        <v>45674</v>
      </c>
      <c r="G375" s="2">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2">
        <v>45674</v>
      </c>
      <c r="G376" s="2">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2">
        <v>45674</v>
      </c>
      <c r="G377" s="2">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2">
        <v>45674</v>
      </c>
      <c r="G378" s="2">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2">
        <v>45674</v>
      </c>
      <c r="G379" s="2">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2">
        <v>45674</v>
      </c>
      <c r="G380" s="2">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2">
        <v>45674</v>
      </c>
      <c r="G381" s="2">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2">
        <v>45674</v>
      </c>
      <c r="G382" s="2">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2">
        <v>45674</v>
      </c>
      <c r="G383" s="2">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2">
        <v>45674</v>
      </c>
      <c r="G384" s="2">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2">
        <v>45674</v>
      </c>
      <c r="G385" s="2">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2">
        <v>45674</v>
      </c>
      <c r="G386" s="2">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2">
        <v>45674</v>
      </c>
      <c r="G387" s="2">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2">
        <v>45674</v>
      </c>
      <c r="G388" s="2">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2">
        <v>45674</v>
      </c>
      <c r="G389" s="2">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2">
        <v>45674</v>
      </c>
      <c r="G390" s="2">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2">
        <v>45674</v>
      </c>
      <c r="G391" s="2">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2">
        <v>45674</v>
      </c>
      <c r="G392" s="2">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2">
        <v>45675</v>
      </c>
      <c r="G393" s="2">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2">
        <v>45675</v>
      </c>
      <c r="G394" s="2">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2">
        <v>45675</v>
      </c>
      <c r="G395" s="2">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2">
        <v>45675</v>
      </c>
      <c r="G396" s="2">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2">
        <v>45675</v>
      </c>
      <c r="G397" s="2">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2">
        <v>45675</v>
      </c>
      <c r="G398" s="2">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2">
        <v>45675</v>
      </c>
      <c r="G399" s="2">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2">
        <v>45675</v>
      </c>
      <c r="G400" s="2">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2">
        <v>45675</v>
      </c>
      <c r="G401" s="2">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2">
        <v>45675</v>
      </c>
      <c r="G402" s="2">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2">
        <v>45675</v>
      </c>
      <c r="G403" s="2">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2">
        <v>45675</v>
      </c>
      <c r="G404" s="2">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2">
        <v>45675</v>
      </c>
      <c r="G405" s="2">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2">
        <v>45675</v>
      </c>
      <c r="G406" s="2">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2">
        <v>45675</v>
      </c>
      <c r="G407" s="2">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2">
        <v>45675</v>
      </c>
      <c r="G408" s="2">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2">
        <v>45676</v>
      </c>
      <c r="G409" s="2">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2">
        <v>45676</v>
      </c>
      <c r="G410" s="2">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2">
        <v>45676</v>
      </c>
      <c r="G411" s="2">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2">
        <v>45676</v>
      </c>
      <c r="G412" s="2">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2">
        <v>45676</v>
      </c>
      <c r="G413" s="2">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2">
        <v>45676</v>
      </c>
      <c r="G414" s="2">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2">
        <v>45676</v>
      </c>
      <c r="G415" s="2">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2">
        <v>45676</v>
      </c>
      <c r="G416" s="2">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2">
        <v>45676</v>
      </c>
      <c r="G417" s="2">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2">
        <v>45676</v>
      </c>
      <c r="G418" s="2">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2">
        <v>45676</v>
      </c>
      <c r="G419" s="2">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2">
        <v>45676</v>
      </c>
      <c r="G420" s="2">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2">
        <v>45676</v>
      </c>
      <c r="G421" s="2">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2">
        <v>45676</v>
      </c>
      <c r="G422" s="2">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2">
        <v>45676</v>
      </c>
      <c r="G423" s="2">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2">
        <v>45676</v>
      </c>
      <c r="G424" s="2">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2">
        <v>45676</v>
      </c>
      <c r="G425" s="2">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2">
        <v>45676</v>
      </c>
      <c r="G426" s="2">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2">
        <v>45676</v>
      </c>
      <c r="G427" s="2">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2">
        <v>45676</v>
      </c>
      <c r="G428" s="2">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2">
        <v>45676</v>
      </c>
      <c r="G429" s="2">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2">
        <v>45676</v>
      </c>
      <c r="G430" s="2">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2">
        <v>45676</v>
      </c>
      <c r="G431" s="2">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2">
        <v>45676</v>
      </c>
      <c r="G432" s="2">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2">
        <v>45676</v>
      </c>
      <c r="G433" s="2">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2">
        <v>45676</v>
      </c>
      <c r="G434" s="2">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2">
        <v>45676</v>
      </c>
      <c r="G435" s="2">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2">
        <v>45676</v>
      </c>
      <c r="G436" s="2">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2">
        <v>45676</v>
      </c>
      <c r="G437" s="2">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2">
        <v>45676</v>
      </c>
      <c r="G438" s="2">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2">
        <v>45676</v>
      </c>
      <c r="G439" s="2">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2">
        <v>45677</v>
      </c>
      <c r="G440" s="2">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2">
        <v>45677</v>
      </c>
      <c r="G441" s="2">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2">
        <v>45677</v>
      </c>
      <c r="G442" s="2">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2">
        <v>45677</v>
      </c>
      <c r="G443" s="2">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2">
        <v>45677</v>
      </c>
      <c r="G444" s="2">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2">
        <v>45677</v>
      </c>
      <c r="G445" s="2">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2">
        <v>45677</v>
      </c>
      <c r="G446" s="2">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2">
        <v>45677</v>
      </c>
      <c r="G447" s="2">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2">
        <v>45677</v>
      </c>
      <c r="G448" s="2">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2">
        <v>45677</v>
      </c>
      <c r="G449" s="2">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2">
        <v>45677</v>
      </c>
      <c r="G450" s="2">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2">
        <v>45677</v>
      </c>
      <c r="G451" s="2">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2">
        <v>45677</v>
      </c>
      <c r="G452" s="2">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2">
        <v>45677</v>
      </c>
      <c r="G453" s="2">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2">
        <v>45677</v>
      </c>
      <c r="G454" s="2">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2">
        <v>45677</v>
      </c>
      <c r="G455" s="2">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2">
        <v>45677</v>
      </c>
      <c r="G456" s="2">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2">
        <v>45677</v>
      </c>
      <c r="G457" s="2">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2">
        <v>45677</v>
      </c>
      <c r="G458" s="2">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2">
        <v>45678</v>
      </c>
      <c r="G459" s="2">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2">
        <v>45678</v>
      </c>
      <c r="G460" s="2">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2">
        <v>45678</v>
      </c>
      <c r="G461" s="2">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2">
        <v>45678</v>
      </c>
      <c r="G462" s="2">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2">
        <v>45678</v>
      </c>
      <c r="G463" s="2">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2">
        <v>45678</v>
      </c>
      <c r="G464" s="2">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2">
        <v>45678</v>
      </c>
      <c r="G465" s="2">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2">
        <v>45678</v>
      </c>
      <c r="G466" s="2">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2">
        <v>45678</v>
      </c>
      <c r="G467" s="2">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2">
        <v>45678</v>
      </c>
      <c r="G468" s="2">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2">
        <v>45678</v>
      </c>
      <c r="G469" s="2">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2">
        <v>45678</v>
      </c>
      <c r="G470" s="2">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2">
        <v>45678</v>
      </c>
      <c r="G471" s="2">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2">
        <v>45678</v>
      </c>
      <c r="G472" s="2">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2">
        <v>45678</v>
      </c>
      <c r="G473" s="2">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2">
        <v>45678</v>
      </c>
      <c r="G474" s="2">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2">
        <v>45678</v>
      </c>
      <c r="G475" s="2">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2">
        <v>45678</v>
      </c>
      <c r="G476" s="2">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2">
        <v>45678</v>
      </c>
      <c r="G477" s="2">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2">
        <v>45678</v>
      </c>
      <c r="G478" s="2">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2">
        <v>45678</v>
      </c>
      <c r="G479" s="2">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2">
        <v>45678</v>
      </c>
      <c r="G480" s="2">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2">
        <v>45678</v>
      </c>
      <c r="G481" s="2">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2">
        <v>45678</v>
      </c>
      <c r="G482" s="2">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2">
        <v>45678</v>
      </c>
      <c r="G483" s="2">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2">
        <v>45679</v>
      </c>
      <c r="G484" s="2">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2">
        <v>45679</v>
      </c>
      <c r="G485" s="2">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2">
        <v>45679</v>
      </c>
      <c r="G486" s="2">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2">
        <v>45679</v>
      </c>
      <c r="G487" s="2">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2">
        <v>45679</v>
      </c>
      <c r="G488" s="2">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2">
        <v>45679</v>
      </c>
      <c r="G489" s="2">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2">
        <v>45679</v>
      </c>
      <c r="G490" s="2">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2">
        <v>45679</v>
      </c>
      <c r="G491" s="2">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2">
        <v>45679</v>
      </c>
      <c r="G492" s="2">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2">
        <v>45679</v>
      </c>
      <c r="G493" s="2">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2">
        <v>45679</v>
      </c>
      <c r="G494" s="2">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2">
        <v>45679</v>
      </c>
      <c r="G495" s="2">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2">
        <v>45679</v>
      </c>
      <c r="G496" s="2">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2">
        <v>45679</v>
      </c>
      <c r="G497" s="2">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2">
        <v>45679</v>
      </c>
      <c r="G498" s="2">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2">
        <v>45679</v>
      </c>
      <c r="G499" s="2">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2">
        <v>45679</v>
      </c>
      <c r="G500" s="2">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2">
        <v>45679</v>
      </c>
      <c r="G501" s="2">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2">
        <v>45679</v>
      </c>
      <c r="G502" s="2">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2">
        <v>45679</v>
      </c>
      <c r="G503" s="2">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2">
        <v>45679</v>
      </c>
      <c r="G504" s="2">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2">
        <v>45679</v>
      </c>
      <c r="G505" s="2">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2">
        <v>45679</v>
      </c>
      <c r="G506" s="2">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2">
        <v>45679</v>
      </c>
      <c r="G507" s="2">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2">
        <v>45679</v>
      </c>
      <c r="G508" s="2">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2">
        <v>45679</v>
      </c>
      <c r="G509" s="2">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2">
        <v>45679</v>
      </c>
      <c r="G510" s="2">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2">
        <v>45679</v>
      </c>
      <c r="G511" s="2">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2">
        <v>45679</v>
      </c>
      <c r="G512" s="2">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2">
        <v>45679</v>
      </c>
      <c r="G513" s="2">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2">
        <v>45679</v>
      </c>
      <c r="G514" s="2">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2">
        <v>45679</v>
      </c>
      <c r="G515" s="2">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2">
        <v>45680</v>
      </c>
      <c r="G516" s="2">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2">
        <v>45680</v>
      </c>
      <c r="G517" s="2">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2">
        <v>45680</v>
      </c>
      <c r="G518" s="2">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2">
        <v>45680</v>
      </c>
      <c r="G519" s="2">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2">
        <v>45680</v>
      </c>
      <c r="G520" s="2">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2">
        <v>45680</v>
      </c>
      <c r="G521" s="2">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2">
        <v>45680</v>
      </c>
      <c r="G522" s="2">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2">
        <v>45680</v>
      </c>
      <c r="G523" s="2">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2">
        <v>45680</v>
      </c>
      <c r="G524" s="2">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2">
        <v>45680</v>
      </c>
      <c r="G525" s="2">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2">
        <v>45680</v>
      </c>
      <c r="G526" s="2">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2">
        <v>45680</v>
      </c>
      <c r="G527" s="2">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2">
        <v>45680</v>
      </c>
      <c r="G528" s="2">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2">
        <v>45680</v>
      </c>
      <c r="G529" s="2">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2">
        <v>45680</v>
      </c>
      <c r="G530" s="2">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2">
        <v>45680</v>
      </c>
      <c r="G531" s="2">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2">
        <v>45680</v>
      </c>
      <c r="G532" s="2">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2">
        <v>45680</v>
      </c>
      <c r="G533" s="2">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2">
        <v>45680</v>
      </c>
      <c r="G534" s="2">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2">
        <v>45680</v>
      </c>
      <c r="G535" s="2">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2">
        <v>45680</v>
      </c>
      <c r="G536" s="2">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2">
        <v>45680</v>
      </c>
      <c r="G537" s="2">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2">
        <v>45680</v>
      </c>
      <c r="G538" s="2">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2">
        <v>45680</v>
      </c>
      <c r="G539" s="2">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2">
        <v>45680</v>
      </c>
      <c r="G540" s="2">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2">
        <v>45680</v>
      </c>
      <c r="G541" s="2">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2">
        <v>45680</v>
      </c>
      <c r="G542" s="2">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2">
        <v>45680</v>
      </c>
      <c r="G543" s="2">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2">
        <v>45680</v>
      </c>
      <c r="G544" s="2">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2">
        <v>45680</v>
      </c>
      <c r="G545" s="2">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2">
        <v>45680</v>
      </c>
      <c r="G546" s="2">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2">
        <v>45681</v>
      </c>
      <c r="G547" s="2">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2">
        <v>45681</v>
      </c>
      <c r="G548" s="2">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2">
        <v>45681</v>
      </c>
      <c r="G549" s="2">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2">
        <v>45681</v>
      </c>
      <c r="G550" s="2">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2">
        <v>45681</v>
      </c>
      <c r="G551" s="2">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2">
        <v>45681</v>
      </c>
      <c r="G552" s="2">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2">
        <v>45681</v>
      </c>
      <c r="G553" s="2">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2">
        <v>45681</v>
      </c>
      <c r="G554" s="2">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2">
        <v>45681</v>
      </c>
      <c r="G555" s="2">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2">
        <v>45681</v>
      </c>
      <c r="G556" s="2">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2">
        <v>45681</v>
      </c>
      <c r="G557" s="2">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2">
        <v>45681</v>
      </c>
      <c r="G558" s="2">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2">
        <v>45681</v>
      </c>
      <c r="G559" s="2">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2">
        <v>45681</v>
      </c>
      <c r="G560" s="2">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2">
        <v>45681</v>
      </c>
      <c r="G561" s="2">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2">
        <v>45681</v>
      </c>
      <c r="G562" s="2">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2">
        <v>45681</v>
      </c>
      <c r="G563" s="2">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2">
        <v>45681</v>
      </c>
      <c r="G564" s="2">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2">
        <v>45682</v>
      </c>
      <c r="G565" s="2">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2">
        <v>45682</v>
      </c>
      <c r="G566" s="2">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2">
        <v>45682</v>
      </c>
      <c r="G567" s="2">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2">
        <v>45682</v>
      </c>
      <c r="G568" s="2">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2">
        <v>45682</v>
      </c>
      <c r="G569" s="2">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2">
        <v>45682</v>
      </c>
      <c r="G570" s="2">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2">
        <v>45682</v>
      </c>
      <c r="G571" s="2">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2">
        <v>45682</v>
      </c>
      <c r="G572" s="2">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2">
        <v>45682</v>
      </c>
      <c r="G573" s="2">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2">
        <v>45682</v>
      </c>
      <c r="G574" s="2">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2">
        <v>45682</v>
      </c>
      <c r="G575" s="2">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2">
        <v>45682</v>
      </c>
      <c r="G576" s="2">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2">
        <v>45682</v>
      </c>
      <c r="G577" s="2">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2">
        <v>45682</v>
      </c>
      <c r="G578" s="2">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2">
        <v>45682</v>
      </c>
      <c r="G579" s="2">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2">
        <v>45682</v>
      </c>
      <c r="G580" s="2">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2">
        <v>45682</v>
      </c>
      <c r="G581" s="2">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2">
        <v>45682</v>
      </c>
      <c r="G582" s="2">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2">
        <v>45682</v>
      </c>
      <c r="G583" s="2">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2">
        <v>45683</v>
      </c>
      <c r="G584" s="2">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2">
        <v>45683</v>
      </c>
      <c r="G585" s="2">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2">
        <v>45683</v>
      </c>
      <c r="G586" s="2">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2">
        <v>45683</v>
      </c>
      <c r="G587" s="2">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2">
        <v>45683</v>
      </c>
      <c r="G588" s="2">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2">
        <v>45683</v>
      </c>
      <c r="G589" s="2">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2">
        <v>45683</v>
      </c>
      <c r="G590" s="2">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2">
        <v>45683</v>
      </c>
      <c r="G591" s="2">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2">
        <v>45683</v>
      </c>
      <c r="G592" s="2">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2">
        <v>45683</v>
      </c>
      <c r="G593" s="2">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2">
        <v>45683</v>
      </c>
      <c r="G594" s="2">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2">
        <v>45683</v>
      </c>
      <c r="G595" s="2">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2">
        <v>45683</v>
      </c>
      <c r="G596" s="2">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2">
        <v>45683</v>
      </c>
      <c r="G597" s="2">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2">
        <v>45683</v>
      </c>
      <c r="G598" s="2">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2">
        <v>45683</v>
      </c>
      <c r="G599" s="2">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2">
        <v>45683</v>
      </c>
      <c r="G600" s="2">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2">
        <v>45683</v>
      </c>
      <c r="G601" s="2">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2">
        <v>45683</v>
      </c>
      <c r="G602" s="2">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2">
        <v>45683</v>
      </c>
      <c r="G603" s="2">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2">
        <v>45683</v>
      </c>
      <c r="G604" s="2">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2">
        <v>45683</v>
      </c>
      <c r="G605" s="2">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2">
        <v>45683</v>
      </c>
      <c r="G606" s="2">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2">
        <v>45683</v>
      </c>
      <c r="G607" s="2">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2">
        <v>45683</v>
      </c>
      <c r="G608" s="2">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2">
        <v>45683</v>
      </c>
      <c r="G609" s="2">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2">
        <v>45683</v>
      </c>
      <c r="G610" s="2">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2">
        <v>45683</v>
      </c>
      <c r="G611" s="2">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2">
        <v>45683</v>
      </c>
      <c r="G612" s="2">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2">
        <v>45683</v>
      </c>
      <c r="G613" s="2">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2">
        <v>45683</v>
      </c>
      <c r="G614" s="2">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2">
        <v>45683</v>
      </c>
      <c r="G615" s="2">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2">
        <v>45683</v>
      </c>
      <c r="G616" s="2">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2">
        <v>45683</v>
      </c>
      <c r="G617" s="2">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2">
        <v>45683</v>
      </c>
      <c r="G618" s="2">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2">
        <v>45684</v>
      </c>
      <c r="G619" s="2">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2">
        <v>45684</v>
      </c>
      <c r="G620" s="2">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2">
        <v>45684</v>
      </c>
      <c r="G621" s="2">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2">
        <v>45684</v>
      </c>
      <c r="G622" s="2">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2">
        <v>45684</v>
      </c>
      <c r="G623" s="2">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2">
        <v>45684</v>
      </c>
      <c r="G624" s="2">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2">
        <v>45684</v>
      </c>
      <c r="G625" s="2">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2">
        <v>45684</v>
      </c>
      <c r="G626" s="2">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2">
        <v>45684</v>
      </c>
      <c r="G627" s="2">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2">
        <v>45684</v>
      </c>
      <c r="G628" s="2">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2">
        <v>45684</v>
      </c>
      <c r="G629" s="2">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2">
        <v>45684</v>
      </c>
      <c r="G630" s="2">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2">
        <v>45684</v>
      </c>
      <c r="G631" s="2">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2">
        <v>45685</v>
      </c>
      <c r="G632" s="2">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2">
        <v>45685</v>
      </c>
      <c r="G633" s="2">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2">
        <v>45685</v>
      </c>
      <c r="G634" s="2">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2">
        <v>45685</v>
      </c>
      <c r="G635" s="2">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2">
        <v>45685</v>
      </c>
      <c r="G636" s="2">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2">
        <v>45685</v>
      </c>
      <c r="G637" s="2">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2">
        <v>45685</v>
      </c>
      <c r="G638" s="2">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2">
        <v>45685</v>
      </c>
      <c r="G639" s="2">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2">
        <v>45685</v>
      </c>
      <c r="G640" s="2">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2">
        <v>45685</v>
      </c>
      <c r="G641" s="2">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2">
        <v>45685</v>
      </c>
      <c r="G642" s="2">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2">
        <v>45685</v>
      </c>
      <c r="G643" s="2">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2">
        <v>45685</v>
      </c>
      <c r="G644" s="2">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2">
        <v>45685</v>
      </c>
      <c r="G645" s="2">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2">
        <v>45685</v>
      </c>
      <c r="G646" s="2">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2">
        <v>45685</v>
      </c>
      <c r="G647" s="2">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2">
        <v>45686</v>
      </c>
      <c r="G648" s="2">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2">
        <v>45686</v>
      </c>
      <c r="G649" s="2">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2">
        <v>45686</v>
      </c>
      <c r="G650" s="2">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2">
        <v>45686</v>
      </c>
      <c r="G651" s="2">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2">
        <v>45686</v>
      </c>
      <c r="G652" s="2">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2">
        <v>45686</v>
      </c>
      <c r="G653" s="2">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2">
        <v>45686</v>
      </c>
      <c r="G654" s="2">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2">
        <v>45686</v>
      </c>
      <c r="G655" s="2">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2">
        <v>45686</v>
      </c>
      <c r="G656" s="2">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2">
        <v>45686</v>
      </c>
      <c r="G657" s="2">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2">
        <v>45686</v>
      </c>
      <c r="G658" s="2">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2">
        <v>45686</v>
      </c>
      <c r="G659" s="2">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2">
        <v>45686</v>
      </c>
      <c r="G660" s="2">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2">
        <v>45686</v>
      </c>
      <c r="G661" s="2">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2">
        <v>45686</v>
      </c>
      <c r="G662" s="2">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2">
        <v>45686</v>
      </c>
      <c r="G663" s="2">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2">
        <v>45686</v>
      </c>
      <c r="G664" s="2">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2">
        <v>45686</v>
      </c>
      <c r="G665" s="2">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2">
        <v>45686</v>
      </c>
      <c r="G666" s="2">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2">
        <v>45686</v>
      </c>
      <c r="G667" s="2">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2">
        <v>45686</v>
      </c>
      <c r="G668" s="2">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2">
        <v>45686</v>
      </c>
      <c r="G669" s="2">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2">
        <v>45686</v>
      </c>
      <c r="G670" s="2">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2">
        <v>45686</v>
      </c>
      <c r="G671" s="2">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2">
        <v>45686</v>
      </c>
      <c r="G672" s="2">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2">
        <v>45686</v>
      </c>
      <c r="G673" s="2">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2">
        <v>45686</v>
      </c>
      <c r="G674" s="2">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2">
        <v>45686</v>
      </c>
      <c r="G675" s="2">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2">
        <v>45686</v>
      </c>
      <c r="G676" s="2">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2">
        <v>45686</v>
      </c>
      <c r="G677" s="2">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2">
        <v>45686</v>
      </c>
      <c r="G678" s="2">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2">
        <v>45686</v>
      </c>
      <c r="G679" s="2">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2">
        <v>45687</v>
      </c>
      <c r="G680" s="2">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2">
        <v>45687</v>
      </c>
      <c r="G681" s="2">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2">
        <v>45687</v>
      </c>
      <c r="G682" s="2">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2">
        <v>45687</v>
      </c>
      <c r="G683" s="2">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2">
        <v>45687</v>
      </c>
      <c r="G684" s="2">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2">
        <v>45687</v>
      </c>
      <c r="G685" s="2">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2">
        <v>45687</v>
      </c>
      <c r="G686" s="2">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2">
        <v>45687</v>
      </c>
      <c r="G687" s="2">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2">
        <v>45687</v>
      </c>
      <c r="G688" s="2">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2">
        <v>45687</v>
      </c>
      <c r="G689" s="2">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2">
        <v>45687</v>
      </c>
      <c r="G690" s="2">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2">
        <v>45687</v>
      </c>
      <c r="G691" s="2">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2">
        <v>45687</v>
      </c>
      <c r="G692" s="2">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2">
        <v>45687</v>
      </c>
      <c r="G693" s="2">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2">
        <v>45687</v>
      </c>
      <c r="G694" s="2">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2">
        <v>45687</v>
      </c>
      <c r="G695" s="2">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2">
        <v>45687</v>
      </c>
      <c r="G696" s="2">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2">
        <v>45687</v>
      </c>
      <c r="G697" s="2">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2">
        <v>45687</v>
      </c>
      <c r="G698" s="2">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2">
        <v>45687</v>
      </c>
      <c r="G699" s="2">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2">
        <v>45687</v>
      </c>
      <c r="G700" s="2">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2">
        <v>45687</v>
      </c>
      <c r="G701" s="2">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2">
        <v>45687</v>
      </c>
      <c r="G702" s="2">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2">
        <v>45687</v>
      </c>
      <c r="G703" s="2">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2">
        <v>45687</v>
      </c>
      <c r="G704" s="2">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2">
        <v>45687</v>
      </c>
      <c r="G705" s="2">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2">
        <v>45687</v>
      </c>
      <c r="G706" s="2">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2">
        <v>45687</v>
      </c>
      <c r="G707" s="2">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2">
        <v>45687</v>
      </c>
      <c r="G708" s="2">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2">
        <v>45688</v>
      </c>
      <c r="G709" s="2">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2">
        <v>45688</v>
      </c>
      <c r="G710" s="2">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2">
        <v>45688</v>
      </c>
      <c r="G711" s="2">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2">
        <v>45688</v>
      </c>
      <c r="G712" s="2">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2">
        <v>45688</v>
      </c>
      <c r="G713" s="2">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2">
        <v>45688</v>
      </c>
      <c r="G714" s="2">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2">
        <v>45688</v>
      </c>
      <c r="G715" s="2">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2">
        <v>45688</v>
      </c>
      <c r="G716" s="2">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2">
        <v>45688</v>
      </c>
      <c r="G717" s="2">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2">
        <v>45688</v>
      </c>
      <c r="G718" s="2">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2">
        <v>45688</v>
      </c>
      <c r="G719" s="2">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2">
        <v>45688</v>
      </c>
      <c r="G720" s="2">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2">
        <v>45688</v>
      </c>
      <c r="G721" s="2">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2">
        <v>45688</v>
      </c>
      <c r="G722" s="2">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2">
        <v>45688</v>
      </c>
      <c r="G723" s="2">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2">
        <v>45688</v>
      </c>
      <c r="G724" s="2">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2">
        <v>45688</v>
      </c>
      <c r="G725" s="2">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2">
        <v>45688</v>
      </c>
      <c r="G726" s="2">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2">
        <v>45688</v>
      </c>
      <c r="G727" s="2">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2">
        <v>45688</v>
      </c>
      <c r="G728" s="2">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2">
        <v>45688</v>
      </c>
      <c r="G729" s="2">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2">
        <v>45688</v>
      </c>
      <c r="G730" s="2">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2">
        <v>45688</v>
      </c>
      <c r="G731" s="2">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2">
        <v>45689</v>
      </c>
      <c r="G732" s="2">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2">
        <v>45689</v>
      </c>
      <c r="G733" s="2">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2">
        <v>45689</v>
      </c>
      <c r="G734" s="2">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2">
        <v>45689</v>
      </c>
      <c r="G735" s="2">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2">
        <v>45689</v>
      </c>
      <c r="G736" s="2">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2">
        <v>45689</v>
      </c>
      <c r="G737" s="2">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2">
        <v>45689</v>
      </c>
      <c r="G738" s="2">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2">
        <v>45689</v>
      </c>
      <c r="G739" s="2">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2">
        <v>45689</v>
      </c>
      <c r="G740" s="2">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2">
        <v>45689</v>
      </c>
      <c r="G741" s="2">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2">
        <v>45689</v>
      </c>
      <c r="G742" s="2">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2">
        <v>45689</v>
      </c>
      <c r="G743" s="2">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2">
        <v>45689</v>
      </c>
      <c r="G744" s="2">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2">
        <v>45689</v>
      </c>
      <c r="G745" s="2">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2">
        <v>45690</v>
      </c>
      <c r="G746" s="2">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2">
        <v>45690</v>
      </c>
      <c r="G747" s="2">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2">
        <v>45690</v>
      </c>
      <c r="G748" s="2">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2">
        <v>45690</v>
      </c>
      <c r="G749" s="2">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2">
        <v>45690</v>
      </c>
      <c r="G750" s="2">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2">
        <v>45690</v>
      </c>
      <c r="G751" s="2">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2">
        <v>45690</v>
      </c>
      <c r="G752" s="2">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2">
        <v>45690</v>
      </c>
      <c r="G753" s="2">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2">
        <v>45690</v>
      </c>
      <c r="G754" s="2">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2">
        <v>45690</v>
      </c>
      <c r="G755" s="2">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2">
        <v>45690</v>
      </c>
      <c r="G756" s="2">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2">
        <v>45690</v>
      </c>
      <c r="G757" s="2">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2">
        <v>45690</v>
      </c>
      <c r="G758" s="2">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2">
        <v>45690</v>
      </c>
      <c r="G759" s="2">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2">
        <v>45690</v>
      </c>
      <c r="G760" s="2">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2">
        <v>45690</v>
      </c>
      <c r="G761" s="2">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2">
        <v>45690</v>
      </c>
      <c r="G762" s="2">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2">
        <v>45690</v>
      </c>
      <c r="G763" s="2">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2">
        <v>45690</v>
      </c>
      <c r="G764" s="2">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2">
        <v>45690</v>
      </c>
      <c r="G765" s="2">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2">
        <v>45690</v>
      </c>
      <c r="G766" s="2">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2">
        <v>45690</v>
      </c>
      <c r="G767" s="2">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2">
        <v>45690</v>
      </c>
      <c r="G768" s="2">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2">
        <v>45690</v>
      </c>
      <c r="G769" s="2">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2">
        <v>45690</v>
      </c>
      <c r="G770" s="2">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2">
        <v>45690</v>
      </c>
      <c r="G771" s="2">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2">
        <v>45690</v>
      </c>
      <c r="G772" s="2">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2">
        <v>45690</v>
      </c>
      <c r="G773" s="2">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2">
        <v>45690</v>
      </c>
      <c r="G774" s="2">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2">
        <v>45690</v>
      </c>
      <c r="G775" s="2">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2">
        <v>45690</v>
      </c>
      <c r="G776" s="2">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2">
        <v>45690</v>
      </c>
      <c r="G777" s="2">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2">
        <v>45690</v>
      </c>
      <c r="G778" s="2">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2">
        <v>45690</v>
      </c>
      <c r="G779" s="2">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2">
        <v>45690</v>
      </c>
      <c r="G780" s="2">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2">
        <v>45690</v>
      </c>
      <c r="G781" s="2">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2">
        <v>45690</v>
      </c>
      <c r="G782" s="2">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2">
        <v>45691</v>
      </c>
      <c r="G783" s="2">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2">
        <v>45691</v>
      </c>
      <c r="G784" s="2">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2">
        <v>45691</v>
      </c>
      <c r="G785" s="2">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2">
        <v>45691</v>
      </c>
      <c r="G786" s="2">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2">
        <v>45691</v>
      </c>
      <c r="G787" s="2">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2">
        <v>45691</v>
      </c>
      <c r="G788" s="2">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2">
        <v>45691</v>
      </c>
      <c r="G789" s="2">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2">
        <v>45691</v>
      </c>
      <c r="G790" s="2">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2">
        <v>45691</v>
      </c>
      <c r="G791" s="2">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2">
        <v>45691</v>
      </c>
      <c r="G792" s="2">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2">
        <v>45691</v>
      </c>
      <c r="G793" s="2">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2">
        <v>45691</v>
      </c>
      <c r="G794" s="2">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2">
        <v>45691</v>
      </c>
      <c r="G795" s="2">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2">
        <v>45691</v>
      </c>
      <c r="G796" s="2">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2">
        <v>45691</v>
      </c>
      <c r="G797" s="2">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2">
        <v>45691</v>
      </c>
      <c r="G798" s="2">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2">
        <v>45691</v>
      </c>
      <c r="G799" s="2">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2">
        <v>45691</v>
      </c>
      <c r="G800" s="2">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2">
        <v>45691</v>
      </c>
      <c r="G801" s="2">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2">
        <v>45691</v>
      </c>
      <c r="G802" s="2">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2">
        <v>45691</v>
      </c>
      <c r="G803" s="2">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2">
        <v>45691</v>
      </c>
      <c r="G804" s="2">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2">
        <v>45692</v>
      </c>
      <c r="G805" s="2">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2">
        <v>45692</v>
      </c>
      <c r="G806" s="2">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2">
        <v>45692</v>
      </c>
      <c r="G807" s="2">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2">
        <v>45692</v>
      </c>
      <c r="G808" s="2">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2">
        <v>45692</v>
      </c>
      <c r="G809" s="2">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2">
        <v>45692</v>
      </c>
      <c r="G810" s="2">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2">
        <v>45692</v>
      </c>
      <c r="G811" s="2">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2">
        <v>45692</v>
      </c>
      <c r="G812" s="2">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2">
        <v>45692</v>
      </c>
      <c r="G813" s="2">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2">
        <v>45692</v>
      </c>
      <c r="G814" s="2">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2">
        <v>45692</v>
      </c>
      <c r="G815" s="2">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2">
        <v>45692</v>
      </c>
      <c r="G816" s="2">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2">
        <v>45692</v>
      </c>
      <c r="G817" s="2">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2">
        <v>45692</v>
      </c>
      <c r="G818" s="2">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2">
        <v>45692</v>
      </c>
      <c r="G819" s="2">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2">
        <v>45692</v>
      </c>
      <c r="G820" s="2">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2">
        <v>45692</v>
      </c>
      <c r="G821" s="2">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2">
        <v>45692</v>
      </c>
      <c r="G822" s="2">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2">
        <v>45692</v>
      </c>
      <c r="G823" s="2">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2">
        <v>45692</v>
      </c>
      <c r="G824" s="2">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2">
        <v>45692</v>
      </c>
      <c r="G825" s="2">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2">
        <v>45692</v>
      </c>
      <c r="G826" s="2">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2">
        <v>45692</v>
      </c>
      <c r="G827" s="2">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2">
        <v>45692</v>
      </c>
      <c r="G828" s="2">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2">
        <v>45692</v>
      </c>
      <c r="G829" s="2">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2">
        <v>45692</v>
      </c>
      <c r="G830" s="2">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2">
        <v>45692</v>
      </c>
      <c r="G831" s="2">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2">
        <v>45692</v>
      </c>
      <c r="G832" s="2">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2">
        <v>45692</v>
      </c>
      <c r="G833" s="2">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2">
        <v>45692</v>
      </c>
      <c r="G834" s="2">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2">
        <v>45692</v>
      </c>
      <c r="G835" s="2">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2">
        <v>45692</v>
      </c>
      <c r="G836" s="2">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2">
        <v>45692</v>
      </c>
      <c r="G837" s="2">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2">
        <v>45692</v>
      </c>
      <c r="G838" s="2">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2">
        <v>45692</v>
      </c>
      <c r="G839" s="2">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2">
        <v>45692</v>
      </c>
      <c r="G840" s="2">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2">
        <v>45692</v>
      </c>
      <c r="G841" s="2">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2">
        <v>45692</v>
      </c>
      <c r="G842" s="2">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2">
        <v>45692</v>
      </c>
      <c r="G843" s="2">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2">
        <v>45692</v>
      </c>
      <c r="G844" s="2">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2">
        <v>45692</v>
      </c>
      <c r="G845" s="2">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2">
        <v>45692</v>
      </c>
      <c r="G846" s="2">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2">
        <v>45692</v>
      </c>
      <c r="G847" s="2">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2">
        <v>45693</v>
      </c>
      <c r="G848" s="2">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2">
        <v>45693</v>
      </c>
      <c r="G849" s="2">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2">
        <v>45693</v>
      </c>
      <c r="G850" s="2">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2">
        <v>45693</v>
      </c>
      <c r="G851" s="2">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2">
        <v>45693</v>
      </c>
      <c r="G852" s="2">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2">
        <v>45693</v>
      </c>
      <c r="G853" s="2">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2">
        <v>45693</v>
      </c>
      <c r="G854" s="2">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2">
        <v>45693</v>
      </c>
      <c r="G855" s="2">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2">
        <v>45693</v>
      </c>
      <c r="G856" s="2">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2">
        <v>45693</v>
      </c>
      <c r="G857" s="2">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2">
        <v>45693</v>
      </c>
      <c r="G858" s="2">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2">
        <v>45693</v>
      </c>
      <c r="G859" s="2">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2">
        <v>45693</v>
      </c>
      <c r="G860" s="2">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2">
        <v>45693</v>
      </c>
      <c r="G861" s="2">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2">
        <v>45693</v>
      </c>
      <c r="G862" s="2">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2">
        <v>45693</v>
      </c>
      <c r="G863" s="2">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2">
        <v>45693</v>
      </c>
      <c r="G864" s="2">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2">
        <v>45693</v>
      </c>
      <c r="G865" s="2">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2">
        <v>45693</v>
      </c>
      <c r="G866" s="2">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2">
        <v>45693</v>
      </c>
      <c r="G867" s="2">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2">
        <v>45693</v>
      </c>
      <c r="G868" s="2">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2">
        <v>45693</v>
      </c>
      <c r="G869" s="2">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2">
        <v>45693</v>
      </c>
      <c r="G870" s="2">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2">
        <v>45693</v>
      </c>
      <c r="G871" s="2">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2">
        <v>45693</v>
      </c>
      <c r="G872" s="2">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2">
        <v>45693</v>
      </c>
      <c r="G873" s="2">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2">
        <v>45693</v>
      </c>
      <c r="G874" s="2">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2">
        <v>45693</v>
      </c>
      <c r="G875" s="2">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2">
        <v>45693</v>
      </c>
      <c r="G876" s="2">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2">
        <v>45694</v>
      </c>
      <c r="G877" s="2">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2">
        <v>45694</v>
      </c>
      <c r="G878" s="2">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2">
        <v>45694</v>
      </c>
      <c r="G879" s="2">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2">
        <v>45694</v>
      </c>
      <c r="G880" s="2">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2">
        <v>45694</v>
      </c>
      <c r="G881" s="2">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2">
        <v>45694</v>
      </c>
      <c r="G882" s="2">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2">
        <v>45694</v>
      </c>
      <c r="G883" s="2">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2">
        <v>45694</v>
      </c>
      <c r="G884" s="2">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2">
        <v>45694</v>
      </c>
      <c r="G885" s="2">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2">
        <v>45694</v>
      </c>
      <c r="G886" s="2">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2">
        <v>45694</v>
      </c>
      <c r="G887" s="2">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2">
        <v>45694</v>
      </c>
      <c r="G888" s="2">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2">
        <v>45694</v>
      </c>
      <c r="G889" s="2">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2">
        <v>45694</v>
      </c>
      <c r="G890" s="2">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2">
        <v>45694</v>
      </c>
      <c r="G891" s="2">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2">
        <v>45694</v>
      </c>
      <c r="G892" s="2">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2">
        <v>45694</v>
      </c>
      <c r="G893" s="2">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2">
        <v>45694</v>
      </c>
      <c r="G894" s="2">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2">
        <v>45694</v>
      </c>
      <c r="G895" s="2">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2">
        <v>45694</v>
      </c>
      <c r="G896" s="2">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2">
        <v>45694</v>
      </c>
      <c r="G897" s="2">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2">
        <v>45694</v>
      </c>
      <c r="G898" s="2">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2">
        <v>45694</v>
      </c>
      <c r="G899" s="2">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2">
        <v>45694</v>
      </c>
      <c r="G900" s="2">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2">
        <v>45694</v>
      </c>
      <c r="G901" s="2">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2">
        <v>45694</v>
      </c>
      <c r="G902" s="2">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2">
        <v>45694</v>
      </c>
      <c r="G903" s="2">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2">
        <v>45694</v>
      </c>
      <c r="G904" s="2">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2">
        <v>45694</v>
      </c>
      <c r="G905" s="2">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2">
        <v>45694</v>
      </c>
      <c r="G906" s="2">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2">
        <v>45694</v>
      </c>
      <c r="G907" s="2">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2">
        <v>45694</v>
      </c>
      <c r="G908" s="2">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2">
        <v>45694</v>
      </c>
      <c r="G909" s="2">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2">
        <v>45694</v>
      </c>
      <c r="G910" s="2">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2">
        <v>45694</v>
      </c>
      <c r="G911" s="2">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2">
        <v>45694</v>
      </c>
      <c r="G912" s="2">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2">
        <v>45694</v>
      </c>
      <c r="G913" s="2">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2">
        <v>45694</v>
      </c>
      <c r="G914" s="2">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2">
        <v>45694</v>
      </c>
      <c r="G915" s="2">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2">
        <v>45694</v>
      </c>
      <c r="G916" s="2">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2">
        <v>45694</v>
      </c>
      <c r="G917" s="2">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2">
        <v>45694</v>
      </c>
      <c r="G918" s="2">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2">
        <v>45694</v>
      </c>
      <c r="G919" s="2">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2">
        <v>45694</v>
      </c>
      <c r="G920" s="2">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2">
        <v>45694</v>
      </c>
      <c r="G921" s="2">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2">
        <v>45694</v>
      </c>
      <c r="G922" s="2">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2">
        <v>45694</v>
      </c>
      <c r="G923" s="2">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2">
        <v>45694</v>
      </c>
      <c r="G924" s="2">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2">
        <v>45694</v>
      </c>
      <c r="G925" s="2">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2">
        <v>45694</v>
      </c>
      <c r="G926" s="2">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2">
        <v>45694</v>
      </c>
      <c r="G927" s="2">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2">
        <v>45694</v>
      </c>
      <c r="G928" s="2">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2">
        <v>45694</v>
      </c>
      <c r="G929" s="2">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2">
        <v>45694</v>
      </c>
      <c r="G930" s="2">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2">
        <v>45694</v>
      </c>
      <c r="G931" s="2">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2">
        <v>45694</v>
      </c>
      <c r="G932" s="2">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2">
        <v>45695</v>
      </c>
      <c r="G933" s="2">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2">
        <v>45695</v>
      </c>
      <c r="G934" s="2">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2">
        <v>45695</v>
      </c>
      <c r="G935" s="2">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2">
        <v>45695</v>
      </c>
      <c r="G936" s="2">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2">
        <v>45695</v>
      </c>
      <c r="G937" s="2">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2">
        <v>45695</v>
      </c>
      <c r="G938" s="2">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2">
        <v>45695</v>
      </c>
      <c r="G939" s="2">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2">
        <v>45695</v>
      </c>
      <c r="G940" s="2">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2">
        <v>45695</v>
      </c>
      <c r="G941" s="2">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2">
        <v>45695</v>
      </c>
      <c r="G942" s="2">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2">
        <v>45695</v>
      </c>
      <c r="G943" s="2">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2">
        <v>45695</v>
      </c>
      <c r="G944" s="2">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2">
        <v>45695</v>
      </c>
      <c r="G945" s="2">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2">
        <v>45695</v>
      </c>
      <c r="G946" s="2">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2">
        <v>45695</v>
      </c>
      <c r="G947" s="2">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2">
        <v>45695</v>
      </c>
      <c r="G948" s="2">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2">
        <v>45695</v>
      </c>
      <c r="G949" s="2">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2">
        <v>45695</v>
      </c>
      <c r="G950" s="2">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2">
        <v>45695</v>
      </c>
      <c r="G951" s="2">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2">
        <v>45695</v>
      </c>
      <c r="G952" s="2">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2">
        <v>45695</v>
      </c>
      <c r="G953" s="2">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2">
        <v>45695</v>
      </c>
      <c r="G954" s="2">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2">
        <v>45696</v>
      </c>
      <c r="G955" s="2">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2">
        <v>45696</v>
      </c>
      <c r="G956" s="2">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2">
        <v>45696</v>
      </c>
      <c r="G957" s="2">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2">
        <v>45696</v>
      </c>
      <c r="G958" s="2">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2">
        <v>45696</v>
      </c>
      <c r="G959" s="2">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2">
        <v>45696</v>
      </c>
      <c r="G960" s="2">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2">
        <v>45696</v>
      </c>
      <c r="G961" s="2">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2">
        <v>45696</v>
      </c>
      <c r="G962" s="2">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2">
        <v>45696</v>
      </c>
      <c r="G963" s="2">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2">
        <v>45696</v>
      </c>
      <c r="G964" s="2">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2">
        <v>45696</v>
      </c>
      <c r="G965" s="2">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2">
        <v>45696</v>
      </c>
      <c r="G966" s="2">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2">
        <v>45696</v>
      </c>
      <c r="G967" s="2">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2">
        <v>45696</v>
      </c>
      <c r="G968" s="2">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2">
        <v>45696</v>
      </c>
      <c r="G969" s="2">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2">
        <v>45696</v>
      </c>
      <c r="G970" s="2">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2">
        <v>45696</v>
      </c>
      <c r="G971" s="2">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2">
        <v>45696</v>
      </c>
      <c r="G972" s="2">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2">
        <v>45696</v>
      </c>
      <c r="G973" s="2">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2">
        <v>45696</v>
      </c>
      <c r="G974" s="2">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2">
        <v>45696</v>
      </c>
      <c r="G975" s="2">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2">
        <v>45696</v>
      </c>
      <c r="G976" s="2">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2">
        <v>45696</v>
      </c>
      <c r="G977" s="2">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2">
        <v>45696</v>
      </c>
      <c r="G978" s="2">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2">
        <v>45696</v>
      </c>
      <c r="G979" s="2">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2">
        <v>45696</v>
      </c>
      <c r="G980" s="2">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2">
        <v>45696</v>
      </c>
      <c r="G981" s="2">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2">
        <v>45696</v>
      </c>
      <c r="G982" s="2">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2">
        <v>45696</v>
      </c>
      <c r="G983" s="2">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2">
        <v>45696</v>
      </c>
      <c r="G984" s="2">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2">
        <v>45696</v>
      </c>
      <c r="G985" s="2">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2">
        <v>45697</v>
      </c>
      <c r="G986" s="2">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2">
        <v>45697</v>
      </c>
      <c r="G987" s="2">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2">
        <v>45697</v>
      </c>
      <c r="G988" s="2">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2">
        <v>45697</v>
      </c>
      <c r="G989" s="2">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2">
        <v>45697</v>
      </c>
      <c r="G990" s="2">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2">
        <v>45697</v>
      </c>
      <c r="G991" s="2">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2">
        <v>45697</v>
      </c>
      <c r="G992" s="2">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2">
        <v>45697</v>
      </c>
      <c r="G993" s="2">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2">
        <v>45697</v>
      </c>
      <c r="G994" s="2">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2">
        <v>45697</v>
      </c>
      <c r="G995" s="2">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2">
        <v>45697</v>
      </c>
      <c r="G996" s="2">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2">
        <v>45697</v>
      </c>
      <c r="G997" s="2">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2">
        <v>45697</v>
      </c>
      <c r="G998" s="2">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2">
        <v>45697</v>
      </c>
      <c r="G999" s="2">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2">
        <v>45697</v>
      </c>
      <c r="G1000" s="2">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2">
        <v>45697</v>
      </c>
      <c r="G1001" s="2">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2">
        <v>45697</v>
      </c>
      <c r="G1002" s="2">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2">
        <v>45697</v>
      </c>
      <c r="G1003" s="2">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2">
        <v>45697</v>
      </c>
      <c r="G1004" s="2">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2">
        <v>45697</v>
      </c>
      <c r="G1005" s="2">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2">
        <v>45697</v>
      </c>
      <c r="G1006" s="2">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2">
        <v>45697</v>
      </c>
      <c r="G1007" s="2">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2">
        <v>45697</v>
      </c>
      <c r="G1008" s="2">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2">
        <v>45697</v>
      </c>
      <c r="G1009" s="2">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2">
        <v>45697</v>
      </c>
      <c r="G1010" s="2">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2">
        <v>45697</v>
      </c>
      <c r="G1011" s="2">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2">
        <v>45697</v>
      </c>
      <c r="G1012" s="2">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2">
        <v>45697</v>
      </c>
      <c r="G1013" s="2">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2">
        <v>45697</v>
      </c>
      <c r="G1014" s="2">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2">
        <v>45697</v>
      </c>
      <c r="G1015" s="2">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2">
        <v>45697</v>
      </c>
      <c r="G1016" s="2">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2">
        <v>45697</v>
      </c>
      <c r="G1017" s="2">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2">
        <v>45697</v>
      </c>
      <c r="G1018" s="2">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2">
        <v>45697</v>
      </c>
      <c r="G1019" s="2">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2">
        <v>45697</v>
      </c>
      <c r="G1020" s="2">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2">
        <v>45697</v>
      </c>
      <c r="G1021" s="2">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2">
        <v>45698</v>
      </c>
      <c r="G1022" s="2">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2">
        <v>45698</v>
      </c>
      <c r="G1023" s="2">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2">
        <v>45698</v>
      </c>
      <c r="G1024" s="2">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2">
        <v>45698</v>
      </c>
      <c r="G1025" s="2">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2">
        <v>45698</v>
      </c>
      <c r="G1026" s="2">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2">
        <v>45698</v>
      </c>
      <c r="G1027" s="2">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2">
        <v>45698</v>
      </c>
      <c r="G1028" s="2">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2">
        <v>45698</v>
      </c>
      <c r="G1029" s="2">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2">
        <v>45698</v>
      </c>
      <c r="G1030" s="2">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2">
        <v>45698</v>
      </c>
      <c r="G1031" s="2">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2">
        <v>45698</v>
      </c>
      <c r="G1032" s="2">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2">
        <v>45698</v>
      </c>
      <c r="G1033" s="2">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2">
        <v>45698</v>
      </c>
      <c r="G1034" s="2">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2">
        <v>45698</v>
      </c>
      <c r="G1035" s="2">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2">
        <v>45698</v>
      </c>
      <c r="G1036" s="2">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2">
        <v>45698</v>
      </c>
      <c r="G1037" s="2">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2">
        <v>45698</v>
      </c>
      <c r="G1038" s="2">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2">
        <v>45698</v>
      </c>
      <c r="G1039" s="2">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2">
        <v>45698</v>
      </c>
      <c r="G1040" s="2">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2">
        <v>45698</v>
      </c>
      <c r="G1041" s="2">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2">
        <v>45698</v>
      </c>
      <c r="G1042" s="2">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2">
        <v>45698</v>
      </c>
      <c r="G1043" s="2">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2">
        <v>45698</v>
      </c>
      <c r="G1044" s="2">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2">
        <v>45698</v>
      </c>
      <c r="G1045" s="2">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2">
        <v>45698</v>
      </c>
      <c r="G1046" s="2">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2">
        <v>45698</v>
      </c>
      <c r="G1047" s="2">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2">
        <v>45698</v>
      </c>
      <c r="G1048" s="2">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2">
        <v>45698</v>
      </c>
      <c r="G1049" s="2">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2">
        <v>45699</v>
      </c>
      <c r="G1050" s="2">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2">
        <v>45699</v>
      </c>
      <c r="G1051" s="2">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2">
        <v>45699</v>
      </c>
      <c r="G1052" s="2">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2">
        <v>45699</v>
      </c>
      <c r="G1053" s="2">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2">
        <v>45699</v>
      </c>
      <c r="G1054" s="2">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2">
        <v>45699</v>
      </c>
      <c r="G1055" s="2">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2">
        <v>45699</v>
      </c>
      <c r="G1056" s="2">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2">
        <v>45699</v>
      </c>
      <c r="G1057" s="2">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2">
        <v>45699</v>
      </c>
      <c r="G1058" s="2">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2">
        <v>45699</v>
      </c>
      <c r="G1059" s="2">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2">
        <v>45699</v>
      </c>
      <c r="G1060" s="2">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2">
        <v>45699</v>
      </c>
      <c r="G1061" s="2">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2">
        <v>45699</v>
      </c>
      <c r="G1062" s="2">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2">
        <v>45699</v>
      </c>
      <c r="G1063" s="2">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2">
        <v>45699</v>
      </c>
      <c r="G1064" s="2">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2">
        <v>45699</v>
      </c>
      <c r="G1065" s="2">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2">
        <v>45699</v>
      </c>
      <c r="G1066" s="2">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2">
        <v>45699</v>
      </c>
      <c r="G1067" s="2">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2">
        <v>45699</v>
      </c>
      <c r="G1068" s="2">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2">
        <v>45699</v>
      </c>
      <c r="G1069" s="2">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2">
        <v>45699</v>
      </c>
      <c r="G1070" s="2">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2">
        <v>45699</v>
      </c>
      <c r="G1071" s="2">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2">
        <v>45699</v>
      </c>
      <c r="G1072" s="2">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2">
        <v>45699</v>
      </c>
      <c r="G1073" s="2">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2">
        <v>45699</v>
      </c>
      <c r="G1074" s="2">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2">
        <v>45699</v>
      </c>
      <c r="G1075" s="2">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2">
        <v>45700</v>
      </c>
      <c r="G1076" s="2">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2">
        <v>45700</v>
      </c>
      <c r="G1077" s="2">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2">
        <v>45700</v>
      </c>
      <c r="G1078" s="2">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2">
        <v>45700</v>
      </c>
      <c r="G1079" s="2">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2">
        <v>45700</v>
      </c>
      <c r="G1080" s="2">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2">
        <v>45700</v>
      </c>
      <c r="G1081" s="2">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2">
        <v>45700</v>
      </c>
      <c r="G1082" s="2">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2">
        <v>45700</v>
      </c>
      <c r="G1083" s="2">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2">
        <v>45700</v>
      </c>
      <c r="G1084" s="2">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2">
        <v>45700</v>
      </c>
      <c r="G1085" s="2">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2">
        <v>45700</v>
      </c>
      <c r="G1086" s="2">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2">
        <v>45700</v>
      </c>
      <c r="G1087" s="2">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2">
        <v>45700</v>
      </c>
      <c r="G1088" s="2">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2">
        <v>45700</v>
      </c>
      <c r="G1089" s="2">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2">
        <v>45700</v>
      </c>
      <c r="G1090" s="2">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2">
        <v>45700</v>
      </c>
      <c r="G1091" s="2">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2">
        <v>45700</v>
      </c>
      <c r="G1092" s="2">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2">
        <v>45700</v>
      </c>
      <c r="G1093" s="2">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2">
        <v>45700</v>
      </c>
      <c r="G1094" s="2">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2">
        <v>45700</v>
      </c>
      <c r="G1095" s="2">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2">
        <v>45700</v>
      </c>
      <c r="G1096" s="2">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2">
        <v>45700</v>
      </c>
      <c r="G1097" s="2">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2">
        <v>45700</v>
      </c>
      <c r="G1098" s="2">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2">
        <v>45701</v>
      </c>
      <c r="G1099" s="2">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2">
        <v>45701</v>
      </c>
      <c r="G1100" s="2">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2">
        <v>45701</v>
      </c>
      <c r="G1101" s="2">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2">
        <v>45701</v>
      </c>
      <c r="G1102" s="2">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2">
        <v>45701</v>
      </c>
      <c r="G1103" s="2">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2">
        <v>45701</v>
      </c>
      <c r="G1104" s="2">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2">
        <v>45701</v>
      </c>
      <c r="G1105" s="2">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2">
        <v>45701</v>
      </c>
      <c r="G1106" s="2">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2">
        <v>45701</v>
      </c>
      <c r="G1107" s="2">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2">
        <v>45701</v>
      </c>
      <c r="G1108" s="2">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2">
        <v>45701</v>
      </c>
      <c r="G1109" s="2">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2">
        <v>45701</v>
      </c>
      <c r="G1110" s="2">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2">
        <v>45701</v>
      </c>
      <c r="G1111" s="2">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2">
        <v>45701</v>
      </c>
      <c r="G1112" s="2">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2">
        <v>45701</v>
      </c>
      <c r="G1113" s="2">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2">
        <v>45701</v>
      </c>
      <c r="G1114" s="2">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2">
        <v>45701</v>
      </c>
      <c r="G1115" s="2">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2">
        <v>45701</v>
      </c>
      <c r="G1116" s="2">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2">
        <v>45701</v>
      </c>
      <c r="G1117" s="2">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2">
        <v>45701</v>
      </c>
      <c r="G1118" s="2">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2">
        <v>45701</v>
      </c>
      <c r="G1119" s="2">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2">
        <v>45701</v>
      </c>
      <c r="G1120" s="2">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2">
        <v>45701</v>
      </c>
      <c r="G1121" s="2">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2">
        <v>45702</v>
      </c>
      <c r="G1122" s="2">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2">
        <v>45702</v>
      </c>
      <c r="G1123" s="2">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2">
        <v>45702</v>
      </c>
      <c r="G1124" s="2">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2">
        <v>45702</v>
      </c>
      <c r="G1125" s="2">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2">
        <v>45702</v>
      </c>
      <c r="G1126" s="2">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2">
        <v>45702</v>
      </c>
      <c r="G1127" s="2">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2">
        <v>45702</v>
      </c>
      <c r="G1128" s="2">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2">
        <v>45702</v>
      </c>
      <c r="G1129" s="2">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2">
        <v>45702</v>
      </c>
      <c r="G1130" s="2">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2">
        <v>45702</v>
      </c>
      <c r="G1131" s="2">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2">
        <v>45702</v>
      </c>
      <c r="G1132" s="2">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2">
        <v>45702</v>
      </c>
      <c r="G1133" s="2">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2">
        <v>45702</v>
      </c>
      <c r="G1134" s="2">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2">
        <v>45702</v>
      </c>
      <c r="G1135" s="2">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2">
        <v>45702</v>
      </c>
      <c r="G1136" s="2">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2">
        <v>45702</v>
      </c>
      <c r="G1137" s="2">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2">
        <v>45702</v>
      </c>
      <c r="G1138" s="2">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2">
        <v>45702</v>
      </c>
      <c r="G1139" s="2">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2">
        <v>45702</v>
      </c>
      <c r="G1140" s="2">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2">
        <v>45702</v>
      </c>
      <c r="G1141" s="2">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2">
        <v>45702</v>
      </c>
      <c r="G1142" s="2">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2">
        <v>45702</v>
      </c>
      <c r="G1143" s="2">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2">
        <v>45702</v>
      </c>
      <c r="G1144" s="2">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2">
        <v>45702</v>
      </c>
      <c r="G1145" s="2">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2">
        <v>45702</v>
      </c>
      <c r="G1146" s="2">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2">
        <v>45702</v>
      </c>
      <c r="G1147" s="2">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2">
        <v>45702</v>
      </c>
      <c r="G1148" s="2">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2">
        <v>45702</v>
      </c>
      <c r="G1149" s="2">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2">
        <v>45703</v>
      </c>
      <c r="G1150" s="2">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2">
        <v>45703</v>
      </c>
      <c r="G1151" s="2">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2">
        <v>45703</v>
      </c>
      <c r="G1152" s="2">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2">
        <v>45703</v>
      </c>
      <c r="G1153" s="2">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2">
        <v>45703</v>
      </c>
      <c r="G1154" s="2">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2">
        <v>45703</v>
      </c>
      <c r="G1155" s="2">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2">
        <v>45703</v>
      </c>
      <c r="G1156" s="2">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2">
        <v>45703</v>
      </c>
      <c r="G1157" s="2">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2">
        <v>45703</v>
      </c>
      <c r="G1158" s="2">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2">
        <v>45703</v>
      </c>
      <c r="G1159" s="2">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2">
        <v>45703</v>
      </c>
      <c r="G1160" s="2">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2">
        <v>45703</v>
      </c>
      <c r="G1161" s="2">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2">
        <v>45703</v>
      </c>
      <c r="G1162" s="2">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2">
        <v>45703</v>
      </c>
      <c r="G1163" s="2">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2">
        <v>45703</v>
      </c>
      <c r="G1164" s="2">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2">
        <v>45703</v>
      </c>
      <c r="G1165" s="2">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2">
        <v>45703</v>
      </c>
      <c r="G1166" s="2">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2">
        <v>45703</v>
      </c>
      <c r="G1167" s="2">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2">
        <v>45703</v>
      </c>
      <c r="G1168" s="2">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2">
        <v>45703</v>
      </c>
      <c r="G1169" s="2">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2">
        <v>45703</v>
      </c>
      <c r="G1170" s="2">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2">
        <v>45703</v>
      </c>
      <c r="G1171" s="2">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2">
        <v>45703</v>
      </c>
      <c r="G1172" s="2">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2">
        <v>45703</v>
      </c>
      <c r="G1173" s="2">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2">
        <v>45703</v>
      </c>
      <c r="G1174" s="2">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2">
        <v>45703</v>
      </c>
      <c r="G1175" s="2">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2">
        <v>45703</v>
      </c>
      <c r="G1176" s="2">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2">
        <v>45704</v>
      </c>
      <c r="G1177" s="2">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2">
        <v>45704</v>
      </c>
      <c r="G1178" s="2">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2">
        <v>45704</v>
      </c>
      <c r="G1179" s="2">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2">
        <v>45704</v>
      </c>
      <c r="G1180" s="2">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2">
        <v>45704</v>
      </c>
      <c r="G1181" s="2">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2">
        <v>45704</v>
      </c>
      <c r="G1182" s="2">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2">
        <v>45704</v>
      </c>
      <c r="G1183" s="2">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2">
        <v>45704</v>
      </c>
      <c r="G1184" s="2">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2">
        <v>45704</v>
      </c>
      <c r="G1185" s="2">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2">
        <v>45704</v>
      </c>
      <c r="G1186" s="2">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2">
        <v>45704</v>
      </c>
      <c r="G1187" s="2">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2">
        <v>45704</v>
      </c>
      <c r="G1188" s="2">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2">
        <v>45704</v>
      </c>
      <c r="G1189" s="2">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2">
        <v>45704</v>
      </c>
      <c r="G1190" s="2">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2">
        <v>45704</v>
      </c>
      <c r="G1191" s="2">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2">
        <v>45704</v>
      </c>
      <c r="G1192" s="2">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2">
        <v>45704</v>
      </c>
      <c r="G1193" s="2">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2">
        <v>45704</v>
      </c>
      <c r="G1194" s="2">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2">
        <v>45704</v>
      </c>
      <c r="G1195" s="2">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2">
        <v>45705</v>
      </c>
      <c r="G1196" s="2">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2">
        <v>45705</v>
      </c>
      <c r="G1197" s="2">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2">
        <v>45705</v>
      </c>
      <c r="G1198" s="2">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2">
        <v>45705</v>
      </c>
      <c r="G1199" s="2">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2">
        <v>45705</v>
      </c>
      <c r="G1200" s="2">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2">
        <v>45705</v>
      </c>
      <c r="G1201" s="2">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2">
        <v>45705</v>
      </c>
      <c r="G1202" s="2">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2">
        <v>45705</v>
      </c>
      <c r="G1203" s="2">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2">
        <v>45705</v>
      </c>
      <c r="G1204" s="2">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2">
        <v>45705</v>
      </c>
      <c r="G1205" s="2">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2">
        <v>45705</v>
      </c>
      <c r="G1206" s="2">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2">
        <v>45705</v>
      </c>
      <c r="G1207" s="2">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2">
        <v>45705</v>
      </c>
      <c r="G1208" s="2">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2">
        <v>45705</v>
      </c>
      <c r="G1209" s="2">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2">
        <v>45705</v>
      </c>
      <c r="G1210" s="2">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2">
        <v>45705</v>
      </c>
      <c r="G1211" s="2">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2">
        <v>45705</v>
      </c>
      <c r="G1212" s="2">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2">
        <v>45705</v>
      </c>
      <c r="G1213" s="2">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2">
        <v>45705</v>
      </c>
      <c r="G1214" s="2">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2">
        <v>45705</v>
      </c>
      <c r="G1215" s="2">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2">
        <v>45705</v>
      </c>
      <c r="G1216" s="2">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2">
        <v>45705</v>
      </c>
      <c r="G1217" s="2">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2">
        <v>45705</v>
      </c>
      <c r="G1218" s="2">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2">
        <v>45705</v>
      </c>
      <c r="G1219" s="2">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2">
        <v>45705</v>
      </c>
      <c r="G1220" s="2">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2">
        <v>45705</v>
      </c>
      <c r="G1221" s="2">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2">
        <v>45705</v>
      </c>
      <c r="G1222" s="2">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2">
        <v>45705</v>
      </c>
      <c r="G1223" s="2">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2">
        <v>45705</v>
      </c>
      <c r="G1224" s="2">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2">
        <v>45706</v>
      </c>
      <c r="G1225" s="2">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2">
        <v>45706</v>
      </c>
      <c r="G1226" s="2">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2">
        <v>45706</v>
      </c>
      <c r="G1227" s="2">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2">
        <v>45706</v>
      </c>
      <c r="G1228" s="2">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2">
        <v>45706</v>
      </c>
      <c r="G1229" s="2">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2">
        <v>45706</v>
      </c>
      <c r="G1230" s="2">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2">
        <v>45706</v>
      </c>
      <c r="G1231" s="2">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2">
        <v>45706</v>
      </c>
      <c r="G1232" s="2">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2">
        <v>45706</v>
      </c>
      <c r="G1233" s="2">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2">
        <v>45706</v>
      </c>
      <c r="G1234" s="2">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2">
        <v>45706</v>
      </c>
      <c r="G1235" s="2">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2">
        <v>45706</v>
      </c>
      <c r="G1236" s="2">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2">
        <v>45706</v>
      </c>
      <c r="G1237" s="2">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2">
        <v>45706</v>
      </c>
      <c r="G1238" s="2">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2">
        <v>45706</v>
      </c>
      <c r="G1239" s="2">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2">
        <v>45706</v>
      </c>
      <c r="G1240" s="2">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2">
        <v>45706</v>
      </c>
      <c r="G1241" s="2">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2">
        <v>45706</v>
      </c>
      <c r="G1242" s="2">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2">
        <v>45706</v>
      </c>
      <c r="G1243" s="2">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2">
        <v>45706</v>
      </c>
      <c r="G1244" s="2">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2">
        <v>45706</v>
      </c>
      <c r="G1245" s="2">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2">
        <v>45706</v>
      </c>
      <c r="G1246" s="2">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2">
        <v>45706</v>
      </c>
      <c r="G1247" s="2">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2">
        <v>45706</v>
      </c>
      <c r="G1248" s="2">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2">
        <v>45706</v>
      </c>
      <c r="G1249" s="2">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2">
        <v>45706</v>
      </c>
      <c r="G1250" s="2">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2">
        <v>45706</v>
      </c>
      <c r="G1251" s="2">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2">
        <v>45706</v>
      </c>
      <c r="G1252" s="2">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2">
        <v>45706</v>
      </c>
      <c r="G1253" s="2">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2">
        <v>45706</v>
      </c>
      <c r="G1254" s="2">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2">
        <v>45706</v>
      </c>
      <c r="G1255" s="2">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2">
        <v>45706</v>
      </c>
      <c r="G1256" s="2">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2">
        <v>45706</v>
      </c>
      <c r="G1257" s="2">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2">
        <v>45706</v>
      </c>
      <c r="G1258" s="2">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2">
        <v>45706</v>
      </c>
      <c r="G1259" s="2">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2">
        <v>45706</v>
      </c>
      <c r="G1260" s="2">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2">
        <v>45706</v>
      </c>
      <c r="G1261" s="2">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2">
        <v>45706</v>
      </c>
      <c r="G1262" s="2">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2">
        <v>45706</v>
      </c>
      <c r="G1263" s="2">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2">
        <v>45706</v>
      </c>
      <c r="G1264" s="2">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2">
        <v>45706</v>
      </c>
      <c r="G1265" s="2">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2">
        <v>45706</v>
      </c>
      <c r="G1266" s="2">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2">
        <v>45706</v>
      </c>
      <c r="G1267" s="2">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2">
        <v>45706</v>
      </c>
      <c r="G1268" s="2">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2">
        <v>45706</v>
      </c>
      <c r="G1269" s="2">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2">
        <v>45706</v>
      </c>
      <c r="G1270" s="2">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2">
        <v>45706</v>
      </c>
      <c r="G1271" s="2">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2">
        <v>45706</v>
      </c>
      <c r="G1272" s="2">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2">
        <v>45706</v>
      </c>
      <c r="G1273" s="2">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2">
        <v>45706</v>
      </c>
      <c r="G1274" s="2">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2">
        <v>45706</v>
      </c>
      <c r="G1275" s="2">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2">
        <v>45706</v>
      </c>
      <c r="G1276" s="2">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2">
        <v>45706</v>
      </c>
      <c r="G1277" s="2">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2">
        <v>45706</v>
      </c>
      <c r="G1278" s="2">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2">
        <v>45706</v>
      </c>
      <c r="G1279" s="2">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2">
        <v>45706</v>
      </c>
      <c r="G1280" s="2">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2">
        <v>45706</v>
      </c>
      <c r="G1281" s="2">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2">
        <v>45706</v>
      </c>
      <c r="G1282" s="2">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2">
        <v>45706</v>
      </c>
      <c r="G1283" s="2">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2">
        <v>45706</v>
      </c>
      <c r="G1284" s="2">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2">
        <v>45706</v>
      </c>
      <c r="G1285" s="2">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2">
        <v>45706</v>
      </c>
      <c r="G1286" s="2">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2">
        <v>45706</v>
      </c>
      <c r="G1287" s="2">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2">
        <v>45707</v>
      </c>
      <c r="G1288" s="2">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2">
        <v>45707</v>
      </c>
      <c r="G1289" s="2">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2">
        <v>45707</v>
      </c>
      <c r="G1290" s="2">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2">
        <v>45707</v>
      </c>
      <c r="G1291" s="2">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2">
        <v>45707</v>
      </c>
      <c r="G1292" s="2">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2">
        <v>45707</v>
      </c>
      <c r="G1293" s="2">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2">
        <v>45707</v>
      </c>
      <c r="G1294" s="2">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2">
        <v>45707</v>
      </c>
      <c r="G1295" s="2">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2">
        <v>45707</v>
      </c>
      <c r="G1296" s="2">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2">
        <v>45707</v>
      </c>
      <c r="G1297" s="2">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2">
        <v>45707</v>
      </c>
      <c r="G1298" s="2">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2">
        <v>45707</v>
      </c>
      <c r="G1299" s="2">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2">
        <v>45707</v>
      </c>
      <c r="G1300" s="2">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2">
        <v>45707</v>
      </c>
      <c r="G1301" s="2">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2">
        <v>45707</v>
      </c>
      <c r="G1302" s="2">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2">
        <v>45707</v>
      </c>
      <c r="G1303" s="2">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2">
        <v>45707</v>
      </c>
      <c r="G1304" s="2">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2">
        <v>45707</v>
      </c>
      <c r="G1305" s="2">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2">
        <v>45707</v>
      </c>
      <c r="G1306" s="2">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2">
        <v>45707</v>
      </c>
      <c r="G1307" s="2">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2">
        <v>45707</v>
      </c>
      <c r="G1308" s="2">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2">
        <v>45707</v>
      </c>
      <c r="G1309" s="2">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2">
        <v>45707</v>
      </c>
      <c r="G1310" s="2">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2">
        <v>45707</v>
      </c>
      <c r="G1311" s="2">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2">
        <v>45707</v>
      </c>
      <c r="G1312" s="2">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2">
        <v>45707</v>
      </c>
      <c r="G1313" s="2">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2">
        <v>45707</v>
      </c>
      <c r="G1314" s="2">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2">
        <v>45707</v>
      </c>
      <c r="G1315" s="2">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2">
        <v>45707</v>
      </c>
      <c r="G1316" s="2">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2">
        <v>45707</v>
      </c>
      <c r="G1317" s="2">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2">
        <v>45707</v>
      </c>
      <c r="G1318" s="2">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2">
        <v>45708</v>
      </c>
      <c r="G1319" s="2">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2">
        <v>45708</v>
      </c>
      <c r="G1320" s="2">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2">
        <v>45708</v>
      </c>
      <c r="G1321" s="2">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2">
        <v>45708</v>
      </c>
      <c r="G1322" s="2">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2">
        <v>45708</v>
      </c>
      <c r="G1323" s="2">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2">
        <v>45708</v>
      </c>
      <c r="G1324" s="2">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2">
        <v>45708</v>
      </c>
      <c r="G1325" s="2">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2">
        <v>45708</v>
      </c>
      <c r="G1326" s="2">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2">
        <v>45708</v>
      </c>
      <c r="G1327" s="2">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2">
        <v>45708</v>
      </c>
      <c r="G1328" s="2">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2">
        <v>45708</v>
      </c>
      <c r="G1329" s="2">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2">
        <v>45708</v>
      </c>
      <c r="G1330" s="2">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2">
        <v>45708</v>
      </c>
      <c r="G1331" s="2">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2">
        <v>45708</v>
      </c>
      <c r="G1332" s="2">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2">
        <v>45708</v>
      </c>
      <c r="G1333" s="2">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2">
        <v>45708</v>
      </c>
      <c r="G1334" s="2">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2">
        <v>45708</v>
      </c>
      <c r="G1335" s="2">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2">
        <v>45708</v>
      </c>
      <c r="G1336" s="2">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2">
        <v>45708</v>
      </c>
      <c r="G1337" s="2">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2">
        <v>45708</v>
      </c>
      <c r="G1338" s="2">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2">
        <v>45708</v>
      </c>
      <c r="G1339" s="2">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2">
        <v>45708</v>
      </c>
      <c r="G1340" s="2">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2">
        <v>45708</v>
      </c>
      <c r="G1341" s="2">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2">
        <v>45708</v>
      </c>
      <c r="G1342" s="2">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2">
        <v>45708</v>
      </c>
      <c r="G1343" s="2">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2">
        <v>45708</v>
      </c>
      <c r="G1344" s="2">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2">
        <v>45708</v>
      </c>
      <c r="G1345" s="2">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2">
        <v>45708</v>
      </c>
      <c r="G1346" s="2">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2">
        <v>45708</v>
      </c>
      <c r="G1347" s="2">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2">
        <v>45708</v>
      </c>
      <c r="G1348" s="2">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2">
        <v>45708</v>
      </c>
      <c r="G1349" s="2">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2">
        <v>45708</v>
      </c>
      <c r="G1350" s="2">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2">
        <v>45709</v>
      </c>
      <c r="G1351" s="2">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2">
        <v>45709</v>
      </c>
      <c r="G1352" s="2">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2">
        <v>45709</v>
      </c>
      <c r="G1353" s="2">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2">
        <v>45709</v>
      </c>
      <c r="G1354" s="2">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2">
        <v>45709</v>
      </c>
      <c r="G1355" s="2">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2">
        <v>45709</v>
      </c>
      <c r="G1356" s="2">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2">
        <v>45709</v>
      </c>
      <c r="G1357" s="2">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2">
        <v>45709</v>
      </c>
      <c r="G1358" s="2">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2">
        <v>45709</v>
      </c>
      <c r="G1359" s="2">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2">
        <v>45709</v>
      </c>
      <c r="G1360" s="2">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2">
        <v>45709</v>
      </c>
      <c r="G1361" s="2">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2">
        <v>45709</v>
      </c>
      <c r="G1362" s="2">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2">
        <v>45709</v>
      </c>
      <c r="G1363" s="2">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2">
        <v>45709</v>
      </c>
      <c r="G1364" s="2">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2">
        <v>45709</v>
      </c>
      <c r="G1365" s="2">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2">
        <v>45709</v>
      </c>
      <c r="G1366" s="2">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2">
        <v>45709</v>
      </c>
      <c r="G1367" s="2">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2">
        <v>45709</v>
      </c>
      <c r="G1368" s="2">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2">
        <v>45709</v>
      </c>
      <c r="G1369" s="2">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2">
        <v>45709</v>
      </c>
      <c r="G1370" s="2">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2">
        <v>45709</v>
      </c>
      <c r="G1371" s="2">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2">
        <v>45709</v>
      </c>
      <c r="G1372" s="2">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2">
        <v>45709</v>
      </c>
      <c r="G1373" s="2">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2">
        <v>45709</v>
      </c>
      <c r="G1374" s="2">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2">
        <v>45709</v>
      </c>
      <c r="G1375" s="2">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2">
        <v>45709</v>
      </c>
      <c r="G1376" s="2">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2">
        <v>45709</v>
      </c>
      <c r="G1377" s="2">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2">
        <v>45709</v>
      </c>
      <c r="G1378" s="2">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2">
        <v>45709</v>
      </c>
      <c r="G1379" s="2">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2">
        <v>45709</v>
      </c>
      <c r="G1380" s="2">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2">
        <v>45709</v>
      </c>
      <c r="G1381" s="2">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2">
        <v>45709</v>
      </c>
      <c r="G1382" s="2">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2">
        <v>45709</v>
      </c>
      <c r="G1383" s="2">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2">
        <v>45709</v>
      </c>
      <c r="G1384" s="2">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2">
        <v>45709</v>
      </c>
      <c r="G1385" s="2">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2">
        <v>45709</v>
      </c>
      <c r="G1386" s="2">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2">
        <v>45709</v>
      </c>
      <c r="G1387" s="2">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2">
        <v>45709</v>
      </c>
      <c r="G1388" s="2">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2">
        <v>45710</v>
      </c>
      <c r="G1389" s="2">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2">
        <v>45710</v>
      </c>
      <c r="G1390" s="2">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2">
        <v>45710</v>
      </c>
      <c r="G1391" s="2">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2">
        <v>45710</v>
      </c>
      <c r="G1392" s="2">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2">
        <v>45710</v>
      </c>
      <c r="G1393" s="2">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2">
        <v>45710</v>
      </c>
      <c r="G1394" s="2">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2">
        <v>45710</v>
      </c>
      <c r="G1395" s="2">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2">
        <v>45710</v>
      </c>
      <c r="G1396" s="2">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2">
        <v>45710</v>
      </c>
      <c r="G1397" s="2">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2">
        <v>45710</v>
      </c>
      <c r="G1398" s="2">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2">
        <v>45710</v>
      </c>
      <c r="G1399" s="2">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2">
        <v>45710</v>
      </c>
      <c r="G1400" s="2">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2">
        <v>45710</v>
      </c>
      <c r="G1401" s="2">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2">
        <v>45710</v>
      </c>
      <c r="G1402" s="2">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2">
        <v>45710</v>
      </c>
      <c r="G1403" s="2">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2">
        <v>45710</v>
      </c>
      <c r="G1404" s="2">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2">
        <v>45710</v>
      </c>
      <c r="G1405" s="2">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2">
        <v>45710</v>
      </c>
      <c r="G1406" s="2">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2">
        <v>45710</v>
      </c>
      <c r="G1407" s="2">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2">
        <v>45710</v>
      </c>
      <c r="G1408" s="2">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2">
        <v>45710</v>
      </c>
      <c r="G1409" s="2">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2">
        <v>45710</v>
      </c>
      <c r="G1410" s="2">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2">
        <v>45710</v>
      </c>
      <c r="G1411" s="2">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2">
        <v>45710</v>
      </c>
      <c r="G1412" s="2">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2">
        <v>45711</v>
      </c>
      <c r="G1413" s="2">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2">
        <v>45711</v>
      </c>
      <c r="G1414" s="2">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2">
        <v>45711</v>
      </c>
      <c r="G1415" s="2">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2">
        <v>45711</v>
      </c>
      <c r="G1416" s="2">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2">
        <v>45711</v>
      </c>
      <c r="G1417" s="2">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2">
        <v>45711</v>
      </c>
      <c r="G1418" s="2">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2">
        <v>45711</v>
      </c>
      <c r="G1419" s="2">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2">
        <v>45711</v>
      </c>
      <c r="G1420" s="2">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2">
        <v>45711</v>
      </c>
      <c r="G1421" s="2">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2">
        <v>45711</v>
      </c>
      <c r="G1422" s="2">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2">
        <v>45711</v>
      </c>
      <c r="G1423" s="2">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2">
        <v>45711</v>
      </c>
      <c r="G1424" s="2">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2">
        <v>45711</v>
      </c>
      <c r="G1425" s="2">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2">
        <v>45711</v>
      </c>
      <c r="G1426" s="2">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2">
        <v>45711</v>
      </c>
      <c r="G1427" s="2">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2">
        <v>45711</v>
      </c>
      <c r="G1428" s="2">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2">
        <v>45711</v>
      </c>
      <c r="G1429" s="2">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2">
        <v>45711</v>
      </c>
      <c r="G1430" s="2">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2">
        <v>45711</v>
      </c>
      <c r="G1431" s="2">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2">
        <v>45711</v>
      </c>
      <c r="G1432" s="2">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2">
        <v>45711</v>
      </c>
      <c r="G1433" s="2">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2">
        <v>45711</v>
      </c>
      <c r="G1434" s="2">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2">
        <v>45711</v>
      </c>
      <c r="G1435" s="2">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2">
        <v>45711</v>
      </c>
      <c r="G1436" s="2">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2">
        <v>45711</v>
      </c>
      <c r="G1437" s="2">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2">
        <v>45711</v>
      </c>
      <c r="G1438" s="2">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2">
        <v>45711</v>
      </c>
      <c r="G1439" s="2">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2">
        <v>45711</v>
      </c>
      <c r="G1440" s="2">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2">
        <v>45711</v>
      </c>
      <c r="G1441" s="2">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2">
        <v>45711</v>
      </c>
      <c r="G1442" s="2">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2">
        <v>45711</v>
      </c>
      <c r="G1443" s="2">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2">
        <v>45711</v>
      </c>
      <c r="G1444" s="2">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2">
        <v>45711</v>
      </c>
      <c r="G1445" s="2">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2">
        <v>45711</v>
      </c>
      <c r="G1446" s="2">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2">
        <v>45711</v>
      </c>
      <c r="G1447" s="2">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2">
        <v>45711</v>
      </c>
      <c r="G1448" s="2">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2">
        <v>45711</v>
      </c>
      <c r="G1449" s="2">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2">
        <v>45712</v>
      </c>
      <c r="G1450" s="2">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2">
        <v>45712</v>
      </c>
      <c r="G1451" s="2">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2">
        <v>45712</v>
      </c>
      <c r="G1452" s="2">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2">
        <v>45712</v>
      </c>
      <c r="G1453" s="2">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2">
        <v>45712</v>
      </c>
      <c r="G1454" s="2">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2">
        <v>45712</v>
      </c>
      <c r="G1455" s="2">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2">
        <v>45712</v>
      </c>
      <c r="G1456" s="2">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2">
        <v>45712</v>
      </c>
      <c r="G1457" s="2">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2">
        <v>45712</v>
      </c>
      <c r="G1458" s="2">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2">
        <v>45712</v>
      </c>
      <c r="G1459" s="2">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2">
        <v>45712</v>
      </c>
      <c r="G1460" s="2">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2">
        <v>45712</v>
      </c>
      <c r="G1461" s="2">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2">
        <v>45712</v>
      </c>
      <c r="G1462" s="2">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2">
        <v>45712</v>
      </c>
      <c r="G1463" s="2">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2">
        <v>45712</v>
      </c>
      <c r="G1464" s="2">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2">
        <v>45712</v>
      </c>
      <c r="G1465" s="2">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2">
        <v>45712</v>
      </c>
      <c r="G1466" s="2">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2">
        <v>45712</v>
      </c>
      <c r="G1467" s="2">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2">
        <v>45712</v>
      </c>
      <c r="G1468" s="2">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2">
        <v>45712</v>
      </c>
      <c r="G1469" s="2">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2">
        <v>45712</v>
      </c>
      <c r="G1470" s="2">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2">
        <v>45712</v>
      </c>
      <c r="G1471" s="2">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2">
        <v>45712</v>
      </c>
      <c r="G1472" s="2">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2">
        <v>45712</v>
      </c>
      <c r="G1473" s="2">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2">
        <v>45712</v>
      </c>
      <c r="G1474" s="2">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2">
        <v>45712</v>
      </c>
      <c r="G1475" s="2">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2">
        <v>45712</v>
      </c>
      <c r="G1476" s="2">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2">
        <v>45712</v>
      </c>
      <c r="G1477" s="2">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2">
        <v>45712</v>
      </c>
      <c r="G1478" s="2">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2">
        <v>45713</v>
      </c>
      <c r="G1479" s="2">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2">
        <v>45713</v>
      </c>
      <c r="G1480" s="2">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2">
        <v>45713</v>
      </c>
      <c r="G1481" s="2">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2">
        <v>45713</v>
      </c>
      <c r="G1482" s="2">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2">
        <v>45713</v>
      </c>
      <c r="G1483" s="2">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2">
        <v>45713</v>
      </c>
      <c r="G1484" s="2">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2">
        <v>45713</v>
      </c>
      <c r="G1485" s="2">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2">
        <v>45713</v>
      </c>
      <c r="G1486" s="2">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2">
        <v>45713</v>
      </c>
      <c r="G1487" s="2">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2">
        <v>45713</v>
      </c>
      <c r="G1488" s="2">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2">
        <v>45713</v>
      </c>
      <c r="G1489" s="2">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2">
        <v>45713</v>
      </c>
      <c r="G1490" s="2">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2">
        <v>45713</v>
      </c>
      <c r="G1491" s="2">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2">
        <v>45713</v>
      </c>
      <c r="G1492" s="2">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2">
        <v>45713</v>
      </c>
      <c r="G1493" s="2">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2">
        <v>45713</v>
      </c>
      <c r="G1494" s="2">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2">
        <v>45713</v>
      </c>
      <c r="G1495" s="2">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2">
        <v>45713</v>
      </c>
      <c r="G1496" s="2">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2">
        <v>45713</v>
      </c>
      <c r="G1497" s="2">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2">
        <v>45713</v>
      </c>
      <c r="G1498" s="2">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2">
        <v>45713</v>
      </c>
      <c r="G1499" s="2">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2">
        <v>45713</v>
      </c>
      <c r="G1500" s="2">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2">
        <v>45713</v>
      </c>
      <c r="G1501" s="2">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2">
        <v>45713</v>
      </c>
      <c r="G1502" s="2">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2">
        <v>45713</v>
      </c>
      <c r="G1503" s="2">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2">
        <v>45713</v>
      </c>
      <c r="G1504" s="2">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2">
        <v>45713</v>
      </c>
      <c r="G1505" s="2">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2">
        <v>45713</v>
      </c>
      <c r="G1506" s="2">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2">
        <v>45713</v>
      </c>
      <c r="G1507" s="2">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2">
        <v>45713</v>
      </c>
      <c r="G1508" s="2">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2">
        <v>45713</v>
      </c>
      <c r="G1509" s="2">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2">
        <v>45713</v>
      </c>
      <c r="G1510" s="2">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2">
        <v>45713</v>
      </c>
      <c r="G1511" s="2">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2">
        <v>45713</v>
      </c>
      <c r="G1512" s="2">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2">
        <v>45713</v>
      </c>
      <c r="G1513" s="2">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2">
        <v>45714</v>
      </c>
      <c r="G1514" s="2">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2">
        <v>45714</v>
      </c>
      <c r="G1515" s="2">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2">
        <v>45714</v>
      </c>
      <c r="G1516" s="2">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2">
        <v>45714</v>
      </c>
      <c r="G1517" s="2">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2">
        <v>45714</v>
      </c>
      <c r="G1518" s="2">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2">
        <v>45714</v>
      </c>
      <c r="G1519" s="2">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2">
        <v>45714</v>
      </c>
      <c r="G1520" s="2">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2">
        <v>45714</v>
      </c>
      <c r="G1521" s="2">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2">
        <v>45714</v>
      </c>
      <c r="G1522" s="2">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2">
        <v>45714</v>
      </c>
      <c r="G1523" s="2">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2">
        <v>45714</v>
      </c>
      <c r="G1524" s="2">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2">
        <v>45714</v>
      </c>
      <c r="G1525" s="2">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2">
        <v>45714</v>
      </c>
      <c r="G1526" s="2">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2">
        <v>45714</v>
      </c>
      <c r="G1527" s="2">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2">
        <v>45714</v>
      </c>
      <c r="G1528" s="2">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2">
        <v>45714</v>
      </c>
      <c r="G1529" s="2">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2">
        <v>45714</v>
      </c>
      <c r="G1530" s="2">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2">
        <v>45714</v>
      </c>
      <c r="G1531" s="2">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2">
        <v>45714</v>
      </c>
      <c r="G1532" s="2">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2">
        <v>45714</v>
      </c>
      <c r="G1533" s="2">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2">
        <v>45714</v>
      </c>
      <c r="G1534" s="2">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2">
        <v>45714</v>
      </c>
      <c r="G1535" s="2">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2">
        <v>45714</v>
      </c>
      <c r="G1536" s="2">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2">
        <v>45714</v>
      </c>
      <c r="G1537" s="2">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2">
        <v>45714</v>
      </c>
      <c r="G1538" s="2">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2">
        <v>45714</v>
      </c>
      <c r="G1539" s="2">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2">
        <v>45714</v>
      </c>
      <c r="G1540" s="2">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2">
        <v>45714</v>
      </c>
      <c r="G1541" s="2">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2">
        <v>45715</v>
      </c>
      <c r="G1542" s="2">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2">
        <v>45715</v>
      </c>
      <c r="G1543" s="2">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2">
        <v>45715</v>
      </c>
      <c r="G1544" s="2">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2">
        <v>45715</v>
      </c>
      <c r="G1545" s="2">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2">
        <v>45715</v>
      </c>
      <c r="G1546" s="2">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2">
        <v>45715</v>
      </c>
      <c r="G1547" s="2">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2">
        <v>45715</v>
      </c>
      <c r="G1548" s="2">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2">
        <v>45715</v>
      </c>
      <c r="G1549" s="2">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2">
        <v>45715</v>
      </c>
      <c r="G1550" s="2">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2">
        <v>45715</v>
      </c>
      <c r="G1551" s="2">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2">
        <v>45715</v>
      </c>
      <c r="G1552" s="2">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2">
        <v>45715</v>
      </c>
      <c r="G1553" s="2">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2">
        <v>45715</v>
      </c>
      <c r="G1554" s="2">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2">
        <v>45715</v>
      </c>
      <c r="G1555" s="2">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2">
        <v>45715</v>
      </c>
      <c r="G1556" s="2">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2">
        <v>45715</v>
      </c>
      <c r="G1557" s="2">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2">
        <v>45715</v>
      </c>
      <c r="G1558" s="2">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2">
        <v>45715</v>
      </c>
      <c r="G1559" s="2">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2">
        <v>45715</v>
      </c>
      <c r="G1560" s="2">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2">
        <v>45715</v>
      </c>
      <c r="G1561" s="2">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2">
        <v>45715</v>
      </c>
      <c r="G1562" s="2">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2">
        <v>45715</v>
      </c>
      <c r="G1563" s="2">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2">
        <v>45716</v>
      </c>
      <c r="G1564" s="2">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2">
        <v>45716</v>
      </c>
      <c r="G1565" s="2">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2">
        <v>45716</v>
      </c>
      <c r="G1566" s="2">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2">
        <v>45716</v>
      </c>
      <c r="G1567" s="2">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2">
        <v>45716</v>
      </c>
      <c r="G1568" s="2">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2">
        <v>45716</v>
      </c>
      <c r="G1569" s="2">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2">
        <v>45716</v>
      </c>
      <c r="G1570" s="2">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2">
        <v>45716</v>
      </c>
      <c r="G1571" s="2">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2">
        <v>45716</v>
      </c>
      <c r="G1572" s="2">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2">
        <v>45716</v>
      </c>
      <c r="G1573" s="2">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2">
        <v>45716</v>
      </c>
      <c r="G1574" s="2">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2">
        <v>45716</v>
      </c>
      <c r="G1575" s="2">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2">
        <v>45716</v>
      </c>
      <c r="G1576" s="2">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2">
        <v>45716</v>
      </c>
      <c r="G1577" s="2">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2">
        <v>45716</v>
      </c>
      <c r="G1578" s="2">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2">
        <v>45716</v>
      </c>
      <c r="G1579" s="2">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2">
        <v>45716</v>
      </c>
      <c r="G1580" s="2">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2">
        <v>45716</v>
      </c>
      <c r="G1581" s="2">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2">
        <v>45716</v>
      </c>
      <c r="G1582" s="2">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2">
        <v>45716</v>
      </c>
      <c r="G1583" s="2">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2">
        <v>45716</v>
      </c>
      <c r="G1584" s="2">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2">
        <v>45716</v>
      </c>
      <c r="G1585" s="2">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2">
        <v>45716</v>
      </c>
      <c r="G1586" s="2">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2">
        <v>45716</v>
      </c>
      <c r="G1587" s="2">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2">
        <v>45716</v>
      </c>
      <c r="G1588" s="2">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2">
        <v>45716</v>
      </c>
      <c r="G1589" s="2">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2">
        <v>45716</v>
      </c>
      <c r="G1590" s="2">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2">
        <v>45716</v>
      </c>
      <c r="G1591" s="2">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2">
        <v>45716</v>
      </c>
      <c r="G1592" s="2">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2">
        <v>45717</v>
      </c>
      <c r="G1593" s="2">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2">
        <v>45717</v>
      </c>
      <c r="G1594" s="2">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2">
        <v>45717</v>
      </c>
      <c r="G1595" s="2">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2">
        <v>45717</v>
      </c>
      <c r="G1596" s="2">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2">
        <v>45717</v>
      </c>
      <c r="G1597" s="2">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2">
        <v>45717</v>
      </c>
      <c r="G1598" s="2">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2">
        <v>45717</v>
      </c>
      <c r="G1599" s="2">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2">
        <v>45717</v>
      </c>
      <c r="G1600" s="2">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2">
        <v>45717</v>
      </c>
      <c r="G1601" s="2">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2">
        <v>45717</v>
      </c>
      <c r="G1602" s="2">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2">
        <v>45717</v>
      </c>
      <c r="G1603" s="2">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2">
        <v>45717</v>
      </c>
      <c r="G1604" s="2">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2">
        <v>45717</v>
      </c>
      <c r="G1605" s="2">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2">
        <v>45717</v>
      </c>
      <c r="G1606" s="2">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2">
        <v>45717</v>
      </c>
      <c r="G1607" s="2">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2">
        <v>45717</v>
      </c>
      <c r="G1608" s="2">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2">
        <v>45717</v>
      </c>
      <c r="G1609" s="2">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2">
        <v>45717</v>
      </c>
      <c r="G1610" s="2">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2">
        <v>45717</v>
      </c>
      <c r="G1611" s="2">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2">
        <v>45717</v>
      </c>
      <c r="G1612" s="2">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2">
        <v>45717</v>
      </c>
      <c r="G1613" s="2">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2">
        <v>45717</v>
      </c>
      <c r="G1614" s="2">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2">
        <v>45718</v>
      </c>
      <c r="G1615" s="2">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2">
        <v>45718</v>
      </c>
      <c r="G1616" s="2">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2">
        <v>45718</v>
      </c>
      <c r="G1617" s="2">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2">
        <v>45718</v>
      </c>
      <c r="G1618" s="2">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2">
        <v>45718</v>
      </c>
      <c r="G1619" s="2">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2">
        <v>45718</v>
      </c>
      <c r="G1620" s="2">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2">
        <v>45718</v>
      </c>
      <c r="G1621" s="2">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2">
        <v>45718</v>
      </c>
      <c r="G1622" s="2">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2">
        <v>45718</v>
      </c>
      <c r="G1623" s="2">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2">
        <v>45718</v>
      </c>
      <c r="G1624" s="2">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2">
        <v>45718</v>
      </c>
      <c r="G1625" s="2">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2">
        <v>45718</v>
      </c>
      <c r="G1626" s="2">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2">
        <v>45718</v>
      </c>
      <c r="G1627" s="2">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2">
        <v>45718</v>
      </c>
      <c r="G1628" s="2">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2">
        <v>45718</v>
      </c>
      <c r="G1629" s="2">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2">
        <v>45718</v>
      </c>
      <c r="G1630" s="2">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2">
        <v>45718</v>
      </c>
      <c r="G1631" s="2">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2">
        <v>45718</v>
      </c>
      <c r="G1632" s="2">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2">
        <v>45718</v>
      </c>
      <c r="G1633" s="2">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2">
        <v>45718</v>
      </c>
      <c r="G1634" s="2">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2">
        <v>45718</v>
      </c>
      <c r="G1635" s="2">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2">
        <v>45718</v>
      </c>
      <c r="G1636" s="2">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2">
        <v>45718</v>
      </c>
      <c r="G1637" s="2">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2">
        <v>45718</v>
      </c>
      <c r="G1638" s="2">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2">
        <v>45718</v>
      </c>
      <c r="G1639" s="2">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2">
        <v>45718</v>
      </c>
      <c r="G1640" s="2">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2">
        <v>45718</v>
      </c>
      <c r="G1641" s="2">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2">
        <v>45718</v>
      </c>
      <c r="G1642" s="2">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2">
        <v>45719</v>
      </c>
      <c r="G1643" s="2">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2">
        <v>45719</v>
      </c>
      <c r="G1644" s="2">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2">
        <v>45719</v>
      </c>
      <c r="G1645" s="2">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2">
        <v>45719</v>
      </c>
      <c r="G1646" s="2">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2">
        <v>45719</v>
      </c>
      <c r="G1647" s="2">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2">
        <v>45719</v>
      </c>
      <c r="G1648" s="2">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2">
        <v>45719</v>
      </c>
      <c r="G1649" s="2">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2">
        <v>45719</v>
      </c>
      <c r="G1650" s="2">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2">
        <v>45719</v>
      </c>
      <c r="G1651" s="2">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2">
        <v>45719</v>
      </c>
      <c r="G1652" s="2">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2">
        <v>45719</v>
      </c>
      <c r="G1653" s="2">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2">
        <v>45719</v>
      </c>
      <c r="G1654" s="2">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2">
        <v>45719</v>
      </c>
      <c r="G1655" s="2">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2">
        <v>45719</v>
      </c>
      <c r="G1656" s="2">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2">
        <v>45719</v>
      </c>
      <c r="G1657" s="2">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2">
        <v>45719</v>
      </c>
      <c r="G1658" s="2">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2">
        <v>45719</v>
      </c>
      <c r="G1659" s="2">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2">
        <v>45719</v>
      </c>
      <c r="G1660" s="2">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2">
        <v>45719</v>
      </c>
      <c r="G1661" s="2">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2">
        <v>45719</v>
      </c>
      <c r="G1662" s="2">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2">
        <v>45719</v>
      </c>
      <c r="G1663" s="2">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2">
        <v>45719</v>
      </c>
      <c r="G1664" s="2">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2">
        <v>45719</v>
      </c>
      <c r="G1665" s="2">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2">
        <v>45719</v>
      </c>
      <c r="G1666" s="2">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2">
        <v>45719</v>
      </c>
      <c r="G1667" s="2">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2">
        <v>45719</v>
      </c>
      <c r="G1668" s="2">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2">
        <v>45719</v>
      </c>
      <c r="G1669" s="2">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2">
        <v>45719</v>
      </c>
      <c r="G1670" s="2">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2">
        <v>45719</v>
      </c>
      <c r="G1671" s="2">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2">
        <v>45719</v>
      </c>
      <c r="G1672" s="2">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2">
        <v>45719</v>
      </c>
      <c r="G1673" s="2">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2">
        <v>45719</v>
      </c>
      <c r="G1674" s="2">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2">
        <v>45720</v>
      </c>
      <c r="G1675" s="2">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2">
        <v>45720</v>
      </c>
      <c r="G1676" s="2">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2">
        <v>45720</v>
      </c>
      <c r="G1677" s="2">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2">
        <v>45720</v>
      </c>
      <c r="G1678" s="2">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2">
        <v>45720</v>
      </c>
      <c r="G1679" s="2">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2">
        <v>45720</v>
      </c>
      <c r="G1680" s="2">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2">
        <v>45720</v>
      </c>
      <c r="G1681" s="2">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2">
        <v>45720</v>
      </c>
      <c r="G1682" s="2">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2">
        <v>45720</v>
      </c>
      <c r="G1683" s="2">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2">
        <v>45720</v>
      </c>
      <c r="G1684" s="2">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2">
        <v>45720</v>
      </c>
      <c r="G1685" s="2">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2">
        <v>45720</v>
      </c>
      <c r="G1686" s="2">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2">
        <v>45720</v>
      </c>
      <c r="G1687" s="2">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2">
        <v>45720</v>
      </c>
      <c r="G1688" s="2">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2">
        <v>45720</v>
      </c>
      <c r="G1689" s="2">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2">
        <v>45720</v>
      </c>
      <c r="G1690" s="2">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2">
        <v>45720</v>
      </c>
      <c r="G1691" s="2">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2">
        <v>45720</v>
      </c>
      <c r="G1692" s="2">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2">
        <v>45720</v>
      </c>
      <c r="G1693" s="2">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2">
        <v>45720</v>
      </c>
      <c r="G1694" s="2">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2">
        <v>45720</v>
      </c>
      <c r="G1695" s="2">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2">
        <v>45720</v>
      </c>
      <c r="G1696" s="2">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2">
        <v>45720</v>
      </c>
      <c r="G1697" s="2">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2">
        <v>45720</v>
      </c>
      <c r="G1698" s="2">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2">
        <v>45720</v>
      </c>
      <c r="G1699" s="2">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2">
        <v>45720</v>
      </c>
      <c r="G1700" s="2">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2">
        <v>45720</v>
      </c>
      <c r="G1701" s="2">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2">
        <v>45720</v>
      </c>
      <c r="G1702" s="2">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2">
        <v>45720</v>
      </c>
      <c r="G1703" s="2">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2">
        <v>45720</v>
      </c>
      <c r="G1704" s="2">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2">
        <v>45720</v>
      </c>
      <c r="G1705" s="2">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2">
        <v>45720</v>
      </c>
      <c r="G1706" s="2">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2">
        <v>45720</v>
      </c>
      <c r="G1707" s="2">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2">
        <v>45720</v>
      </c>
      <c r="G1708" s="2">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2">
        <v>45720</v>
      </c>
      <c r="G1709" s="2">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2">
        <v>45720</v>
      </c>
      <c r="G1710" s="2">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2">
        <v>45720</v>
      </c>
      <c r="G1711" s="2">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2">
        <v>45720</v>
      </c>
      <c r="G1712" s="2">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2">
        <v>45720</v>
      </c>
      <c r="G1713" s="2">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2">
        <v>45720</v>
      </c>
      <c r="G1714" s="2">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2">
        <v>45720</v>
      </c>
      <c r="G1715" s="2">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2">
        <v>45720</v>
      </c>
      <c r="G1716" s="2">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2">
        <v>45720</v>
      </c>
      <c r="G1717" s="2">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2">
        <v>45720</v>
      </c>
      <c r="G1718" s="2">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2">
        <v>45720</v>
      </c>
      <c r="G1719" s="2">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2">
        <v>45720</v>
      </c>
      <c r="G1720" s="2">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2">
        <v>45720</v>
      </c>
      <c r="G1721" s="2">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2">
        <v>45721</v>
      </c>
      <c r="G1722" s="2">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2">
        <v>45721</v>
      </c>
      <c r="G1723" s="2">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2">
        <v>45721</v>
      </c>
      <c r="G1724" s="2">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2">
        <v>45721</v>
      </c>
      <c r="G1725" s="2">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2">
        <v>45721</v>
      </c>
      <c r="G1726" s="2">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2">
        <v>45721</v>
      </c>
      <c r="G1727" s="2">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2">
        <v>45721</v>
      </c>
      <c r="G1728" s="2">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2">
        <v>45721</v>
      </c>
      <c r="G1729" s="2">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2">
        <v>45721</v>
      </c>
      <c r="G1730" s="2">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2">
        <v>45721</v>
      </c>
      <c r="G1731" s="2">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2">
        <v>45721</v>
      </c>
      <c r="G1732" s="2">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2">
        <v>45721</v>
      </c>
      <c r="G1733" s="2">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2">
        <v>45721</v>
      </c>
      <c r="G1734" s="2">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2">
        <v>45721</v>
      </c>
      <c r="G1735" s="2">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2">
        <v>45721</v>
      </c>
      <c r="G1736" s="2">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2">
        <v>45721</v>
      </c>
      <c r="G1737" s="2">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2">
        <v>45721</v>
      </c>
      <c r="G1738" s="2">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2">
        <v>45721</v>
      </c>
      <c r="G1739" s="2">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2">
        <v>45721</v>
      </c>
      <c r="G1740" s="2">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2">
        <v>45721</v>
      </c>
      <c r="G1741" s="2">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2">
        <v>45721</v>
      </c>
      <c r="G1742" s="2">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2">
        <v>45721</v>
      </c>
      <c r="G1743" s="2">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2">
        <v>45721</v>
      </c>
      <c r="G1744" s="2">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2">
        <v>45721</v>
      </c>
      <c r="G1745" s="2">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2">
        <v>45721</v>
      </c>
      <c r="G1746" s="2">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2">
        <v>45721</v>
      </c>
      <c r="G1747" s="2">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2">
        <v>45721</v>
      </c>
      <c r="G1748" s="2">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2">
        <v>45721</v>
      </c>
      <c r="G1749" s="2">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2">
        <v>45721</v>
      </c>
      <c r="G1750" s="2">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2">
        <v>45721</v>
      </c>
      <c r="G1751" s="2">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2">
        <v>45721</v>
      </c>
      <c r="G1752" s="2">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2">
        <v>45721</v>
      </c>
      <c r="G1753" s="2">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2">
        <v>45721</v>
      </c>
      <c r="G1754" s="2">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2">
        <v>45721</v>
      </c>
      <c r="G1755" s="2">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2">
        <v>45721</v>
      </c>
      <c r="G1756" s="2">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2">
        <v>45722</v>
      </c>
      <c r="G1757" s="2">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2">
        <v>45722</v>
      </c>
      <c r="G1758" s="2">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2">
        <v>45722</v>
      </c>
      <c r="G1759" s="2">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2">
        <v>45722</v>
      </c>
      <c r="G1760" s="2">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2">
        <v>45722</v>
      </c>
      <c r="G1761" s="2">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2">
        <v>45722</v>
      </c>
      <c r="G1762" s="2">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2">
        <v>45722</v>
      </c>
      <c r="G1763" s="2">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2">
        <v>45722</v>
      </c>
      <c r="G1764" s="2">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2">
        <v>45722</v>
      </c>
      <c r="G1765" s="2">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2">
        <v>45722</v>
      </c>
      <c r="G1766" s="2">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2">
        <v>45722</v>
      </c>
      <c r="G1767" s="2">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2">
        <v>45722</v>
      </c>
      <c r="G1768" s="2">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2">
        <v>45722</v>
      </c>
      <c r="G1769" s="2">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2">
        <v>45722</v>
      </c>
      <c r="G1770" s="2">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2">
        <v>45722</v>
      </c>
      <c r="G1771" s="2">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2">
        <v>45722</v>
      </c>
      <c r="G1772" s="2">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2">
        <v>45722</v>
      </c>
      <c r="G1773" s="2">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2">
        <v>45722</v>
      </c>
      <c r="G1774" s="2">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2">
        <v>45722</v>
      </c>
      <c r="G1775" s="2">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2">
        <v>45722</v>
      </c>
      <c r="G1776" s="2">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2">
        <v>45722</v>
      </c>
      <c r="G1777" s="2">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2">
        <v>45722</v>
      </c>
      <c r="G1778" s="2">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2">
        <v>45722</v>
      </c>
      <c r="G1779" s="2">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2">
        <v>45722</v>
      </c>
      <c r="G1780" s="2">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2">
        <v>45722</v>
      </c>
      <c r="G1781" s="2">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2">
        <v>45722</v>
      </c>
      <c r="G1782" s="2">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2">
        <v>45722</v>
      </c>
      <c r="G1783" s="2">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2">
        <v>45722</v>
      </c>
      <c r="G1784" s="2">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2">
        <v>45722</v>
      </c>
      <c r="G1785" s="2">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2">
        <v>45722</v>
      </c>
      <c r="G1786" s="2">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2">
        <v>45722</v>
      </c>
      <c r="G1787" s="2">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2">
        <v>45722</v>
      </c>
      <c r="G1788" s="2">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2">
        <v>45723</v>
      </c>
      <c r="G1789" s="2">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2">
        <v>45723</v>
      </c>
      <c r="G1790" s="2">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2">
        <v>45723</v>
      </c>
      <c r="G1791" s="2">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2">
        <v>45723</v>
      </c>
      <c r="G1792" s="2">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2">
        <v>45723</v>
      </c>
      <c r="G1793" s="2">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2">
        <v>45723</v>
      </c>
      <c r="G1794" s="2">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2">
        <v>45723</v>
      </c>
      <c r="G1795" s="2">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2">
        <v>45723</v>
      </c>
      <c r="G1796" s="2">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2">
        <v>45723</v>
      </c>
      <c r="G1797" s="2">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2">
        <v>45723</v>
      </c>
      <c r="G1798" s="2">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2">
        <v>45723</v>
      </c>
      <c r="G1799" s="2">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2">
        <v>45723</v>
      </c>
      <c r="G1800" s="2">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2">
        <v>45723</v>
      </c>
      <c r="G1801" s="2">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2">
        <v>45723</v>
      </c>
      <c r="G1802" s="2">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2">
        <v>45723</v>
      </c>
      <c r="G1803" s="2">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2">
        <v>45723</v>
      </c>
      <c r="G1804" s="2">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2">
        <v>45723</v>
      </c>
      <c r="G1805" s="2">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2">
        <v>45723</v>
      </c>
      <c r="G1806" s="2">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2">
        <v>45723</v>
      </c>
      <c r="G1807" s="2">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2">
        <v>45724</v>
      </c>
      <c r="G1808" s="2">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2">
        <v>45724</v>
      </c>
      <c r="G1809" s="2">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2">
        <v>45724</v>
      </c>
      <c r="G1810" s="2">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2">
        <v>45724</v>
      </c>
      <c r="G1811" s="2">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2">
        <v>45724</v>
      </c>
      <c r="G1812" s="2">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2">
        <v>45724</v>
      </c>
      <c r="G1813" s="2">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2">
        <v>45724</v>
      </c>
      <c r="G1814" s="2">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2">
        <v>45724</v>
      </c>
      <c r="G1815" s="2">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2">
        <v>45724</v>
      </c>
      <c r="G1816" s="2">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2">
        <v>45724</v>
      </c>
      <c r="G1817" s="2">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2">
        <v>45724</v>
      </c>
      <c r="G1818" s="2">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2">
        <v>45724</v>
      </c>
      <c r="G1819" s="2">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2">
        <v>45724</v>
      </c>
      <c r="G1820" s="2">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2">
        <v>45724</v>
      </c>
      <c r="G1821" s="2">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2">
        <v>45724</v>
      </c>
      <c r="G1822" s="2">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2">
        <v>45724</v>
      </c>
      <c r="G1823" s="2">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2">
        <v>45724</v>
      </c>
      <c r="G1824" s="2">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2">
        <v>45724</v>
      </c>
      <c r="G1825" s="2">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2">
        <v>45724</v>
      </c>
      <c r="G1826" s="2">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2">
        <v>45724</v>
      </c>
      <c r="G1827" s="2">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2">
        <v>45724</v>
      </c>
      <c r="G1828" s="2">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2">
        <v>45725</v>
      </c>
      <c r="G1829" s="2">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2">
        <v>45725</v>
      </c>
      <c r="G1830" s="2">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2">
        <v>45725</v>
      </c>
      <c r="G1831" s="2">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2">
        <v>45725</v>
      </c>
      <c r="G1832" s="2">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2">
        <v>45725</v>
      </c>
      <c r="G1833" s="2">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2">
        <v>45725</v>
      </c>
      <c r="G1834" s="2">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2">
        <v>45725</v>
      </c>
      <c r="G1835" s="2">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2">
        <v>45725</v>
      </c>
      <c r="G1836" s="2">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2">
        <v>45725</v>
      </c>
      <c r="G1837" s="2">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2">
        <v>45725</v>
      </c>
      <c r="G1838" s="2">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2">
        <v>45725</v>
      </c>
      <c r="G1839" s="2">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2">
        <v>45725</v>
      </c>
      <c r="G1840" s="2">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2">
        <v>45725</v>
      </c>
      <c r="G1841" s="2">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2">
        <v>45725</v>
      </c>
      <c r="G1842" s="2">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2">
        <v>45725</v>
      </c>
      <c r="G1843" s="2">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2">
        <v>45725</v>
      </c>
      <c r="G1844" s="2">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2">
        <v>45725</v>
      </c>
      <c r="G1845" s="2">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2">
        <v>45725</v>
      </c>
      <c r="G1846" s="2">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2">
        <v>45725</v>
      </c>
      <c r="G1847" s="2">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2">
        <v>45725</v>
      </c>
      <c r="G1848" s="2">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2">
        <v>45725</v>
      </c>
      <c r="G1849" s="2">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2">
        <v>45725</v>
      </c>
      <c r="G1850" s="2">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2">
        <v>45725</v>
      </c>
      <c r="G1851" s="2">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2">
        <v>45725</v>
      </c>
      <c r="G1852" s="2">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2">
        <v>45725</v>
      </c>
      <c r="G1853" s="2">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2">
        <v>45725</v>
      </c>
      <c r="G1854" s="2">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2">
        <v>45725</v>
      </c>
      <c r="G1855" s="2">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2">
        <v>45726</v>
      </c>
      <c r="G1856" s="2">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2">
        <v>45726</v>
      </c>
      <c r="G1857" s="2">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2">
        <v>45726</v>
      </c>
      <c r="G1858" s="2">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2">
        <v>45726</v>
      </c>
      <c r="G1859" s="2">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2">
        <v>45726</v>
      </c>
      <c r="G1860" s="2">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2">
        <v>45726</v>
      </c>
      <c r="G1861" s="2">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2">
        <v>45726</v>
      </c>
      <c r="G1862" s="2">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2">
        <v>45726</v>
      </c>
      <c r="G1863" s="2">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2">
        <v>45726</v>
      </c>
      <c r="G1864" s="2">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2">
        <v>45726</v>
      </c>
      <c r="G1865" s="2">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2">
        <v>45726</v>
      </c>
      <c r="G1866" s="2">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2">
        <v>45726</v>
      </c>
      <c r="G1867" s="2">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2">
        <v>45726</v>
      </c>
      <c r="G1868" s="2">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2">
        <v>45726</v>
      </c>
      <c r="G1869" s="2">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2">
        <v>45726</v>
      </c>
      <c r="G1870" s="2">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2">
        <v>45726</v>
      </c>
      <c r="G1871" s="2">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2">
        <v>45726</v>
      </c>
      <c r="G1872" s="2">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2">
        <v>45726</v>
      </c>
      <c r="G1873" s="2">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2">
        <v>45726</v>
      </c>
      <c r="G1874" s="2">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2">
        <v>45726</v>
      </c>
      <c r="G1875" s="2">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2">
        <v>45726</v>
      </c>
      <c r="G1876" s="2">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2">
        <v>45726</v>
      </c>
      <c r="G1877" s="2">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2">
        <v>45726</v>
      </c>
      <c r="G1878" s="2">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2">
        <v>45726</v>
      </c>
      <c r="G1879" s="2">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2">
        <v>45726</v>
      </c>
      <c r="G1880" s="2">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2">
        <v>45726</v>
      </c>
      <c r="G1881" s="2">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2">
        <v>45726</v>
      </c>
      <c r="G1882" s="2">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2">
        <v>45726</v>
      </c>
      <c r="G1883" s="2">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2">
        <v>45726</v>
      </c>
      <c r="G1884" s="2">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2">
        <v>45726</v>
      </c>
      <c r="G1885" s="2">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2">
        <v>45726</v>
      </c>
      <c r="G1886" s="2">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2">
        <v>45726</v>
      </c>
      <c r="G1887" s="2">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2">
        <v>45726</v>
      </c>
      <c r="G1888" s="2">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2">
        <v>45726</v>
      </c>
      <c r="G1889" s="2">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2">
        <v>45727</v>
      </c>
      <c r="G1890" s="2">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2">
        <v>45727</v>
      </c>
      <c r="G1891" s="2">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2">
        <v>45727</v>
      </c>
      <c r="G1892" s="2">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2">
        <v>45727</v>
      </c>
      <c r="G1893" s="2">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2">
        <v>45727</v>
      </c>
      <c r="G1894" s="2">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2">
        <v>45727</v>
      </c>
      <c r="G1895" s="2">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2">
        <v>45727</v>
      </c>
      <c r="G1896" s="2">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2">
        <v>45727</v>
      </c>
      <c r="G1897" s="2">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2">
        <v>45727</v>
      </c>
      <c r="G1898" s="2">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2">
        <v>45727</v>
      </c>
      <c r="G1899" s="2">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2">
        <v>45727</v>
      </c>
      <c r="G1900" s="2">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2">
        <v>45727</v>
      </c>
      <c r="G1901" s="2">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2">
        <v>45727</v>
      </c>
      <c r="G1902" s="2">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2">
        <v>45727</v>
      </c>
      <c r="G1903" s="2">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2">
        <v>45727</v>
      </c>
      <c r="G1904" s="2">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2">
        <v>45727</v>
      </c>
      <c r="G1905" s="2">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2">
        <v>45727</v>
      </c>
      <c r="G1906" s="2">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2">
        <v>45727</v>
      </c>
      <c r="G1907" s="2">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2">
        <v>45727</v>
      </c>
      <c r="G1908" s="2">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2">
        <v>45727</v>
      </c>
      <c r="G1909" s="2">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2">
        <v>45727</v>
      </c>
      <c r="G1910" s="2">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2">
        <v>45727</v>
      </c>
      <c r="G1911" s="2">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2">
        <v>45727</v>
      </c>
      <c r="G1912" s="2">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2">
        <v>45727</v>
      </c>
      <c r="G1913" s="2">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2">
        <v>45727</v>
      </c>
      <c r="G1914" s="2">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2">
        <v>45727</v>
      </c>
      <c r="G1915" s="2">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2">
        <v>45727</v>
      </c>
      <c r="G1916" s="2">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2">
        <v>45727</v>
      </c>
      <c r="G1917" s="2">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2">
        <v>45727</v>
      </c>
      <c r="G1918" s="2">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2">
        <v>45727</v>
      </c>
      <c r="G1919" s="2">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2">
        <v>45728</v>
      </c>
      <c r="G1920" s="2">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2">
        <v>45728</v>
      </c>
      <c r="G1921" s="2">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2">
        <v>45728</v>
      </c>
      <c r="G1922" s="2">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2">
        <v>45728</v>
      </c>
      <c r="G1923" s="2">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2">
        <v>45728</v>
      </c>
      <c r="G1924" s="2">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2">
        <v>45728</v>
      </c>
      <c r="G1925" s="2">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2">
        <v>45728</v>
      </c>
      <c r="G1926" s="2">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2">
        <v>45728</v>
      </c>
      <c r="G1927" s="2">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2">
        <v>45728</v>
      </c>
      <c r="G1928" s="2">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2">
        <v>45728</v>
      </c>
      <c r="G1929" s="2">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2">
        <v>45728</v>
      </c>
      <c r="G1930" s="2">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2">
        <v>45728</v>
      </c>
      <c r="G1931" s="2">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2">
        <v>45728</v>
      </c>
      <c r="G1932" s="2">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2">
        <v>45728</v>
      </c>
      <c r="G1933" s="2">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2">
        <v>45728</v>
      </c>
      <c r="G1934" s="2">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2">
        <v>45728</v>
      </c>
      <c r="G1935" s="2">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2">
        <v>45728</v>
      </c>
      <c r="G1936" s="2">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2">
        <v>45728</v>
      </c>
      <c r="G1937" s="2">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2">
        <v>45728</v>
      </c>
      <c r="G1938" s="2">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2">
        <v>45728</v>
      </c>
      <c r="G1939" s="2">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2">
        <v>45728</v>
      </c>
      <c r="G1940" s="2">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2">
        <v>45728</v>
      </c>
      <c r="G1941" s="2">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2">
        <v>45728</v>
      </c>
      <c r="G1942" s="2">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2">
        <v>45728</v>
      </c>
      <c r="G1943" s="2">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2">
        <v>45728</v>
      </c>
      <c r="G1944" s="2">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2">
        <v>45728</v>
      </c>
      <c r="G1945" s="2">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2">
        <v>45728</v>
      </c>
      <c r="G1946" s="2">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2">
        <v>45728</v>
      </c>
      <c r="G1947" s="2">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2">
        <v>45728</v>
      </c>
      <c r="G1948" s="2">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2">
        <v>45728</v>
      </c>
      <c r="G1949" s="2">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2">
        <v>45728</v>
      </c>
      <c r="G1950" s="2">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2">
        <v>45728</v>
      </c>
      <c r="G1951" s="2">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2">
        <v>45729</v>
      </c>
      <c r="G1952" s="2">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2">
        <v>45729</v>
      </c>
      <c r="G1953" s="2">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2">
        <v>45729</v>
      </c>
      <c r="G1954" s="2">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2">
        <v>45729</v>
      </c>
      <c r="G1955" s="2">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2">
        <v>45729</v>
      </c>
      <c r="G1956" s="2">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2">
        <v>45729</v>
      </c>
      <c r="G1957" s="2">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2">
        <v>45729</v>
      </c>
      <c r="G1958" s="2">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2">
        <v>45729</v>
      </c>
      <c r="G1959" s="2">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2">
        <v>45729</v>
      </c>
      <c r="G1960" s="2">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2">
        <v>45729</v>
      </c>
      <c r="G1961" s="2">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2">
        <v>45729</v>
      </c>
      <c r="G1962" s="2">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2">
        <v>45729</v>
      </c>
      <c r="G1963" s="2">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2">
        <v>45729</v>
      </c>
      <c r="G1964" s="2">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2">
        <v>45729</v>
      </c>
      <c r="G1965" s="2">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2">
        <v>45729</v>
      </c>
      <c r="G1966" s="2">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2">
        <v>45729</v>
      </c>
      <c r="G1967" s="2">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2">
        <v>45729</v>
      </c>
      <c r="G1968" s="2">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2">
        <v>45729</v>
      </c>
      <c r="G1969" s="2">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2">
        <v>45729</v>
      </c>
      <c r="G1970" s="2">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2">
        <v>45729</v>
      </c>
      <c r="G1971" s="2">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2">
        <v>45729</v>
      </c>
      <c r="G1972" s="2">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2">
        <v>45729</v>
      </c>
      <c r="G1973" s="2">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2">
        <v>45729</v>
      </c>
      <c r="G1974" s="2">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2">
        <v>45729</v>
      </c>
      <c r="G1975" s="2">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2">
        <v>45729</v>
      </c>
      <c r="G1976" s="2">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2">
        <v>45729</v>
      </c>
      <c r="G1977" s="2">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2">
        <v>45730</v>
      </c>
      <c r="G1978" s="2">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2">
        <v>45730</v>
      </c>
      <c r="G1979" s="2">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2">
        <v>45730</v>
      </c>
      <c r="G1980" s="2">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2">
        <v>45730</v>
      </c>
      <c r="G1981" s="2">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2">
        <v>45730</v>
      </c>
      <c r="G1982" s="2">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2">
        <v>45730</v>
      </c>
      <c r="G1983" s="2">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2">
        <v>45730</v>
      </c>
      <c r="G1984" s="2">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2">
        <v>45730</v>
      </c>
      <c r="G1985" s="2">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2">
        <v>45730</v>
      </c>
      <c r="G1986" s="2">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2">
        <v>45730</v>
      </c>
      <c r="G1987" s="2">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2">
        <v>45730</v>
      </c>
      <c r="G1988" s="2">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2">
        <v>45731</v>
      </c>
      <c r="G1989" s="2">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2">
        <v>45731</v>
      </c>
      <c r="G1990" s="2">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2">
        <v>45731</v>
      </c>
      <c r="G1991" s="2">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2">
        <v>45731</v>
      </c>
      <c r="G1992" s="2">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2">
        <v>45731</v>
      </c>
      <c r="G1993" s="2">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2">
        <v>45731</v>
      </c>
      <c r="G1994" s="2">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2">
        <v>45731</v>
      </c>
      <c r="G1995" s="2">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2">
        <v>45731</v>
      </c>
      <c r="G1996" s="2">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2">
        <v>45731</v>
      </c>
      <c r="G1997" s="2">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2">
        <v>45731</v>
      </c>
      <c r="G1998" s="2">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2">
        <v>45731</v>
      </c>
      <c r="G1999" s="2">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2">
        <v>45731</v>
      </c>
      <c r="G2000" s="2">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2">
        <v>45731</v>
      </c>
      <c r="G2001" s="2">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2">
        <v>45731</v>
      </c>
      <c r="G2002" s="2">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2">
        <v>45731</v>
      </c>
      <c r="G2003" s="2">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2">
        <v>45731</v>
      </c>
      <c r="G2004" s="2">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2">
        <v>45731</v>
      </c>
      <c r="G2005" s="2">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2">
        <v>45731</v>
      </c>
      <c r="G2006" s="2">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2">
        <v>45731</v>
      </c>
      <c r="G2007" s="2">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2">
        <v>45731</v>
      </c>
      <c r="G2008" s="2">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2">
        <v>45731</v>
      </c>
      <c r="G2009" s="2">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2">
        <v>45731</v>
      </c>
      <c r="G2010" s="2">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2">
        <v>45731</v>
      </c>
      <c r="G2011" s="2">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2">
        <v>45731</v>
      </c>
      <c r="G2012" s="2">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2">
        <v>45731</v>
      </c>
      <c r="G2013" s="2">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2">
        <v>45731</v>
      </c>
      <c r="G2014" s="2">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2">
        <v>45731</v>
      </c>
      <c r="G2015" s="2">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2">
        <v>45731</v>
      </c>
      <c r="G2016" s="2">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2">
        <v>45731</v>
      </c>
      <c r="G2017" s="2">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2">
        <v>45732</v>
      </c>
      <c r="G2018" s="2">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2">
        <v>45732</v>
      </c>
      <c r="G2019" s="2">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2">
        <v>45732</v>
      </c>
      <c r="G2020" s="2">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2">
        <v>45732</v>
      </c>
      <c r="G2021" s="2">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2">
        <v>45732</v>
      </c>
      <c r="G2022" s="2">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2">
        <v>45732</v>
      </c>
      <c r="G2023" s="2">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2">
        <v>45732</v>
      </c>
      <c r="G2024" s="2">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2">
        <v>45732</v>
      </c>
      <c r="G2025" s="2">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2">
        <v>45732</v>
      </c>
      <c r="G2026" s="2">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2">
        <v>45732</v>
      </c>
      <c r="G2027" s="2">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2">
        <v>45732</v>
      </c>
      <c r="G2028" s="2">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2">
        <v>45732</v>
      </c>
      <c r="G2029" s="2">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2">
        <v>45732</v>
      </c>
      <c r="G2030" s="2">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2">
        <v>45732</v>
      </c>
      <c r="G2031" s="2">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2">
        <v>45732</v>
      </c>
      <c r="G2032" s="2">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2">
        <v>45732</v>
      </c>
      <c r="G2033" s="2">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2">
        <v>45732</v>
      </c>
      <c r="G2034" s="2">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2">
        <v>45732</v>
      </c>
      <c r="G2035" s="2">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2">
        <v>45732</v>
      </c>
      <c r="G2036" s="2">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2">
        <v>45732</v>
      </c>
      <c r="G2037" s="2">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2">
        <v>45732</v>
      </c>
      <c r="G2038" s="2">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2">
        <v>45732</v>
      </c>
      <c r="G2039" s="2">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2">
        <v>45732</v>
      </c>
      <c r="G2040" s="2">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2">
        <v>45732</v>
      </c>
      <c r="G2041" s="2">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2">
        <v>45732</v>
      </c>
      <c r="G2042" s="2">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2">
        <v>45732</v>
      </c>
      <c r="G2043" s="2">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2">
        <v>45732</v>
      </c>
      <c r="G2044" s="2">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2">
        <v>45732</v>
      </c>
      <c r="G2045" s="2">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2">
        <v>45732</v>
      </c>
      <c r="G2046" s="2">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2">
        <v>45732</v>
      </c>
      <c r="G2047" s="2">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2">
        <v>45732</v>
      </c>
      <c r="G2048" s="2">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2">
        <v>45733</v>
      </c>
      <c r="G2049" s="2">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2">
        <v>45733</v>
      </c>
      <c r="G2050" s="2">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2">
        <v>45733</v>
      </c>
      <c r="G2051" s="2">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2">
        <v>45733</v>
      </c>
      <c r="G2052" s="2">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2">
        <v>45733</v>
      </c>
      <c r="G2053" s="2">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2">
        <v>45733</v>
      </c>
      <c r="G2054" s="2">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2">
        <v>45733</v>
      </c>
      <c r="G2055" s="2">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2">
        <v>45733</v>
      </c>
      <c r="G2056" s="2">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2">
        <v>45733</v>
      </c>
      <c r="G2057" s="2">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2">
        <v>45733</v>
      </c>
      <c r="G2058" s="2">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2">
        <v>45733</v>
      </c>
      <c r="G2059" s="2">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2">
        <v>45733</v>
      </c>
      <c r="G2060" s="2">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2">
        <v>45733</v>
      </c>
      <c r="G2061" s="2">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2">
        <v>45733</v>
      </c>
      <c r="G2062" s="2">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2">
        <v>45733</v>
      </c>
      <c r="G2063" s="2">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2">
        <v>45733</v>
      </c>
      <c r="G2064" s="2">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2">
        <v>45733</v>
      </c>
      <c r="G2065" s="2">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2">
        <v>45733</v>
      </c>
      <c r="G2066" s="2">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2">
        <v>45733</v>
      </c>
      <c r="G2067" s="2">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2">
        <v>45733</v>
      </c>
      <c r="G2068" s="2">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2">
        <v>45733</v>
      </c>
      <c r="G2069" s="2">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2">
        <v>45733</v>
      </c>
      <c r="G2070" s="2">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2">
        <v>45733</v>
      </c>
      <c r="G2071" s="2">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2">
        <v>45733</v>
      </c>
      <c r="G2072" s="2">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2">
        <v>45733</v>
      </c>
      <c r="G2073" s="2">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2">
        <v>45733</v>
      </c>
      <c r="G2074" s="2">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2">
        <v>45733</v>
      </c>
      <c r="G2075" s="2">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2">
        <v>45734</v>
      </c>
      <c r="G2076" s="2">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2">
        <v>45734</v>
      </c>
      <c r="G2077" s="2">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2">
        <v>45734</v>
      </c>
      <c r="G2078" s="2">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2">
        <v>45734</v>
      </c>
      <c r="G2079" s="2">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2">
        <v>45734</v>
      </c>
      <c r="G2080" s="2">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2">
        <v>45734</v>
      </c>
      <c r="G2081" s="2">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2">
        <v>45734</v>
      </c>
      <c r="G2082" s="2">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2">
        <v>45734</v>
      </c>
      <c r="G2083" s="2">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2">
        <v>45734</v>
      </c>
      <c r="G2084" s="2">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2">
        <v>45734</v>
      </c>
      <c r="G2085" s="2">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2">
        <v>45734</v>
      </c>
      <c r="G2086" s="2">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2">
        <v>45734</v>
      </c>
      <c r="G2087" s="2">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2">
        <v>45734</v>
      </c>
      <c r="G2088" s="2">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2">
        <v>45734</v>
      </c>
      <c r="G2089" s="2">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2">
        <v>45734</v>
      </c>
      <c r="G2090" s="2">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2">
        <v>45734</v>
      </c>
      <c r="G2091" s="2">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2">
        <v>45734</v>
      </c>
      <c r="G2092" s="2">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2">
        <v>45734</v>
      </c>
      <c r="G2093" s="2">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2">
        <v>45734</v>
      </c>
      <c r="G2094" s="2">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2">
        <v>45734</v>
      </c>
      <c r="G2095" s="2">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2">
        <v>45734</v>
      </c>
      <c r="G2096" s="2">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2">
        <v>45734</v>
      </c>
      <c r="G2097" s="2">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2">
        <v>45735</v>
      </c>
      <c r="G2098" s="2">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2">
        <v>45735</v>
      </c>
      <c r="G2099" s="2">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2">
        <v>45735</v>
      </c>
      <c r="G2100" s="2">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2">
        <v>45735</v>
      </c>
      <c r="G2101" s="2">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2">
        <v>45735</v>
      </c>
      <c r="G2102" s="2">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2">
        <v>45735</v>
      </c>
      <c r="G2103" s="2">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2">
        <v>45735</v>
      </c>
      <c r="G2104" s="2">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2">
        <v>45735</v>
      </c>
      <c r="G2105" s="2">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2">
        <v>45735</v>
      </c>
      <c r="G2106" s="2">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2">
        <v>45735</v>
      </c>
      <c r="G2107" s="2">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2">
        <v>45735</v>
      </c>
      <c r="G2108" s="2">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2">
        <v>45735</v>
      </c>
      <c r="G2109" s="2">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2">
        <v>45735</v>
      </c>
      <c r="G2110" s="2">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2">
        <v>45735</v>
      </c>
      <c r="G2111" s="2">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2">
        <v>45735</v>
      </c>
      <c r="G2112" s="2">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2">
        <v>45735</v>
      </c>
      <c r="G2113" s="2">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2">
        <v>45735</v>
      </c>
      <c r="G2114" s="2">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2">
        <v>45735</v>
      </c>
      <c r="G2115" s="2">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2">
        <v>45735</v>
      </c>
      <c r="G2116" s="2">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2">
        <v>45735</v>
      </c>
      <c r="G2117" s="2">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2">
        <v>45735</v>
      </c>
      <c r="G2118" s="2">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2">
        <v>45735</v>
      </c>
      <c r="G2119" s="2">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2">
        <v>45735</v>
      </c>
      <c r="G2120" s="2">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2">
        <v>45735</v>
      </c>
      <c r="G2121" s="2">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2">
        <v>45735</v>
      </c>
      <c r="G2122" s="2">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2">
        <v>45735</v>
      </c>
      <c r="G2123" s="2">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2">
        <v>45735</v>
      </c>
      <c r="G2124" s="2">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2">
        <v>45735</v>
      </c>
      <c r="G2125" s="2">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2">
        <v>45735</v>
      </c>
      <c r="G2126" s="2">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2">
        <v>45735</v>
      </c>
      <c r="G2127" s="2">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2">
        <v>45735</v>
      </c>
      <c r="G2128" s="2">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2">
        <v>45735</v>
      </c>
      <c r="G2129" s="2">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2">
        <v>45735</v>
      </c>
      <c r="G2130" s="2">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2">
        <v>45735</v>
      </c>
      <c r="G2131" s="2">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2">
        <v>45735</v>
      </c>
      <c r="G2132" s="2">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2">
        <v>45735</v>
      </c>
      <c r="G2133" s="2">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2">
        <v>45735</v>
      </c>
      <c r="G2134" s="2">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2">
        <v>45735</v>
      </c>
      <c r="G2135" s="2">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2">
        <v>45735</v>
      </c>
      <c r="G2136" s="2">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2">
        <v>45735</v>
      </c>
      <c r="G2137" s="2">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2">
        <v>45735</v>
      </c>
      <c r="G2138" s="2">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2">
        <v>45736</v>
      </c>
      <c r="G2139" s="2">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2">
        <v>45736</v>
      </c>
      <c r="G2140" s="2">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2">
        <v>45736</v>
      </c>
      <c r="G2141" s="2">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2">
        <v>45736</v>
      </c>
      <c r="G2142" s="2">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2">
        <v>45736</v>
      </c>
      <c r="G2143" s="2">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2">
        <v>45736</v>
      </c>
      <c r="G2144" s="2">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2">
        <v>45736</v>
      </c>
      <c r="G2145" s="2">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2">
        <v>45736</v>
      </c>
      <c r="G2146" s="2">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2">
        <v>45736</v>
      </c>
      <c r="G2147" s="2">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2">
        <v>45736</v>
      </c>
      <c r="G2148" s="2">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2">
        <v>45736</v>
      </c>
      <c r="G2149" s="2">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2">
        <v>45736</v>
      </c>
      <c r="G2150" s="2">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2">
        <v>45736</v>
      </c>
      <c r="G2151" s="2">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2">
        <v>45736</v>
      </c>
      <c r="G2152" s="2">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2">
        <v>45736</v>
      </c>
      <c r="G2153" s="2">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2">
        <v>45736</v>
      </c>
      <c r="G2154" s="2">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2">
        <v>45736</v>
      </c>
      <c r="G2155" s="2">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2">
        <v>45736</v>
      </c>
      <c r="G2156" s="2">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2">
        <v>45736</v>
      </c>
      <c r="G2157" s="2">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2">
        <v>45736</v>
      </c>
      <c r="G2158" s="2">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2">
        <v>45736</v>
      </c>
      <c r="G2159" s="2">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2">
        <v>45736</v>
      </c>
      <c r="G2160" s="2">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2">
        <v>45736</v>
      </c>
      <c r="G2161" s="2">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2">
        <v>45736</v>
      </c>
      <c r="G2162" s="2">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2">
        <v>45736</v>
      </c>
      <c r="G2163" s="2">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2">
        <v>45736</v>
      </c>
      <c r="G2164" s="2">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2">
        <v>45736</v>
      </c>
      <c r="G2165" s="2">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2">
        <v>45736</v>
      </c>
      <c r="G2166" s="2">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2">
        <v>45737</v>
      </c>
      <c r="G2167" s="2">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2">
        <v>45737</v>
      </c>
      <c r="G2168" s="2">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2">
        <v>45737</v>
      </c>
      <c r="G2169" s="2">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2">
        <v>45737</v>
      </c>
      <c r="G2170" s="2">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2">
        <v>45737</v>
      </c>
      <c r="G2171" s="2">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2">
        <v>45737</v>
      </c>
      <c r="G2172" s="2">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2">
        <v>45737</v>
      </c>
      <c r="G2173" s="2">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2">
        <v>45737</v>
      </c>
      <c r="G2174" s="2">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2">
        <v>45737</v>
      </c>
      <c r="G2175" s="2">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2">
        <v>45737</v>
      </c>
      <c r="G2176" s="2">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2">
        <v>45737</v>
      </c>
      <c r="G2177" s="2">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2">
        <v>45737</v>
      </c>
      <c r="G2178" s="2">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2">
        <v>45737</v>
      </c>
      <c r="G2179" s="2">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2">
        <v>45737</v>
      </c>
      <c r="G2180" s="2">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2">
        <v>45737</v>
      </c>
      <c r="G2181" s="2">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2">
        <v>45737</v>
      </c>
      <c r="G2182" s="2">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2">
        <v>45737</v>
      </c>
      <c r="G2183" s="2">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2">
        <v>45737</v>
      </c>
      <c r="G2184" s="2">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2">
        <v>45737</v>
      </c>
      <c r="G2185" s="2">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2">
        <v>45737</v>
      </c>
      <c r="G2186" s="2">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2">
        <v>45737</v>
      </c>
      <c r="G2187" s="2">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2">
        <v>45737</v>
      </c>
      <c r="G2188" s="2">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2">
        <v>45737</v>
      </c>
      <c r="G2189" s="2">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2">
        <v>45737</v>
      </c>
      <c r="G2190" s="2">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2">
        <v>45737</v>
      </c>
      <c r="G2191" s="2">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2">
        <v>45737</v>
      </c>
      <c r="G2192" s="2">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2">
        <v>45737</v>
      </c>
      <c r="G2193" s="2">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2">
        <v>45737</v>
      </c>
      <c r="G2194" s="2">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2">
        <v>45738</v>
      </c>
      <c r="G2195" s="2">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2">
        <v>45738</v>
      </c>
      <c r="G2196" s="2">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2">
        <v>45738</v>
      </c>
      <c r="G2197" s="2">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2">
        <v>45738</v>
      </c>
      <c r="G2198" s="2">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2">
        <v>45738</v>
      </c>
      <c r="G2199" s="2">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2">
        <v>45738</v>
      </c>
      <c r="G2200" s="2">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2">
        <v>45738</v>
      </c>
      <c r="G2201" s="2">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2">
        <v>45738</v>
      </c>
      <c r="G2202" s="2">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2">
        <v>45738</v>
      </c>
      <c r="G2203" s="2">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2">
        <v>45738</v>
      </c>
      <c r="G2204" s="2">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2">
        <v>45738</v>
      </c>
      <c r="G2205" s="2">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2">
        <v>45738</v>
      </c>
      <c r="G2206" s="2">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2">
        <v>45738</v>
      </c>
      <c r="G2207" s="2">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2">
        <v>45738</v>
      </c>
      <c r="G2208" s="2">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2">
        <v>45738</v>
      </c>
      <c r="G2209" s="2">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2">
        <v>45738</v>
      </c>
      <c r="G2210" s="2">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2">
        <v>45738</v>
      </c>
      <c r="G2211" s="2">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2">
        <v>45738</v>
      </c>
      <c r="G2212" s="2">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2">
        <v>45738</v>
      </c>
      <c r="G2213" s="2">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2">
        <v>45738</v>
      </c>
      <c r="G2214" s="2">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2">
        <v>45738</v>
      </c>
      <c r="G2215" s="2">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2">
        <v>45738</v>
      </c>
      <c r="G2216" s="2">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2">
        <v>45738</v>
      </c>
      <c r="G2217" s="2">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2">
        <v>45739</v>
      </c>
      <c r="G2218" s="2">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2">
        <v>45739</v>
      </c>
      <c r="G2219" s="2">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2">
        <v>45739</v>
      </c>
      <c r="G2220" s="2">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2">
        <v>45739</v>
      </c>
      <c r="G2221" s="2">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2">
        <v>45739</v>
      </c>
      <c r="G2222" s="2">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2">
        <v>45739</v>
      </c>
      <c r="G2223" s="2">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2">
        <v>45739</v>
      </c>
      <c r="G2224" s="2">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2">
        <v>45739</v>
      </c>
      <c r="G2225" s="2">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2">
        <v>45739</v>
      </c>
      <c r="G2226" s="2">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2">
        <v>45739</v>
      </c>
      <c r="G2227" s="2">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2">
        <v>45739</v>
      </c>
      <c r="G2228" s="2">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2">
        <v>45739</v>
      </c>
      <c r="G2229" s="2">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2">
        <v>45739</v>
      </c>
      <c r="G2230" s="2">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2">
        <v>45739</v>
      </c>
      <c r="G2231" s="2">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2">
        <v>45739</v>
      </c>
      <c r="G2232" s="2">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2">
        <v>45739</v>
      </c>
      <c r="G2233" s="2">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2">
        <v>45739</v>
      </c>
      <c r="G2234" s="2">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2">
        <v>45739</v>
      </c>
      <c r="G2235" s="2">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2">
        <v>45739</v>
      </c>
      <c r="G2236" s="2">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2">
        <v>45740</v>
      </c>
      <c r="G2237" s="2">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2">
        <v>45740</v>
      </c>
      <c r="G2238" s="2">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2">
        <v>45740</v>
      </c>
      <c r="G2239" s="2">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2">
        <v>45740</v>
      </c>
      <c r="G2240" s="2">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2">
        <v>45740</v>
      </c>
      <c r="G2241" s="2">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2">
        <v>45740</v>
      </c>
      <c r="G2242" s="2">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2">
        <v>45740</v>
      </c>
      <c r="G2243" s="2">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2">
        <v>45740</v>
      </c>
      <c r="G2244" s="2">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2">
        <v>45740</v>
      </c>
      <c r="G2245" s="2">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2">
        <v>45740</v>
      </c>
      <c r="G2246" s="2">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2">
        <v>45740</v>
      </c>
      <c r="G2247" s="2">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2">
        <v>45740</v>
      </c>
      <c r="G2248" s="2">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2">
        <v>45740</v>
      </c>
      <c r="G2249" s="2">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2">
        <v>45740</v>
      </c>
      <c r="G2250" s="2">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2">
        <v>45740</v>
      </c>
      <c r="G2251" s="2">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2">
        <v>45740</v>
      </c>
      <c r="G2252" s="2">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2">
        <v>45740</v>
      </c>
      <c r="G2253" s="2">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2">
        <v>45740</v>
      </c>
      <c r="G2254" s="2">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2">
        <v>45740</v>
      </c>
      <c r="G2255" s="2">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2">
        <v>45740</v>
      </c>
      <c r="G2256" s="2">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2">
        <v>45740</v>
      </c>
      <c r="G2257" s="2">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2">
        <v>45740</v>
      </c>
      <c r="G2258" s="2">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2">
        <v>45740</v>
      </c>
      <c r="G2259" s="2">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2">
        <v>45741</v>
      </c>
      <c r="G2260" s="2">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2">
        <v>45741</v>
      </c>
      <c r="G2261" s="2">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2">
        <v>45741</v>
      </c>
      <c r="G2262" s="2">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2">
        <v>45741</v>
      </c>
      <c r="G2263" s="2">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2">
        <v>45741</v>
      </c>
      <c r="G2264" s="2">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2">
        <v>45741</v>
      </c>
      <c r="G2265" s="2">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2">
        <v>45741</v>
      </c>
      <c r="G2266" s="2">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2">
        <v>45741</v>
      </c>
      <c r="G2267" s="2">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2">
        <v>45741</v>
      </c>
      <c r="G2268" s="2">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2">
        <v>45741</v>
      </c>
      <c r="G2269" s="2">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2">
        <v>45741</v>
      </c>
      <c r="G2270" s="2">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2">
        <v>45741</v>
      </c>
      <c r="G2271" s="2">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2">
        <v>45741</v>
      </c>
      <c r="G2272" s="2">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2">
        <v>45741</v>
      </c>
      <c r="G2273" s="2">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2">
        <v>45741</v>
      </c>
      <c r="G2274" s="2">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2">
        <v>45741</v>
      </c>
      <c r="G2275" s="2">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2">
        <v>45741</v>
      </c>
      <c r="G2276" s="2">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2">
        <v>45741</v>
      </c>
      <c r="G2277" s="2">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2">
        <v>45741</v>
      </c>
      <c r="G2278" s="2">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2">
        <v>45741</v>
      </c>
      <c r="G2279" s="2">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2">
        <v>45741</v>
      </c>
      <c r="G2280" s="2">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2">
        <v>45741</v>
      </c>
      <c r="G2281" s="2">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2">
        <v>45741</v>
      </c>
      <c r="G2282" s="2">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2">
        <v>45741</v>
      </c>
      <c r="G2283" s="2">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2">
        <v>45741</v>
      </c>
      <c r="G2284" s="2">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2">
        <v>45741</v>
      </c>
      <c r="G2285" s="2">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2">
        <v>45742</v>
      </c>
      <c r="G2286" s="2">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2">
        <v>45742</v>
      </c>
      <c r="G2287" s="2">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2">
        <v>45742</v>
      </c>
      <c r="G2288" s="2">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2">
        <v>45742</v>
      </c>
      <c r="G2289" s="2">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2">
        <v>45742</v>
      </c>
      <c r="G2290" s="2">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2">
        <v>45742</v>
      </c>
      <c r="G2291" s="2">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2">
        <v>45742</v>
      </c>
      <c r="G2292" s="2">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2">
        <v>45742</v>
      </c>
      <c r="G2293" s="2">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2">
        <v>45742</v>
      </c>
      <c r="G2294" s="2">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2">
        <v>45742</v>
      </c>
      <c r="G2295" s="2">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2">
        <v>45742</v>
      </c>
      <c r="G2296" s="2">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2">
        <v>45742</v>
      </c>
      <c r="G2297" s="2">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2">
        <v>45742</v>
      </c>
      <c r="G2298" s="2">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2">
        <v>45742</v>
      </c>
      <c r="G2299" s="2">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2">
        <v>45742</v>
      </c>
      <c r="G2300" s="2">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2">
        <v>45742</v>
      </c>
      <c r="G2301" s="2">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2">
        <v>45742</v>
      </c>
      <c r="G2302" s="2">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2">
        <v>45742</v>
      </c>
      <c r="G2303" s="2">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2">
        <v>45742</v>
      </c>
      <c r="G2304" s="2">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2">
        <v>45742</v>
      </c>
      <c r="G2305" s="2">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2">
        <v>45742</v>
      </c>
      <c r="G2306" s="2">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2">
        <v>45742</v>
      </c>
      <c r="G2307" s="2">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2">
        <v>45742</v>
      </c>
      <c r="G2308" s="2">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2">
        <v>45742</v>
      </c>
      <c r="G2309" s="2">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2">
        <v>45742</v>
      </c>
      <c r="G2310" s="2">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2">
        <v>45742</v>
      </c>
      <c r="G2311" s="2">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2">
        <v>45742</v>
      </c>
      <c r="G2312" s="2">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2">
        <v>45742</v>
      </c>
      <c r="G2313" s="2">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2">
        <v>45742</v>
      </c>
      <c r="G2314" s="2">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2">
        <v>45742</v>
      </c>
      <c r="G2315" s="2">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2">
        <v>45742</v>
      </c>
      <c r="G2316" s="2">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2">
        <v>45742</v>
      </c>
      <c r="G2317" s="2">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2">
        <v>45742</v>
      </c>
      <c r="G2318" s="2">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2">
        <v>45743</v>
      </c>
      <c r="G2319" s="2">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2">
        <v>45743</v>
      </c>
      <c r="G2320" s="2">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2">
        <v>45743</v>
      </c>
      <c r="G2321" s="2">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2">
        <v>45743</v>
      </c>
      <c r="G2322" s="2">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2">
        <v>45743</v>
      </c>
      <c r="G2323" s="2">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2">
        <v>45743</v>
      </c>
      <c r="G2324" s="2">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2">
        <v>45743</v>
      </c>
      <c r="G2325" s="2">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2">
        <v>45743</v>
      </c>
      <c r="G2326" s="2">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2">
        <v>45743</v>
      </c>
      <c r="G2327" s="2">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2">
        <v>45743</v>
      </c>
      <c r="G2328" s="2">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2">
        <v>45743</v>
      </c>
      <c r="G2329" s="2">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2">
        <v>45743</v>
      </c>
      <c r="G2330" s="2">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2">
        <v>45743</v>
      </c>
      <c r="G2331" s="2">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2">
        <v>45743</v>
      </c>
      <c r="G2332" s="2">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2">
        <v>45743</v>
      </c>
      <c r="G2333" s="2">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2">
        <v>45743</v>
      </c>
      <c r="G2334" s="2">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2">
        <v>45743</v>
      </c>
      <c r="G2335" s="2">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2">
        <v>45743</v>
      </c>
      <c r="G2336" s="2">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2">
        <v>45743</v>
      </c>
      <c r="G2337" s="2">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2">
        <v>45743</v>
      </c>
      <c r="G2338" s="2">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2">
        <v>45743</v>
      </c>
      <c r="G2339" s="2">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2">
        <v>45743</v>
      </c>
      <c r="G2340" s="2">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2">
        <v>45743</v>
      </c>
      <c r="G2341" s="2">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2">
        <v>45743</v>
      </c>
      <c r="G2342" s="2">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2">
        <v>45743</v>
      </c>
      <c r="G2343" s="2">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2">
        <v>45743</v>
      </c>
      <c r="G2344" s="2">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2">
        <v>45743</v>
      </c>
      <c r="G2345" s="2">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2">
        <v>45743</v>
      </c>
      <c r="G2346" s="2">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2">
        <v>45744</v>
      </c>
      <c r="G2347" s="2">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2">
        <v>45744</v>
      </c>
      <c r="G2348" s="2">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2">
        <v>45744</v>
      </c>
      <c r="G2349" s="2">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2">
        <v>45744</v>
      </c>
      <c r="G2350" s="2">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2">
        <v>45744</v>
      </c>
      <c r="G2351" s="2">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2">
        <v>45744</v>
      </c>
      <c r="G2352" s="2">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2">
        <v>45744</v>
      </c>
      <c r="G2353" s="2">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2">
        <v>45744</v>
      </c>
      <c r="G2354" s="2">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2">
        <v>45744</v>
      </c>
      <c r="G2355" s="2">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2">
        <v>45744</v>
      </c>
      <c r="G2356" s="2">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2">
        <v>45744</v>
      </c>
      <c r="G2357" s="2">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2">
        <v>45744</v>
      </c>
      <c r="G2358" s="2">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2">
        <v>45744</v>
      </c>
      <c r="G2359" s="2">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2">
        <v>45744</v>
      </c>
      <c r="G2360" s="2">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2">
        <v>45744</v>
      </c>
      <c r="G2361" s="2">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2">
        <v>45744</v>
      </c>
      <c r="G2362" s="2">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2">
        <v>45744</v>
      </c>
      <c r="G2363" s="2">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2">
        <v>45744</v>
      </c>
      <c r="G2364" s="2">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2">
        <v>45744</v>
      </c>
      <c r="G2365" s="2">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2">
        <v>45744</v>
      </c>
      <c r="G2366" s="2">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2">
        <v>45744</v>
      </c>
      <c r="G2367" s="2">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2">
        <v>45744</v>
      </c>
      <c r="G2368" s="2">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2">
        <v>45744</v>
      </c>
      <c r="G2369" s="2">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2">
        <v>45744</v>
      </c>
      <c r="G2370" s="2">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2">
        <v>45744</v>
      </c>
      <c r="G2371" s="2">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2">
        <v>45744</v>
      </c>
      <c r="G2372" s="2">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2">
        <v>45744</v>
      </c>
      <c r="G2373" s="2">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2">
        <v>45744</v>
      </c>
      <c r="G2374" s="2">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2">
        <v>45744</v>
      </c>
      <c r="G2375" s="2">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2">
        <v>45745</v>
      </c>
      <c r="G2376" s="2">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2">
        <v>45745</v>
      </c>
      <c r="G2377" s="2">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2">
        <v>45745</v>
      </c>
      <c r="G2378" s="2">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2">
        <v>45745</v>
      </c>
      <c r="G2379" s="2">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2">
        <v>45745</v>
      </c>
      <c r="G2380" s="2">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2">
        <v>45745</v>
      </c>
      <c r="G2381" s="2">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2">
        <v>45745</v>
      </c>
      <c r="G2382" s="2">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2">
        <v>45745</v>
      </c>
      <c r="G2383" s="2">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2">
        <v>45745</v>
      </c>
      <c r="G2384" s="2">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2">
        <v>45745</v>
      </c>
      <c r="G2385" s="2">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2">
        <v>45745</v>
      </c>
      <c r="G2386" s="2">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2">
        <v>45745</v>
      </c>
      <c r="G2387" s="2">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2">
        <v>45745</v>
      </c>
      <c r="G2388" s="2">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2">
        <v>45745</v>
      </c>
      <c r="G2389" s="2">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2">
        <v>45745</v>
      </c>
      <c r="G2390" s="2">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2">
        <v>45745</v>
      </c>
      <c r="G2391" s="2">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2">
        <v>45745</v>
      </c>
      <c r="G2392" s="2">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2">
        <v>45745</v>
      </c>
      <c r="G2393" s="2">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2">
        <v>45745</v>
      </c>
      <c r="G2394" s="2">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2">
        <v>45745</v>
      </c>
      <c r="G2395" s="2">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2">
        <v>45745</v>
      </c>
      <c r="G2396" s="2">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2">
        <v>45745</v>
      </c>
      <c r="G2397" s="2">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2">
        <v>45745</v>
      </c>
      <c r="G2398" s="2">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2">
        <v>45745</v>
      </c>
      <c r="G2399" s="2">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2">
        <v>45745</v>
      </c>
      <c r="G2400" s="2">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2">
        <v>45745</v>
      </c>
      <c r="G2401" s="2">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pivot table</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Niyathi Bhandary</dc:creator>
  <cp:lastModifiedBy>Niyathi Bhandary</cp:lastModifiedBy>
  <dcterms:created xsi:type="dcterms:W3CDTF">2026-08-17T09:47:40Z</dcterms:created>
  <dcterms:modified xsi:type="dcterms:W3CDTF">2026-08-18T12:16:30Z</dcterms:modified>
</cp:coreProperties>
</file>